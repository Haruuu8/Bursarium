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<sst xmlns="http://schemas.openxmlformats.org/spreadsheetml/2006/main" count="14830" uniqueCount="2924">
  <si>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</si>
  <si>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</si>
  <si>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</si>
  <si>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</si>
  <si>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</si>
  <si>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</si>
  <si>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</si>
  <si>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</si>
  <si>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</si>
  <si>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</si>
  <si>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</si>
  <si>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</si>
  <si>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</si>
  <si>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</si>
  <si>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</si>
  <si>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</si>
  <si>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</si>
  <si>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</si>
  <si>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</si>
  <si>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</si>
  <si>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</si>
  <si>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</si>
  <si>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</si>
  <si>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</si>
  <si>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</si>
  <si>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</si>
  <si>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</si>
  <si>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</si>
  <si>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</si>
  <si>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</si>
  <si>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</si>
  <si>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</si>
  <si>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</si>
  <si>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</si>
  <si>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</si>
  <si>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</si>
  <si>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</si>
  <si>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</si>
  <si>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</si>
  <si>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</si>
  <si>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</si>
  <si>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</si>
  <si>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</si>
  <si>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</si>
  <si>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</si>
  <si>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</si>
  <si>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</si>
  <si>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</si>
  <si>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</si>
  <si>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</si>
  <si>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</si>
  <si>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</si>
  <si>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</si>
  <si>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</si>
  <si>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</si>
  <si>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</si>
  <si>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</si>
  <si>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</si>
  <si>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</si>
  <si>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</si>
  <si>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</si>
  <si>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</si>
  <si>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</si>
  <si>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</si>
  <si>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</si>
  <si>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</si>
  <si>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</si>
  <si>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</si>
  <si>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</si>
  <si>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</si>
  <si>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</si>
  <si>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</si>
  <si>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</si>
  <si>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</si>
  <si>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</si>
  <si>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</si>
  <si>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</si>
  <si>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</si>
  <si>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</si>
  <si>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</si>
  <si>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</si>
  <si>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</si>
  <si>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</si>
  <si>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</si>
  <si>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</si>
  <si>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</si>
  <si>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</si>
  <si>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</si>
  <si>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</si>
  <si>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</si>
  <si>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</si>
  <si>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</si>
  <si>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</si>
  <si>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</si>
  <si>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</si>
  <si>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</si>
  <si>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</si>
  <si>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</si>
  <si>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</si>
  <si>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</si>
  <si>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</si>
  <si>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</si>
  <si>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</si>
  <si>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</si>
  <si>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</si>
  <si>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</si>
  <si>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</si>
  <si>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</si>
  <si>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</si>
  <si>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</si>
  <si>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</si>
  <si>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</si>
  <si>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</si>
  <si>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</si>
  <si>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</si>
  <si>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</si>
  <si>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</si>
  <si>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</si>
  <si>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</si>
  <si>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</si>
  <si>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</si>
  <si>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</si>
  <si>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</si>
  <si>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</si>
  <si>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</si>
  <si>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</si>
  <si>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</si>
  <si>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</si>
  <si>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</si>
  <si>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</si>
  <si>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</si>
  <si>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</si>
  <si>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</si>
  <si>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</si>
  <si>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</si>
  <si>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</si>
  <si>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</si>
  <si>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</si>
  <si>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</si>
  <si>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</si>
  <si>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</si>
  <si>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</si>
  <si>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</si>
  <si>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</si>
  <si>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</si>
  <si>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</si>
  <si>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</si>
  <si>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</si>
  <si>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</si>
  <si>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</si>
  <si>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</si>
  <si>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</si>
  <si>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</si>
  <si>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</si>
  <si>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</si>
  <si>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</si>
  <si>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</si>
  <si>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</si>
  <si>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</si>
  <si>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</si>
  <si>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</si>
  <si>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</si>
  <si>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</si>
  <si>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</si>
  <si>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</si>
  <si>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</si>
  <si>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</si>
  <si>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</si>
  <si>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</si>
  <si>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</si>
  <si>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</si>
  <si>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</si>
  <si>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</si>
  <si>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</si>
  <si>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</si>
  <si>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</si>
  <si>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</si>
  <si>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</si>
  <si>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</si>
  <si>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</si>
  <si>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</si>
  <si>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</si>
  <si>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</si>
  <si>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</si>
  <si>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</si>
  <si>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</si>
  <si>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</si>
  <si>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</si>
  <si>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</si>
  <si>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</si>
  <si>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</si>
  <si>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</si>
  <si>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</si>
  <si>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</si>
  <si>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</si>
  <si>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</si>
  <si>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</si>
  <si>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</si>
  <si>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</si>
  <si>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</si>
  <si>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</si>
  <si>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</si>
  <si>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</si>
  <si>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</si>
  <si>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</si>
  <si>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</si>
  <si>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</si>
  <si>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</si>
  <si>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</si>
  <si>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</si>
  <si>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</si>
  <si>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</si>
  <si>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</si>
  <si>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</si>
  <si>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</si>
  <si>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</si>
  <si>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</si>
  <si>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</si>
  <si>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</si>
  <si>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</si>
  <si>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</si>
  <si>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</si>
  <si>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</si>
  <si>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</si>
  <si>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</si>
  <si>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</si>
  <si>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</si>
  <si>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</si>
  <si>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</si>
  <si>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</si>
  <si>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</si>
  <si>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</si>
  <si>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</si>
  <si>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</si>
  <si>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</si>
  <si>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</si>
  <si>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</si>
  <si>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</si>
  <si>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</si>
  <si>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</si>
  <si>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</si>
  <si>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</si>
  <si>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</si>
  <si>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</si>
  <si>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</si>
  <si>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</si>
  <si>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</si>
  <si>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</si>
  <si>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</si>
  <si>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</si>
  <si>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</si>
  <si>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</si>
  <si>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</si>
  <si>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</si>
  <si>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</si>
  <si>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</si>
  <si>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</si>
  <si>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</si>
  <si>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</si>
  <si>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</si>
  <si>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</si>
  <si>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</si>
  <si>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</si>
  <si>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</si>
  <si>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</si>
  <si>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</si>
  <si>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</si>
  <si>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</si>
  <si>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</si>
  <si>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</si>
  <si>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</si>
  <si>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</si>
  <si>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</si>
  <si>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</si>
  <si>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</si>
  <si>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</si>
  <si>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</si>
  <si>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</si>
  <si>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</si>
  <si>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</si>
  <si>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</si>
  <si>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</si>
  <si>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</si>
  <si>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</si>
  <si>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</si>
  <si>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</si>
  <si>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</si>
  <si>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</si>
  <si>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</si>
  <si>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</si>
  <si>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</si>
  <si>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</si>
  <si>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</si>
  <si>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</si>
  <si>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</si>
  <si>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</si>
  <si>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</si>
  <si>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</si>
  <si>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</si>
  <si>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</si>
  <si>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</si>
  <si>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</si>
  <si>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</si>
  <si>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</si>
  <si>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</si>
  <si>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</si>
  <si>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</si>
  <si>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</si>
  <si>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</si>
  <si>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</si>
  <si>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</si>
  <si>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</si>
  <si>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</si>
  <si>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</si>
  <si>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</si>
  <si>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</si>
  <si>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</si>
  <si>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</si>
  <si>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</si>
  <si>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</si>
  <si>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</si>
  <si>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</si>
  <si>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</si>
  <si>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</si>
  <si>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</si>
  <si>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</si>
  <si>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</si>
  <si>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</si>
  <si>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</si>
  <si>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</si>
  <si>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</si>
  <si>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</si>
  <si>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</si>
  <si>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</si>
  <si>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</si>
  <si>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</si>
  <si>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</si>
  <si>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</si>
  <si>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</si>
  <si>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</si>
  <si>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</si>
  <si>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</si>
  <si>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</si>
  <si>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</si>
  <si>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</si>
  <si>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</si>
  <si>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</si>
  <si>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</si>
  <si>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</si>
  <si>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</si>
  <si>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</si>
  <si>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</si>
  <si>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</si>
  <si>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</si>
  <si>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</si>
  <si>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</si>
  <si>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</si>
  <si>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</si>
  <si>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</si>
  <si>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</si>
  <si>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</si>
  <si>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</si>
  <si>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</si>
  <si>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</si>
  <si>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</si>
  <si>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</si>
  <si>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</si>
  <si>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</si>
  <si>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</si>
  <si>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</si>
  <si>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</si>
  <si>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</si>
  <si>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</si>
  <si>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</si>
  <si>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</si>
  <si>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</si>
  <si>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</si>
  <si>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</si>
  <si>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</si>
  <si>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</si>
  <si>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</si>
  <si>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</si>
  <si>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</si>
  <si>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</si>
  <si>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</si>
  <si>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</si>
  <si>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</si>
  <si>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</si>
  <si>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</si>
  <si>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</si>
  <si>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</si>
  <si>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</si>
  <si>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</si>
  <si>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</si>
  <si>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</si>
  <si>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</si>
  <si>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</si>
  <si>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</si>
  <si>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</si>
  <si>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</si>
  <si>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</si>
  <si>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</si>
  <si>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</si>
  <si>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</si>
  <si>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</si>
  <si>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</si>
  <si>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</si>
  <si>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</si>
  <si>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</si>
  <si>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</si>
  <si>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</si>
  <si>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</si>
  <si>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</si>
  <si>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</si>
  <si>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</si>
  <si>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</si>
  <si>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</si>
  <si>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</si>
  <si>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</si>
  <si>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</si>
  <si>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</si>
  <si>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</si>
  <si>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</si>
  <si>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</si>
  <si>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</si>
  <si>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</si>
  <si>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</si>
  <si>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</si>
  <si>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</si>
  <si>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</si>
  <si>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</si>
  <si>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</si>
  <si>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</si>
  <si>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</si>
  <si>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</si>
  <si>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</si>
  <si>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</si>
  <si>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</si>
  <si>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</si>
  <si>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</si>
  <si>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</si>
  <si>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</si>
  <si>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</si>
  <si>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</si>
  <si>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</si>
  <si>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</si>
  <si>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</si>
  <si>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</si>
  <si>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</si>
  <si>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</si>
  <si>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</si>
  <si>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</si>
  <si>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</si>
  <si>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</si>
  <si>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</si>
  <si>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</si>
  <si>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</si>
  <si>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</si>
  <si>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</si>
  <si>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</si>
  <si>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</si>
  <si>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</si>
  <si>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</si>
  <si>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</si>
  <si>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</si>
  <si>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</si>
  <si>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</si>
  <si>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</si>
  <si>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</si>
  <si>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</si>
  <si>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</si>
  <si>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</si>
  <si>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</si>
  <si>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</si>
  <si>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</si>
  <si>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</si>
  <si>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</si>
  <si>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</si>
  <si>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</si>
  <si>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</si>
  <si>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</si>
  <si>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</si>
  <si>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</si>
  <si>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</si>
  <si>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</si>
  <si>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</si>
  <si>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</si>
  <si>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</si>
  <si>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</si>
  <si>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</si>
  <si>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</si>
  <si>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</si>
  <si>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</si>
  <si>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</si>
  <si>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</si>
  <si>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</si>
  <si>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</si>
  <si>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</si>
  <si>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</si>
  <si>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</si>
  <si>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</si>
  <si>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</si>
  <si>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</si>
  <si>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</si>
  <si>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</si>
  <si>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</si>
  <si>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</si>
  <si>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</si>
  <si>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</si>
  <si>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</si>
  <si>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</si>
  <si>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</si>
  <si>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</si>
  <si>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</si>
  <si>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</si>
  <si>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</si>
  <si>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</si>
  <si>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</si>
  <si>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</si>
  <si>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</si>
  <si>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</si>
  <si>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</si>
  <si>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</si>
  <si>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</si>
  <si>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</si>
  <si>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</si>
  <si>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</si>
  <si>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</si>
  <si>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</si>
  <si>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</si>
  <si>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</si>
  <si>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</si>
  <si>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</si>
  <si>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</si>
  <si>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</si>
  <si>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</si>
  <si>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</si>
  <si>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</si>
  <si>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</si>
  <si>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</si>
  <si>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</si>
  <si>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</si>
  <si>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</si>
  <si>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</si>
  <si>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</si>
  <si>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</si>
  <si>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</si>
  <si>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</si>
  <si>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</si>
  <si>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</si>
  <si>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</si>
  <si>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</si>
  <si>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</si>
  <si>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</si>
  <si>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</si>
  <si>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</si>
  <si>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</si>
  <si>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</si>
  <si>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</si>
  <si>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</si>
  <si>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</si>
  <si>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</si>
  <si>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</si>
  <si>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</si>
  <si>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</si>
  <si>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</si>
  <si>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</si>
  <si>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</si>
  <si>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</si>
  <si>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</si>
  <si>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</si>
  <si>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</si>
  <si>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</si>
  <si>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</si>
  <si>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</si>
  <si>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</si>
  <si>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</si>
  <si>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</si>
  <si>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</si>
  <si>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</si>
  <si>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</si>
  <si>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</si>
  <si>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</si>
  <si>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</si>
  <si>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</si>
  <si>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</si>
  <si>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</si>
  <si>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</si>
  <si>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</si>
  <si>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</si>
  <si>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</si>
  <si>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</si>
  <si>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</si>
  <si>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</si>
  <si>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</si>
  <si>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</si>
  <si>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</si>
  <si>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</si>
  <si>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</si>
  <si>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</si>
  <si>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</si>
  <si>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</si>
  <si>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</si>
  <si>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</si>
  <si>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</si>
  <si>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</si>
  <si>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</si>
  <si>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</si>
  <si>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</si>
  <si>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</si>
  <si>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</si>
  <si>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</si>
  <si>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</si>
  <si>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</si>
  <si>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</si>
  <si>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</si>
  <si>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</si>
  <si>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</si>
  <si>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</si>
  <si>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</si>
  <si>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</si>
  <si>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</si>
  <si>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</si>
  <si>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</si>
  <si>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</si>
  <si>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</si>
  <si>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</si>
  <si>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</si>
  <si>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</si>
  <si>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</si>
  <si>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</si>
  <si>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</si>
  <si>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</si>
  <si>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</si>
  <si>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</si>
  <si>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</si>
  <si>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</si>
  <si>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</si>
  <si>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</si>
  <si>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</si>
  <si>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</si>
  <si>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</si>
  <si>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</si>
  <si>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</si>
  <si>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</si>
  <si>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</si>
  <si>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</si>
  <si>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</si>
  <si>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</si>
  <si>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</si>
  <si>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</si>
  <si>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</si>
  <si>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</si>
  <si>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</si>
  <si>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</si>
  <si>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</si>
  <si>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</si>
  <si>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</si>
  <si>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</si>
  <si>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</si>
  <si>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</si>
  <si>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</si>
  <si>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</si>
  <si>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</si>
  <si>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</si>
  <si>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</si>
  <si>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</si>
  <si>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</si>
  <si>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</si>
  <si>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</si>
  <si>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</si>
  <si>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</si>
  <si>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</si>
  <si>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</si>
  <si>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</si>
  <si>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</si>
  <si>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</si>
  <si>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</si>
  <si>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</si>
  <si>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</si>
  <si>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</si>
  <si>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</si>
  <si>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</si>
  <si>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</si>
  <si>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</si>
  <si>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</si>
  <si>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</si>
  <si>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</si>
  <si>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</si>
  <si>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</si>
  <si>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</si>
  <si>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</si>
  <si>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</si>
  <si>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</si>
  <si>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</si>
  <si>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</si>
  <si>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</si>
  <si>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</si>
  <si>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</si>
  <si>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</si>
  <si>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</si>
  <si>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</si>
  <si>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</si>
  <si>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</si>
  <si>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</si>
  <si>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</si>
  <si>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</si>
  <si>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</si>
  <si>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</si>
  <si>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</si>
  <si>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</si>
  <si>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</si>
  <si>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</si>
  <si>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</si>
  <si>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</si>
  <si>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</si>
  <si>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</si>
  <si>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</si>
  <si>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</si>
  <si>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</si>
  <si>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</si>
  <si>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</si>
  <si>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</si>
  <si>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</si>
  <si>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</si>
  <si>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</si>
  <si>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</si>
  <si>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</si>
  <si>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</si>
  <si>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</si>
  <si>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</si>
  <si>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</si>
  <si>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</si>
  <si>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</si>
  <si>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</si>
  <si>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</si>
  <si>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</si>
  <si>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</si>
  <si>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</si>
  <si>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</si>
  <si>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</si>
  <si>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</si>
  <si>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</si>
  <si>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</si>
  <si>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</si>
  <si>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</si>
  <si>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</si>
  <si>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</si>
  <si>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</si>
  <si>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</si>
  <si>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</si>
  <si>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</si>
  <si>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</si>
  <si>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</si>
  <si>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</si>
  <si>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</si>
  <si>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</si>
  <si>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</si>
  <si>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</si>
  <si>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</si>
  <si>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</si>
  <si>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</si>
  <si>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</si>
  <si>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</si>
  <si>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</si>
  <si>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</si>
  <si>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</si>
  <si>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</si>
  <si>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</si>
  <si>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</si>
  <si>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</si>
  <si>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</si>
  <si>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</si>
  <si>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</si>
  <si>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</si>
  <si>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</si>
  <si>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</si>
  <si>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</si>
  <si>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</si>
  <si>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</si>
  <si>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</si>
  <si>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</si>
  <si>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</si>
  <si>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</si>
  <si>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</si>
  <si>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</si>
  <si>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</si>
  <si>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</si>
  <si>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</si>
  <si>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</si>
  <si>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</si>
  <si>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</si>
  <si>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</si>
  <si>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</si>
  <si>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</si>
  <si>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</si>
  <si>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</si>
  <si>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</si>
  <si>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</si>
  <si>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</si>
  <si>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</si>
  <si>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</si>
  <si>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</si>
  <si>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</si>
  <si>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</si>
  <si>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</si>
  <si>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</si>
  <si>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</si>
  <si>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</si>
  <si>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</si>
  <si>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</si>
  <si>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</si>
  <si>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</si>
  <si>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</si>
  <si>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</si>
  <si>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</si>
  <si>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</si>
  <si>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</si>
  <si>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</si>
  <si>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</si>
  <si>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</si>
  <si>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</si>
  <si>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</si>
  <si>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</si>
  <si>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</si>
  <si>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</si>
  <si>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</si>
  <si>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</si>
  <si>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</si>
  <si>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</si>
  <si>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</si>
  <si>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</si>
  <si>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</si>
  <si>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</si>
  <si>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</si>
  <si>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</si>
  <si>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</si>
  <si>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</si>
  <si>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</si>
  <si>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</si>
  <si>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</si>
  <si>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</si>
  <si>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</si>
  <si>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</si>
  <si>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</si>
  <si>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</si>
  <si>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</si>
  <si>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</si>
  <si>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</si>
  <si>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</si>
  <si>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</si>
  <si>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</si>
  <si>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</si>
  <si>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</si>
  <si>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</si>
  <si>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</si>
  <si>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</si>
  <si>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</si>
  <si>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</si>
  <si>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</si>
  <si>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</si>
  <si>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</si>
  <si>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</si>
  <si>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</si>
  <si>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</si>
  <si>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</si>
  <si>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</si>
  <si>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</si>
  <si>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</si>
  <si>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</si>
  <si>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</si>
  <si>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</si>
  <si>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</si>
  <si>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</si>
  <si>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</si>
  <si>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</si>
  <si>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</si>
  <si>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</si>
  <si>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</si>
  <si>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</si>
  <si>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</si>
  <si>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</si>
  <si>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</si>
  <si>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</si>
  <si>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</si>
  <si>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</si>
  <si>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</si>
  <si>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</si>
  <si>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</si>
  <si>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</si>
  <si>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</si>
  <si>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</si>
  <si>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</si>
  <si>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</si>
  <si>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</si>
  <si>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</si>
  <si>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</si>
  <si>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</si>
  <si>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</si>
  <si>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</si>
  <si>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</si>
  <si>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</si>
  <si>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</si>
  <si>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</si>
  <si>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</si>
  <si>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</si>
  <si>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</si>
  <si>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</si>
  <si>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</si>
  <si>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</si>
  <si>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</si>
  <si>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</si>
  <si>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</si>
  <si>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</si>
  <si>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</si>
  <si>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</si>
  <si>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</si>
  <si>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</si>
  <si>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</si>
  <si>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</si>
  <si>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</si>
  <si>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</si>
  <si>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</si>
  <si>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</si>
  <si>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</si>
  <si>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</si>
  <si>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</si>
  <si>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</si>
  <si>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</si>
  <si>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</si>
  <si>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</si>
  <si>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</si>
  <si>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</si>
  <si>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</si>
  <si>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</si>
  <si>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</si>
  <si>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</si>
  <si>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</si>
  <si>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</si>
  <si>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</si>
  <si>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</si>
  <si>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</si>
  <si>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</si>
  <si>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</si>
  <si>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</si>
  <si>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</si>
  <si>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</si>
  <si>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</si>
  <si>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</si>
  <si>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</si>
  <si>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</si>
  <si>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</si>
  <si>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</si>
  <si>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</si>
  <si>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</si>
  <si>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</si>
  <si>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</si>
  <si>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</si>
  <si>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</si>
  <si>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</si>
  <si>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</si>
  <si>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</si>
  <si>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</si>
  <si>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</si>
  <si>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</si>
  <si>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</si>
  <si>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</si>
  <si>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</si>
  <si>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</si>
  <si>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</si>
  <si>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</si>
  <si>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</si>
  <si>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</si>
  <si>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</si>
  <si>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</si>
  <si>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</si>
  <si>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</si>
  <si>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</si>
  <si>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</si>
  <si>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</si>
  <si>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</si>
  <si>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</si>
  <si>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</si>
  <si>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</si>
  <si>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</si>
  <si>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</si>
  <si>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</si>
  <si>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</si>
  <si>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</si>
  <si>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</si>
  <si>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</si>
  <si>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</si>
  <si>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</si>
  <si>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</si>
  <si>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</si>
  <si>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</si>
  <si>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</si>
  <si>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</si>
  <si>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</si>
  <si>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</si>
  <si>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</si>
  <si>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</si>
  <si>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</si>
  <si>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</si>
  <si>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</si>
  <si>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</si>
  <si>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</si>
  <si>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</si>
  <si>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</si>
  <si>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</si>
  <si>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</si>
  <si>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</si>
  <si>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</si>
  <si>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</si>
  <si>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</si>
  <si>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</si>
  <si>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</si>
  <si>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</si>
  <si>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</si>
  <si>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</si>
  <si>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</si>
  <si>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</si>
  <si>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</si>
  <si>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</si>
  <si>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</si>
  <si>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</si>
  <si>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</si>
  <si>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</si>
  <si>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</si>
  <si>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</si>
  <si>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</si>
  <si>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</si>
  <si>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</si>
  <si>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</si>
  <si>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</si>
  <si>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</si>
  <si>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</si>
  <si>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</si>
  <si>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</si>
  <si>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</si>
  <si>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</si>
  <si>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</si>
  <si>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</si>
  <si>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</si>
  <si>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</si>
  <si>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</si>
  <si>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</si>
  <si>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</si>
  <si>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</si>
  <si>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</si>
  <si>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</si>
  <si>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</si>
  <si>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</si>
  <si>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</si>
  <si>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</si>
  <si>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</si>
  <si>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</si>
  <si>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</si>
  <si>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</si>
  <si>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</si>
  <si>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</si>
  <si>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</si>
  <si>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</si>
  <si>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</si>
  <si>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</si>
  <si>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</si>
  <si>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</si>
  <si>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</si>
  <si>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</si>
  <si>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</si>
  <si>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</si>
  <si>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</si>
  <si>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</si>
  <si>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</si>
  <si>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</si>
  <si>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</si>
  <si>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</si>
  <si>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</si>
  <si>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</si>
  <si>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</si>
  <si>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</si>
  <si>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</si>
  <si>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</si>
  <si>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</si>
  <si>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</si>
  <si>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</si>
  <si>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</si>
  <si>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</si>
  <si>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</si>
  <si>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</si>
  <si>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</si>
  <si>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</si>
  <si>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</si>
  <si>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</si>
  <si>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</si>
  <si>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</si>
  <si>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</si>
  <si>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</si>
  <si>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</si>
  <si>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</si>
  <si>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</si>
  <si>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</si>
  <si>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</si>
  <si>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</si>
  <si>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</si>
  <si>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</si>
  <si>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</si>
  <si>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</si>
  <si>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</si>
  <si>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</si>
  <si>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</si>
  <si>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</si>
  <si>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</si>
  <si>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</si>
  <si>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</si>
  <si>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</si>
  <si>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</si>
  <si>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</si>
  <si>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</si>
  <si>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</si>
  <si>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</si>
  <si>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</si>
  <si>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</si>
  <si>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</si>
  <si>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</si>
  <si>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</si>
  <si>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</si>
  <si>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</si>
  <si>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</si>
  <si>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</si>
  <si>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</si>
  <si>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</si>
  <si>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</si>
  <si>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</si>
  <si>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</si>
  <si>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</si>
  <si>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</si>
  <si>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</si>
  <si>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</si>
  <si>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</si>
  <si>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</si>
  <si>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</si>
  <si>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</si>
  <si>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</si>
  <si>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</si>
  <si>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</si>
  <si>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</si>
  <si>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</si>
  <si>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</si>
  <si>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</si>
  <si>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</si>
  <si>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</si>
  <si>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</si>
  <si>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</si>
  <si>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</si>
  <si>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</si>
  <si>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</si>
  <si>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</si>
  <si>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</si>
  <si>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</si>
  <si>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</si>
  <si>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</si>
  <si>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</si>
  <si>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</si>
  <si>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</si>
  <si>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</si>
  <si>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</si>
  <si>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</si>
  <si>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</si>
  <si>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</si>
  <si>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</si>
  <si>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</si>
  <si>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</si>
  <si>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</si>
  <si>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</si>
  <si>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</si>
  <si>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</si>
  <si>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</si>
  <si>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</si>
  <si>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</si>
  <si>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</si>
  <si>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</si>
  <si>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</si>
  <si>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</si>
  <si>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</si>
  <si>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</si>
  <si>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</si>
  <si>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</si>
  <si>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</si>
  <si>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</si>
  <si>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</si>
  <si>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</si>
  <si>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</si>
  <si>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</si>
  <si>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</si>
  <si>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</si>
  <si>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</si>
  <si>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</si>
  <si>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</si>
  <si>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</si>
  <si>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</si>
  <si>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</si>
  <si>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</si>
  <si>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</si>
  <si>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</si>
  <si>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</si>
  <si>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</si>
  <si>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</si>
  <si>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</si>
  <si>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</si>
  <si>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</si>
  <si>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</si>
  <si>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</si>
  <si>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</si>
  <si>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</si>
  <si>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</si>
  <si>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</si>
  <si>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</si>
  <si>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</si>
  <si>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</si>
  <si>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</si>
  <si>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</si>
  <si>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</si>
  <si>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</si>
  <si>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</si>
  <si>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</si>
  <si>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</si>
  <si>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</si>
  <si>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</si>
  <si>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</si>
  <si>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</si>
  <si>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</si>
  <si>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</si>
  <si>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</si>
  <si>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</si>
  <si>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</si>
  <si>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</si>
  <si>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</si>
  <si>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</si>
  <si>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</si>
  <si>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</si>
  <si>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</si>
  <si>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</si>
  <si>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</si>
  <si>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</si>
  <si>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</si>
  <si>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</si>
  <si>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</si>
  <si>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</si>
  <si>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</si>
  <si>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</si>
  <si>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</si>
  <si>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</si>
  <si>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</si>
  <si>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</si>
  <si>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</si>
  <si>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</si>
  <si>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</si>
  <si>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</si>
  <si>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</si>
  <si>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</si>
  <si>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</si>
  <si>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</si>
  <si>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</si>
  <si>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</si>
  <si>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</si>
  <si>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</si>
  <si>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</si>
  <si>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</si>
  <si>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</si>
  <si>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</si>
  <si>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</si>
  <si>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</si>
  <si>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</si>
  <si>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</si>
  <si>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</si>
  <si>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</si>
  <si>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</si>
  <si>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</si>
  <si>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</si>
  <si>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</si>
  <si>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</si>
  <si>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</si>
  <si>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</si>
  <si>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</si>
  <si>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</si>
  <si>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</si>
  <si>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</si>
  <si>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</si>
  <si>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</si>
  <si>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</si>
  <si>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</si>
  <si>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</si>
  <si>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</si>
  <si>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</si>
  <si>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</si>
  <si>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</si>
  <si>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</si>
  <si>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</si>
  <si>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</si>
  <si>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</si>
  <si>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</si>
  <si>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</si>
  <si>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</si>
  <si>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</si>
  <si>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</si>
  <si>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</si>
  <si>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</si>
  <si>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</si>
  <si>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</si>
  <si>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</si>
  <si>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</si>
  <si>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</si>
  <si>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</si>
  <si>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</si>
  <si>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</si>
  <si>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</si>
  <si>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</si>
  <si>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</si>
  <si>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</si>
  <si>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</si>
  <si>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</si>
  <si>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</si>
  <si>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</si>
  <si>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</si>
  <si>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</si>
  <si>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</si>
  <si>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</si>
  <si>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</si>
  <si>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</si>
  <si>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</si>
  <si>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</si>
  <si>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</si>
  <si>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</si>
  <si>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</si>
  <si>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</si>
  <si>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</si>
  <si>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</si>
  <si>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</si>
  <si>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</si>
  <si>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</si>
  <si>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</si>
  <si>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</si>
  <si>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</si>
  <si>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</si>
  <si>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</si>
  <si>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</si>
  <si>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</si>
  <si>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</si>
  <si>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</si>
  <si>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</si>
  <si>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</si>
  <si>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</si>
  <si>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</si>
  <si>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</si>
  <si>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</si>
  <si>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</si>
  <si>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</si>
  <si>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</si>
  <si>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</si>
  <si>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</si>
  <si>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</si>
  <si>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</si>
  <si>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</si>
  <si>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</si>
  <si>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</si>
  <si>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</si>
  <si>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</si>
  <si>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</si>
  <si>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</si>
  <si>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</si>
  <si>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</si>
  <si>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</si>
  <si>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</si>
  <si>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</si>
  <si>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</si>
  <si>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</si>
  <si>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</si>
  <si>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</si>
  <si>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</si>
  <si>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</si>
  <si>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</si>
  <si>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</si>
  <si>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</si>
  <si>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</si>
  <si>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</si>
  <si>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</si>
  <si>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</si>
  <si>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</si>
  <si>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</si>
  <si>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</si>
  <si>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</si>
  <si>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</si>
  <si>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</si>
  <si>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</si>
  <si>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</si>
  <si>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</si>
  <si>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</si>
  <si>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</si>
  <si>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</si>
  <si>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</si>
  <si>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</si>
  <si>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</si>
  <si>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</si>
  <si>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</si>
  <si>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</si>
  <si>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</si>
  <si>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</si>
  <si>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</si>
  <si>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</si>
  <si>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</si>
  <si>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</si>
  <si>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</si>
  <si>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</si>
  <si>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</si>
  <si>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</si>
  <si>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</si>
  <si>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</si>
  <si>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</si>
  <si>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</si>
  <si>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</si>
  <si>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</si>
  <si>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</si>
  <si>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</si>
  <si>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</si>
  <si>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</si>
  <si>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</si>
  <si>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</si>
  <si>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</si>
  <si>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</si>
  <si>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</si>
  <si>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</si>
  <si>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</si>
  <si>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</si>
  <si>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</si>
  <si>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</si>
  <si>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</si>
  <si>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</si>
  <si>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</si>
  <si>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</si>
  <si>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</si>
  <si>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</si>
  <si>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</si>
  <si>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</si>
  <si>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</si>
  <si>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</si>
  <si>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</si>
  <si>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</si>
  <si>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</si>
  <si>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</si>
  <si>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</si>
  <si>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</si>
  <si>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</si>
  <si>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</si>
  <si>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</si>
  <si>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</si>
  <si>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</si>
  <si>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</si>
  <si>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</si>
  <si>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</si>
  <si>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</si>
  <si>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</si>
  <si>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</si>
  <si>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</si>
  <si>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</si>
  <si>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</si>
  <si>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</si>
  <si>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</si>
  <si>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</si>
  <si>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</si>
  <si>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</si>
  <si>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</si>
  <si>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</si>
  <si>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</si>
  <si>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</si>
  <si>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</si>
  <si>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</si>
  <si>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</si>
  <si>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</si>
  <si>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</si>
  <si>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</si>
  <si>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</si>
  <si>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</si>
  <si>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</si>
  <si>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</si>
  <si>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</si>
  <si>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</si>
  <si>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</si>
  <si>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</si>
  <si>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</si>
  <si>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</si>
  <si>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</si>
  <si>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</si>
  <si>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</si>
  <si>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</si>
  <si>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</si>
  <si>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</si>
  <si>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</si>
  <si>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</si>
  <si>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</si>
  <si>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</si>
  <si>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</si>
  <si>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</si>
  <si>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</si>
  <si>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</si>
  <si>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</si>
  <si>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</si>
  <si>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</si>
  <si>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</si>
  <si>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</si>
  <si>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</si>
  <si>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</si>
  <si>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</si>
  <si>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</si>
  <si>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</si>
  <si>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</si>
  <si>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</si>
  <si>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</si>
  <si>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</si>
  <si>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</si>
  <si>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</si>
  <si>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</si>
  <si>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</si>
  <si>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</si>
  <si>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</si>
  <si>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</si>
  <si>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</si>
  <si>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</si>
  <si>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</si>
  <si>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</si>
  <si>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</si>
  <si>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</si>
  <si>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</si>
  <si>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</si>
  <si>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</si>
  <si>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</si>
  <si>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</si>
  <si>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</si>
  <si>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</si>
  <si>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</si>
  <si>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</si>
  <si>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</si>
  <si>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</si>
  <si>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</si>
  <si>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</si>
  <si>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</si>
  <si>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</si>
  <si>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</si>
  <si>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</si>
  <si>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</si>
  <si>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</si>
  <si>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</si>
  <si>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</si>
  <si>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</si>
  <si>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</si>
  <si>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</si>
  <si>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</si>
  <si>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</si>
  <si>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</si>
  <si>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</si>
  <si>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</si>
  <si>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</si>
  <si>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</si>
  <si>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</si>
  <si>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</si>
  <si>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</si>
  <si>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</si>
  <si>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</si>
  <si>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</si>
  <si>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</si>
  <si>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</si>
  <si>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</si>
  <si>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</si>
  <si>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</si>
  <si>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</si>
  <si>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</si>
  <si>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</si>
  <si>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</si>
  <si>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</si>
  <si>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</si>
  <si>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</si>
  <si>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</si>
  <si>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</si>
  <si>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</si>
  <si>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</si>
  <si>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</si>
  <si>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</si>
  <si>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</si>
  <si>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</si>
  <si>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</si>
  <si>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</si>
  <si>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</si>
  <si>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</si>
  <si>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</si>
  <si>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</si>
  <si>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</si>
  <si>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</si>
  <si>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</si>
  <si>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</si>
  <si>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</si>
  <si>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</si>
  <si>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</si>
  <si>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</si>
  <si>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</si>
  <si>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</si>
  <si>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</si>
  <si>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</si>
  <si>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</si>
  <si>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</si>
  <si>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</si>
  <si>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</si>
  <si>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</si>
  <si>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</si>
  <si>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</si>
  <si>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</si>
  <si>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</si>
  <si>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</si>
  <si>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</si>
  <si>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</si>
  <si>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</si>
  <si>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</si>
  <si>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</si>
  <si>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</si>
  <si>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</si>
  <si>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</si>
  <si>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</si>
  <si>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</si>
  <si>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</si>
  <si>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</si>
  <si>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</si>
  <si>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</si>
  <si>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</si>
  <si>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</si>
  <si>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</si>
  <si>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</si>
  <si>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</si>
  <si>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</si>
  <si>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</si>
  <si>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</si>
  <si>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</si>
  <si>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</si>
  <si>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</si>
  <si>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</si>
  <si>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</si>
  <si>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</si>
  <si>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</si>
  <si>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</si>
  <si>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</si>
  <si>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</si>
  <si>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</si>
  <si>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</si>
  <si>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</si>
  <si>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</si>
  <si>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</si>
  <si>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</si>
  <si>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</si>
  <si>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</si>
  <si>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</si>
  <si>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</si>
  <si>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</si>
  <si>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</si>
  <si>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</si>
  <si>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</si>
  <si>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</si>
  <si>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</si>
  <si>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</si>
  <si>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</si>
  <si>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</si>
  <si>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</si>
  <si>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</si>
  <si>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</si>
  <si>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</si>
  <si>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</si>
  <si>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</si>
  <si>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</si>
  <si>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</si>
  <si>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</si>
  <si>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</si>
  <si>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</si>
  <si>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</si>
  <si>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</si>
  <si>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</si>
  <si>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</si>
  <si>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</si>
  <si>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</si>
  <si>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</si>
  <si>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</si>
  <si>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</si>
  <si>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</si>
  <si>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</si>
  <si>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</si>
  <si>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</si>
  <si>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</si>
  <si>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</si>
  <si>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</si>
  <si>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</si>
  <si>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</si>
  <si>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</si>
  <si>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</si>
  <si>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</si>
  <si>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</si>
  <si>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</si>
  <si>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</si>
  <si>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</si>
  <si>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</si>
  <si>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</si>
  <si>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</si>
  <si>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</si>
  <si>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</si>
  <si>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</si>
  <si>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</si>
  <si>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</si>
  <si>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</si>
  <si>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</si>
  <si>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</si>
  <si>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</si>
  <si>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</si>
  <si>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</si>
  <si>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</si>
  <si>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</si>
  <si>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</si>
  <si>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</si>
  <si>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</si>
  <si>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</si>
  <si>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</si>
  <si>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</si>
  <si>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</si>
  <si>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</si>
  <si>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</si>
  <si>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</si>
  <si>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</si>
  <si>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</si>
  <si>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</si>
  <si>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</si>
  <si>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</si>
  <si>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</si>
  <si>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</si>
  <si>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</si>
  <si>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</si>
  <si>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</si>
  <si>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</si>
  <si>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</si>
  <si>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</si>
  <si>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</si>
  <si>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</si>
  <si>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</si>
  <si>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</si>
  <si>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</si>
  <si>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</si>
  <si>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</si>
  <si>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</si>
  <si>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</si>
  <si>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</si>
  <si>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</si>
  <si>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</si>
  <si>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</si>
  <si>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</si>
  <si>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</si>
  <si>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</si>
  <si>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</si>
  <si>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</si>
  <si>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</si>
  <si>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</si>
  <si>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</si>
  <si>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</si>
  <si>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</si>
  <si>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</si>
  <si>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</si>
  <si>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</si>
  <si>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</si>
  <si>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</si>
  <si>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</si>
  <si>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</si>
  <si>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</si>
  <si>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</si>
  <si>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</si>
  <si>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</si>
  <si>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</si>
  <si>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</si>
  <si>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</si>
  <si>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</si>
  <si>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</si>
  <si>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</si>
  <si>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</si>
  <si>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</si>
  <si>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</si>
  <si>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</si>
  <si>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</si>
  <si>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</si>
  <si>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</si>
  <si>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</si>
  <si>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</si>
  <si>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</si>
  <si>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</si>
  <si>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</si>
  <si>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</si>
  <si>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</si>
  <si>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</si>
  <si>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</si>
  <si>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</si>
  <si>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</si>
  <si>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</si>
  <si>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</si>
  <si>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</si>
  <si>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</si>
  <si>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</si>
  <si>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</si>
  <si>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</si>
  <si>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</si>
  <si>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</si>
  <si>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</si>
  <si>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</si>
  <si>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</si>
  <si>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</si>
  <si>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</si>
  <si>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</si>
  <si>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</si>
  <si>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</si>
  <si>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</si>
  <si>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</si>
  <si>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</si>
  <si>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</si>
  <si>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</si>
  <si>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</si>
  <si>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</si>
  <si>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</si>
  <si>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</si>
  <si>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</si>
  <si>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</si>
  <si>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</si>
  <si>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</si>
  <si>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</si>
  <si>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</si>
  <si>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</si>
  <si>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</si>
  <si>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</si>
  <si>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</si>
  <si>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</si>
  <si>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</si>
  <si>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</si>
  <si>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</si>
  <si>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</si>
  <si>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</si>
  <si>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</si>
  <si>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</si>
  <si>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</si>
  <si>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</si>
  <si>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</si>
  <si>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</si>
  <si>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</si>
  <si>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</si>
  <si>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</si>
  <si>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</si>
  <si>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</si>
  <si>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</si>
  <si>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</si>
  <si>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</si>
  <si>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</si>
  <si>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</si>
  <si>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</si>
  <si>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</si>
  <si>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</si>
  <si>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</si>
  <si>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</si>
  <si>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</si>
  <si>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</si>
  <si>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</si>
  <si>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</si>
  <si>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</si>
  <si>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</si>
  <si>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</si>
  <si>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</si>
  <si>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</si>
  <si>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</si>
  <si>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</si>
  <si>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</si>
  <si>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</si>
  <si>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</si>
  <si>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</si>
  <si>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</si>
  <si>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</si>
  <si>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</si>
  <si>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</si>
  <si>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</si>
  <si>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</si>
  <si>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</si>
  <si>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</si>
  <si>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</si>
  <si>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</si>
  <si>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</si>
  <si>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</si>
  <si>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</si>
  <si>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</si>
  <si>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</si>
  <si>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</si>
  <si>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</si>
  <si>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</si>
  <si>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</si>
  <si>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</si>
  <si>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</si>
  <si>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</si>
  <si>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</si>
  <si>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</si>
  <si>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</si>
  <si>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</si>
  <si>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</si>
  <si>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</si>
  <si>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</si>
  <si>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</si>
  <si>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</si>
  <si>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</si>
  <si>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</si>
  <si>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</si>
  <si>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</si>
  <si>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</si>
  <si>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</si>
  <si>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</si>
  <si>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</si>
  <si>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</si>
  <si>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</si>
  <si>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</si>
  <si>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</si>
  <si>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</si>
  <si>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</si>
  <si>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</si>
  <si>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</si>
  <si>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</si>
  <si>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</si>
  <si>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</si>
  <si>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</si>
  <si>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</si>
  <si>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</si>
  <si>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</si>
  <si>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</si>
  <si>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</si>
  <si>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</si>
  <si>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</si>
  <si>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</si>
  <si>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</si>
  <si>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</si>
  <si>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</si>
  <si>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</si>
  <si>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</si>
  <si>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</si>
  <si>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</si>
  <si>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</si>
  <si>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</si>
  <si>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</si>
  <si>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</si>
  <si>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</si>
  <si>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</si>
  <si>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</si>
  <si>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</si>
  <si>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</si>
  <si>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</si>
  <si>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</si>
  <si>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</si>
  <si>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</si>
  <si>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</si>
  <si>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</si>
  <si>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</si>
  <si>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</si>
  <si>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</si>
  <si>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</si>
  <si>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</si>
  <si>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</si>
  <si>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</si>
  <si>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</si>
  <si>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</si>
  <si>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</si>
  <si>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</si>
  <si>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</si>
  <si>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</si>
  <si>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</si>
  <si>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</si>
  <si>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</si>
  <si>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</si>
  <si>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</si>
  <si>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</si>
  <si>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</si>
  <si>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</si>
  <si>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</si>
  <si>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</si>
  <si>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</si>
  <si>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</si>
  <si>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</si>
  <si>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</si>
  <si>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</si>
  <si>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</si>
  <si>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</si>
  <si>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</si>
  <si>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</si>
  <si>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</si>
  <si>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</si>
  <si>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</si>
  <si>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</si>
  <si>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</si>
  <si>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</si>
  <si>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</si>
  <si>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</si>
  <si>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</si>
  <si>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</si>
  <si>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</si>
  <si>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</si>
  <si>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</si>
  <si>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</si>
  <si>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</si>
  <si>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</si>
  <si>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</si>
  <si>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</si>
  <si>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</si>
  <si>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</si>
  <si>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</si>
  <si>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</si>
  <si>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</si>
  <si>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</si>
  <si>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</si>
  <si>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</si>
  <si>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</si>
  <si>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</si>
  <si>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</si>
  <si>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</si>
  <si>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</si>
  <si>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</si>
  <si>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</si>
  <si>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</si>
  <si>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</si>
  <si>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</si>
  <si>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</si>
  <si>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</si>
  <si>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</si>
  <si>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</si>
  <si>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</si>
  <si>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</si>
  <si>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</si>
  <si>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</si>
  <si>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</si>
  <si>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</si>
  <si>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</si>
  <si>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</si>
  <si>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</si>
  <si>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</si>
  <si>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</si>
  <si>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</si>
  <si>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</si>
  <si>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</si>
  <si>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</si>
  <si>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</si>
  <si>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</si>
  <si>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</si>
  <si>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</si>
  <si>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</si>
  <si>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</si>
  <si>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</si>
  <si>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</si>
  <si>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</si>
  <si>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</si>
  <si>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</si>
  <si>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</si>
  <si>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</si>
  <si>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</si>
  <si>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</si>
  <si>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</si>
  <si>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</si>
  <si>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</si>
  <si>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</si>
  <si>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</si>
  <si>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</si>
  <si>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</si>
  <si>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</si>
  <si>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</si>
  <si>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</si>
  <si>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</si>
  <si>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</si>
  <si>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</si>
  <si>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</si>
  <si>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</si>
  <si>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</si>
  <si>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</si>
  <si>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</si>
  <si>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</si>
  <si>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</si>
  <si>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</si>
  <si>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</si>
  <si>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</si>
  <si>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</si>
  <si>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</si>
  <si>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</si>
  <si>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</si>
  <si>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</si>
  <si>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</si>
  <si>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</si>
  <si>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</si>
  <si>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</si>
  <si>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</si>
  <si>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</si>
  <si>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</si>
  <si>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</si>
  <si>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</si>
  <si>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</si>
  <si>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</si>
  <si>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</si>
  <si>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</si>
  <si>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</si>
  <si>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</si>
  <si>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</si>
  <si>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</si>
  <si>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</si>
  <si>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</si>
  <si>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</si>
  <si>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</si>
  <si>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</si>
  <si>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</si>
  <si>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</si>
  <si>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</si>
  <si>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</si>
  <si>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</si>
  <si>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</si>
  <si>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</si>
  <si>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</si>
  <si>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</si>
  <si>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</si>
  <si>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</si>
  <si>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</si>
  <si>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</si>
  <si>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</si>
  <si>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</si>
  <si>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</si>
  <si>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</si>
  <si>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</si>
  <si>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</si>
  <si>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</si>
  <si>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</si>
  <si>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</si>
  <si>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</si>
  <si>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</si>
  <si>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</si>
  <si>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</si>
  <si>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</si>
  <si>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</si>
  <si>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</si>
  <si>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</si>
  <si>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</si>
  <si>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</si>
  <si>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</si>
  <si>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</si>
  <si>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</si>
  <si>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</si>
  <si>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</si>
  <si>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</si>
  <si>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</si>
  <si>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</si>
  <si>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</si>
  <si>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</si>
  <si>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</si>
  <si>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</si>
  <si>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</si>
  <si>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</si>
  <si>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</si>
  <si>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</si>
  <si>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</si>
  <si>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</si>
  <si>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</si>
  <si>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</si>
  <si>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</si>
  <si>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</si>
  <si>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</si>
  <si>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</si>
  <si>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</si>
  <si>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</si>
  <si>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</si>
  <si>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</si>
  <si>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</si>
  <si>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</si>
  <si>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</si>
  <si>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</si>
  <si>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</si>
  <si>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</si>
  <si>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</si>
  <si>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</si>
  <si>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</si>
  <si>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</si>
  <si>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</si>
  <si>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</si>
  <si>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</si>
  <si>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</si>
  <si>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</si>
  <si>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</si>
  <si>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</si>
  <si>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</si>
  <si>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</si>
  <si>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</si>
  <si>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</si>
  <si>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</si>
  <si>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</si>
  <si>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</si>
  <si>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</si>
  <si>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</si>
  <si>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</si>
  <si>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</si>
  <si>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</si>
  <si>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</si>
  <si>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</si>
  <si>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</si>
  <si>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</si>
  <si>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</si>
  <si>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</si>
  <si>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</si>
  <si>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</si>
  <si>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</si>
  <si>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</si>
  <si>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</si>
  <si>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</si>
  <si>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</si>
  <si>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</si>
  <si>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</si>
  <si>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</si>
  <si>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</si>
  <si>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</si>
  <si>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</si>
  <si>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</si>
  <si>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</si>
  <si>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</si>
  <si>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</si>
  <si>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</si>
  <si>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</si>
  <si>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</si>
  <si>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</si>
  <si>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</si>
  <si>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</si>
  <si>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</si>
  <si>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</si>
  <si>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</si>
  <si>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</si>
  <si>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</si>
  <si>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</si>
  <si>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</si>
  <si>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</si>
  <si>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</si>
  <si>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</si>
  <si>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</si>
  <si>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</si>
  <si>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</si>
  <si>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</si>
  <si>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</si>
  <si>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</si>
  <si>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</si>
  <si>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</si>
  <si>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</si>
  <si>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</si>
  <si>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</si>
  <si>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</si>
  <si>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</si>
  <si>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</si>
  <si>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</si>
  <si>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</si>
  <si>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</si>
  <si>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</si>
  <si>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</si>
  <si>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</si>
  <si>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</si>
  <si>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</si>
  <si>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</si>
  <si>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</si>
  <si>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</si>
  <si>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</si>
  <si>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</si>
  <si>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</si>
  <si>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</si>
  <si>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</si>
  <si>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</si>
  <si>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</si>
  <si>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</si>
  <si>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</si>
  <si>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</si>
  <si>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</si>
  <si>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</si>
  <si>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</si>
  <si>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</si>
  <si>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</si>
  <si>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</si>
  <si>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</si>
  <si>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</si>
  <si>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</si>
  <si>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</si>
  <si>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</si>
  <si>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</si>
  <si>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</si>
  <si>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</si>
  <si>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</si>
  <si>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</si>
  <si>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</si>
  <si>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</si>
  <si>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</si>
  <si>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</si>
  <si>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</si>
  <si>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</si>
  <si>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</si>
  <si>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</si>
  <si>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</si>
  <si>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</si>
  <si>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</si>
  <si>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</si>
  <si>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</si>
  <si>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</si>
  <si>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</si>
  <si>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</si>
  <si>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</si>
  <si>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</si>
  <si>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</si>
  <si>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</si>
  <si>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</si>
  <si>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</si>
  <si>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</si>
  <si>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</si>
  <si>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</si>
  <si>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</si>
  <si>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</si>
  <si>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</si>
  <si>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</si>
  <si>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</si>
  <si>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</si>
  <si>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</si>
  <si>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</si>
  <si>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</si>
  <si>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</si>
  <si>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</si>
  <si>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</si>
  <si>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</si>
  <si>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</si>
  <si>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</si>
  <si>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</si>
  <si>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</si>
  <si>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</si>
  <si>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</si>
  <si>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</si>
  <si>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</si>
  <si>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</si>
  <si>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</si>
  <si>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</si>
  <si>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</si>
  <si>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</si>
  <si>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</si>
  <si>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</si>
  <si>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</si>
  <si>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</si>
  <si>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</si>
  <si>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</si>
  <si>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</si>
  <si>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</si>
  <si>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</si>
  <si>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</si>
  <si>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</si>
  <si>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</si>
  <si>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</si>
  <si>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</si>
  <si>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</si>
  <si>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</si>
  <si>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</si>
  <si>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</si>
  <si>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</si>
  <si>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</si>
  <si>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</si>
  <si>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</si>
  <si>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</si>
  <si>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</si>
  <si>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</si>
  <si>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</si>
  <si>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</si>
  <si>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</si>
  <si>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</si>
  <si>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</si>
  <si>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</si>
  <si>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</si>
  <si>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</si>
  <si>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</si>
  <si>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</si>
  <si>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</si>
  <si>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</si>
  <si>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</si>
  <si>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</si>
  <si>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</si>
  <si>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</si>
  <si>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</si>
  <si>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</si>
  <si>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</si>
  <si>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</si>
  <si>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</si>
  <si>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</si>
  <si>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</si>
  <si>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</si>
  <si>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</si>
  <si>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</si>
  <si>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</si>
  <si>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</si>
  <si>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</si>
  <si>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</si>
  <si>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</si>
  <si>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</si>
  <si>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</si>
  <si>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</si>
  <si>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</si>
  <si>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</si>
  <si>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</si>
  <si>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</si>
  <si>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</si>
  <si>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</si>
  <si>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</si>
  <si>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</si>
  <si>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</si>
  <si>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</si>
  <si>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</si>
  <si>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</si>
  <si>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</si>
  <si>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</si>
  <si>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</si>
  <si>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</si>
  <si>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</si>
  <si>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</si>
  <si>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</si>
  <si>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</si>
  <si>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</si>
  <si>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</si>
  <si>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</si>
  <si>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</si>
  <si>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</si>
  <si>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</si>
  <si>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</si>
  <si>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</si>
  <si>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</si>
  <si>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</si>
  <si>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</si>
  <si>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</si>
  <si>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</si>
  <si>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</si>
  <si>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</si>
  <si>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</si>
  <si>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</si>
  <si>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</si>
  <si>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</si>
  <si>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</si>
  <si>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</si>
  <si>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</si>
  <si>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</si>
  <si>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</si>
  <si>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</si>
  <si>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</si>
  <si>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</si>
  <si>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</si>
  <si>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</si>
  <si>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</si>
  <si>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</si>
  <si>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</si>
  <si>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</si>
  <si>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</si>
  <si>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</si>
  <si>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</si>
  <si>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</si>
  <si>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</si>
  <si>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</si>
  <si>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</si>
  <si>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</si>
  <si>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</si>
  <si>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</si>
  <si>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</si>
  <si>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</si>
  <si>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</si>
  <si>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</si>
  <si>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</si>
  <si>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</si>
  <si>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</si>
  <si>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</si>
  <si>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</si>
  <si>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</si>
  <si>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</si>
  <si>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</si>
  <si>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</si>
  <si>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</si>
  <si>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</si>
  <si>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</si>
  <si>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</si>
  <si>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</si>
  <si>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</si>
  <si>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</si>
  <si>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</si>
  <si>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</si>
  <si>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</si>
  <si>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</si>
  <si>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</si>
  <si>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</si>
  <si>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</si>
  <si>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</si>
  <si>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</si>
  <si>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</si>
  <si>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</si>
  <si>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</si>
  <si>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</si>
  <si>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</si>
  <si>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</si>
  <si>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</si>
  <si>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</si>
  <si>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</si>
  <si>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</si>
  <si>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</si>
  <si>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</si>
  <si>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</si>
  <si>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</si>
  <si>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</si>
  <si>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</si>
  <si>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</si>
  <si>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</si>
  <si>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</si>
  <si>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</si>
  <si>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</si>
  <si>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</si>
  <si>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</si>
  <si>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</si>
  <si>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</si>
  <si>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</si>
  <si>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</si>
  <si>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</si>
  <si>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</si>
  <si>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</si>
  <si>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</si>
  <si>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</si>
  <si>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</si>
  <si>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</si>
  <si>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</si>
  <si>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</si>
  <si>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</si>
  <si>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</si>
  <si>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</si>
  <si>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</si>
  <si>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</si>
  <si>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</si>
  <si>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</si>
  <si>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</si>
  <si>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</si>
  <si>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</si>
  <si>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</si>
  <si>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</si>
  <si>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</si>
  <si>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</si>
  <si>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</si>
  <si>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</si>
  <si>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</si>
  <si>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</si>
  <si>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</si>
  <si>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</si>
  <si>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</si>
  <si>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</si>
  <si>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</si>
  <si>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</si>
  <si>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</si>
  <si>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</si>
  <si>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</si>
  <si>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</si>
  <si>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</si>
  <si>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</si>
  <si>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</si>
  <si>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</si>
  <si>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</si>
  <si>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</si>
  <si>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</si>
  <si>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</si>
  <si>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</si>
  <si>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</si>
  <si>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</si>
  <si>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</si>
  <si>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</si>
  <si>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</si>
  <si>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</si>
  <si>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</si>
  <si>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</si>
  <si>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</si>
  <si>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</si>
  <si>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</si>
  <si>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</si>
  <si>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</si>
  <si>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</si>
  <si>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</si>
  <si>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</si>
  <si>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</si>
  <si>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</si>
  <si>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</si>
  <si>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</si>
  <si>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</si>
  <si>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</si>
  <si>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</si>
  <si>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</si>
  <si>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</si>
  <si>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</si>
  <si>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</si>
  <si>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</si>
  <si>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</si>
  <si>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</si>
  <si>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</si>
  <si>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</si>
  <si>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</si>
  <si>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</si>
  <si>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</si>
  <si>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</si>
  <si>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</si>
  <si>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</si>
  <si>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</si>
  <si>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</si>
  <si>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</si>
  <si>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</si>
  <si>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</si>
  <si>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</si>
  <si>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</si>
  <si>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</si>
  <si>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</si>
  <si>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</si>
  <si>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</si>
  <si>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</si>
  <si>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</si>
  <si>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</si>
  <si>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</si>
  <si>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</si>
  <si>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</si>
  <si>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</si>
  <si>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</si>
  <si>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</si>
  <si>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</si>
  <si>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</si>
  <si>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</si>
  <si>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</si>
  <si>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</si>
  <si>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</si>
  <si>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</si>
  <si>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</si>
  <si>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</si>
  <si>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</si>
  <si>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</si>
  <si>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</si>
  <si>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</si>
  <si>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</si>
  <si>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</si>
  <si>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</si>
  <si>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</si>
  <si>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</si>
  <si>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</si>
  <si>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</si>
  <si>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</si>
  <si>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</si>
  <si>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</si>
  <si>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</si>
  <si>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</si>
  <si>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</si>
  <si>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</si>
  <si>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</si>
  <si>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</si>
  <si>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</si>
  <si>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</si>
  <si>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</si>
  <si>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</si>
  <si>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</si>
  <si>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</si>
  <si>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</si>
  <si>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</si>
  <si>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</si>
  <si>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</si>
  <si>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</si>
  <si>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</si>
  <si>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</si>
  <si>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</si>
  <si>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</si>
  <si>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</si>
  <si>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</si>
  <si>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</si>
  <si>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</si>
  <si>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</si>
  <si>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</si>
  <si>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</si>
  <si>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</si>
  <si>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</si>
  <si>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</si>
  <si>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</si>
  <si>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</si>
  <si>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</si>
  <si>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</si>
  <si>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</si>
  <si>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</si>
  <si>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</si>
  <si>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</si>
  <si>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</si>
  <si>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</si>
  <si>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</si>
  <si>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</si>
  <si>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</si>
  <si>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</si>
  <si>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</si>
  <si>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</si>
  <si>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</si>
  <si>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</si>
  <si>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</si>
  <si>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</si>
  <si>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</si>
  <si>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</si>
  <si>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</si>
  <si>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</si>
  <si>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</si>
  <si>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</si>
  <si>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</si>
  <si>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</si>
  <si>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</si>
  <si>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</si>
  <si>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</si>
  <si>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</si>
  <si>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</si>
  <si>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</si>
  <si>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</si>
  <si>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</si>
  <si>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</si>
  <si>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</si>
  <si>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</si>
  <si>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</si>
  <si>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</si>
  <si>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</si>
  <si>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</si>
  <si>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</si>
  <si>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</si>
  <si>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</si>
  <si>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</si>
  <si>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</si>
  <si>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</si>
  <si>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</si>
  <si>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</si>
  <si>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</si>
  <si>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</si>
  <si>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</si>
  <si>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</si>
  <si>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</si>
  <si>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</si>
  <si>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</si>
  <si>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</si>
  <si>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</si>
  <si>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</si>
  <si>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</si>
  <si>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</si>
  <si>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</si>
  <si>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</si>
  <si>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</si>
  <si>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</si>
  <si>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</si>
  <si>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</si>
  <si>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</si>
  <si>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</si>
  <si>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</si>
  <si>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</si>
  <si>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</si>
  <si>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</si>
  <si>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</si>
  <si>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</si>
  <si>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</si>
  <si>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</si>
  <si>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</si>
  <si>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</si>
  <si>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</si>
  <si>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</si>
  <si>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</si>
  <si>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</si>
  <si>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</si>
  <si>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</si>
  <si>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</si>
  <si>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</si>
  <si>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</si>
  <si>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</si>
  <si>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</si>
  <si>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</si>
  <si>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</si>
  <si>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</si>
  <si>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</si>
  <si>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</si>
  <si>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</si>
  <si>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</si>
  <si>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</si>
  <si>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</si>
  <si>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</si>
  <si>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</si>
  <si>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</si>
  <si>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</si>
  <si>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</si>
  <si>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</si>
  <si>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</si>
  <si>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</si>
  <si>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</si>
  <si>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</si>
  <si>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</si>
  <si>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</si>
  <si>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</si>
  <si>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</si>
  <si>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</si>
  <si>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</si>
  <si>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</si>
  <si>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</si>
  <si>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</si>
  <si>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</si>
  <si>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</si>
  <si>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</si>
  <si>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</si>
  <si>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</si>
  <si>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</si>
  <si>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</si>
  <si>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</si>
  <si>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</si>
  <si>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</si>
  <si>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</si>
  <si>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</si>
  <si>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</si>
  <si>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</si>
  <si>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</si>
  <si>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</si>
  <si>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</si>
  <si>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</si>
  <si>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</si>
  <si>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</si>
  <si>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</si>
  <si>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</si>
  <si>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</si>
  <si>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</si>
  <si>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</si>
  <si>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</si>
  <si>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</si>
  <si>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</si>
  <si>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</si>
  <si>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</si>
  <si>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</si>
  <si>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</si>
  <si>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</si>
  <si>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</si>
  <si>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</si>
  <si>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</si>
  <si>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</si>
  <si>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</si>
  <si>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</si>
  <si>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</si>
  <si>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</si>
  <si>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</si>
  <si>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Firman Sababalat</t>
  </si>
  <si>
    <t/>
  </si>
  <si>
    <t>KAP Rintis, Jumadi, Rianto &amp; Rekan</t>
  </si>
  <si>
    <t>2025-12-31</t>
  </si>
  <si>
    <t>ADRO</t>
  </si>
  <si>
    <t>2026-06-30</t>
  </si>
  <si>
    <t>2026-01-01</t>
  </si>
  <si>
    <t>2026-08-26</t>
  </si>
  <si>
    <t>AA522</t>
  </si>
  <si>
    <t>Alamtri Resources Indonesia Tbk</t>
  </si>
  <si>
    <t>2025-06-30</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</si>
  <si>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</si>
  <si>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Jasa pertambangan</t>
  </si>
  <si>
    <t>6.2% - 9.1%</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</si>
  <si>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entitas-entitas AMC, disusutkan hingga mencapai estimasi nilai sisa menggunakan metode garis lurus selama estimasi masa manfaatnya sebagai berikut:
	Tahun/Years	
Bangunan		8 - 20		Buildings
Infrastruktur		4 - 30		Infrastructure
Pembangkit listrik		25		Power plants
Mesin, peralatan operasional,				Machineries, operational equipment
	dan kendaraan		4 - 30		and vehicles
Peralatan kantor		2 - 10		Office equipment
Aset tetap entitas-entitas AMC disusutkan menggunakan metode garis lurus selama periode yang lebih rendah antara estimasi masa manfaat aset, umur tambang, atau masa jangka waktu PKP2B, sebagai berikut:
		Tahun/Years	
Bangunan		3 - 20		Buildings
Infrastruktur		3 - 20		Infrastructure
Mesin, peralatan operasional, 				Machineries, operational equipment
	dan kendaraan		3 - 25		and vehicles
Peralatan kantor 		2 - 10		Office equipment
Fasilitas peremukan dan pengolahan 		2 - 30		Crushing and handling facilities
Jalan dan jembatan		30		Roads and bridges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2m).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</si>
  <si>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Tanah untuk pengembangan dinyatakan sebesar nilai yang lebih rendah antara biaya perolehan dan nilai realisasi neto.
Biaya perolehan tanah untuk pengembangan, terdiri dari biaya pengadaan tanah, biaya pengembangan langsung, dan tidak langsung dan biaya pinjaman.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</si>
  <si>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</si>
  <si>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Piutang usaha adalah jumlah terutang dari pelanggan atas penjualan batubara dan listrik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dan non-usaha pada awalnya diakui sebesar imbalan yang tidak bersyarat, kecuali jika piutang tersebut mengandung komponen pendanaan yang signifikan, dalam hal ini mereka diakui pada nilai wajar. Selanjutnya diukur pada biaya perolehan diamortisasi dengan menggunakan metode suku bunga efektif, dikurangi penyisihan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</si>
  <si>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Penerapan dari amandemen dan revisi terhadap standar akuntansi, yang berlaku efektif sejak tanggal 1 Januari 2026 berikut tidak menyebabkan perubahan signifikan atas kebijakan akuntansi Grup dan tidak memberikan dampak yang material terhadap jumlah yang dilaporkan di laporan keuangan konsolidasian interim pada periode berjalan: 
-	Amandemen PSAK 109 dan PSAK 107  dan Pengukuran Laporan Keuangan
-	Amendments of SFAS No. 109 and SFAS No. 107  and Measurement of Financial Instruments
-	Penyesuaian Tahunan PSAK 107  Keuangan: Pengungkapan
-	Penyesuaian Tahunan PSAK 109  Keuangan
-	Penyesuaian Tahunan PSAK 110  Keuangan Konsolidasian
-	Penyesuaian Tahunan PSAK 207  Arus Kas
-	Amandemen PSAK 338  Bisnis Entitas Sepengendali</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</si>
  <si>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</si>
  <si>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Penjualan hasil tambang</t>
  </si>
  <si>
    <t>2026 - 2031</t>
  </si>
  <si>
    <t>Fixed and JIBOR</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</si>
  <si>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j.	Instrumen keuangan derivatif dan aktivitas lindung nilai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</si>
  <si>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</si>
  <si>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Pembagian dividen kepada pemegang saham Perusahaan diakui sebagai liabilitas dalam laporan keuangan konsolidasian interim dalam periode ketika pembagian dividen telah diumumkan.</t>
  </si>
  <si>
    <t>5.2% - 8.1%</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</si>
  <si>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</si>
  <si>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Saldo utang usaha terutama berasal dari pembelian suku cadang, jasa perbaikan dan pemeliharaan, jasa pengangkutan batubara, pembelian bahan baku, bahan bakar, dan aset tetap dan jasa pertambangan batubara.</t>
  </si>
  <si>
    <t>kesimpulan reviu tidak terdapat hal yang menjadi perhatian yang menyebabkan laporan keuangan konsolidasian interim tidak menyajikan secara wajar, dalam semua hal yang material, berdasarkan Standar Akuntansi Keuangan di Indonesia</t>
  </si>
  <si>
    <t>Saham biasa dikelompokkan sebagai ekuitas, dan biaya langsung yang berkaitan dengan penerbitan saham baru atau opsi disajikan sebagai pengurang ekuitas, setelah dikurangi pajak, dari jumlah yang diterima.</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</si>
  <si>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</si>
  <si>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SOFR</t>
  </si>
  <si>
    <t>Pada tanggal 30 Juni 2026 dan 31 Desember 2025, persediaan Grup telah diasuransikan terhadap risiko kerusakan signifikan dengan nilai pertanggungan sebesar masing-masing AS$424.022 dan AS$104.475.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30 Juni 2026 dan 31 Desember 2025.</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</si>
  <si>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</si>
  <si>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interim Grup telah disusun berdasarkan Pernyataan Standar Akuntansi Keuangan dan Peraturan No. VIII.G.7 tentang  dan Pengungkapan Laporan Keuangan Emiten atau Perusahaan Publik.
Laporan keuangan konsolidasian interim telah disusun berdasarkan konsep harga perolehan, kecuali untuk aset keuangan tertentu yang diakui berdasarkan nilai wajar, serta menggunakan dasar akrual kecuali untuk laporan arus kas konsolidasian.
Penyusunan laporan keuangan konsolidasian interim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t>
  </si>
  <si>
    <t>Instrumen keuangan adalah setiap kontrak yang memberikan kenaikan nilai aset keuangan dari satu entitas dan liabilitas keuangan atau instrumen ekuitas dari entitas lainnya.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Klasifikasi, pengakuan dan pengukuran (lanjutan)
(i).	Aset keuangan diukur pada biaya perolehan diamortisasi (lanjutan)
Grup mengakui investasi dalam instrumen utang pada nilai wajar saat pengakuan awal. Apabila harga transaksi berbeda dari nilai wajar aset keuangan yang diperoleh, Grup melakukan penilaian apakah akuisisi tersebut mencakup elemen tambahan selain aset keuangan. Jika ditemukan elemen lainnya, Grup mengakui selisih antara harga transaksi dan nilai wajar tersebut sebagai beban/penghasilan yang diakui segera atau menangguhkannya selama umur aset keuangan, kecuali elemen-elemen tersebut telah diakui sesuai dengan standar akuntansi yang berlaku.
Apabila tidak ditemukan elemen lainnya, Grup mengakui selisih tersebut langsung ke laba rugi kecuali terdapat penggunaan input Level 3 yang signifikan dalam menentukan nilai wajar investasi dalam instrumen utang. Dalam hal ini, Grup menangguhkan selisih antara nilai wajar dan harga transaksi pada saat pengakuan awal. Setelah pengakuan awal, Grup mengakui selisih tangguhan tersebut sebagai keuntungan atau kerugian ketika input-input pasar telah dapat diobservasi.
(ii).	Aset keuangan diukur pada nilai wajar melalui laba rugi
Klasifikasi ini berlaku untuk aset keuangan berikut. Dalam semua kasus, biaya transaksi dibebankan pada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membuat pilihan yang takterbatalkan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Lihat Catatan 2j untuk rincian kebijakan akuntansi Grup atas instrumen keuangan derivatif.
Penghentian pengakuan
Aset keuangan dihentikan pengakuannya ketika hak untuk menerima arus kas dari investasi tersebut telah jatuh tempo atau telah ditransfer dan Grup telah mentransfer secara substansial seluruh risiko dan manfaat atas kepemilikan aset.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ii.	Liabilitas keuangan 
Pengakuan awal 
Liabilitas keuangan dalam lingkup PSAK 109 diklasifikasikan sebagai berikut:
1.	Liabilitas keuangan yang diukur dengan biaya diamortisasi.
2.	Liabilitas keuangan yang diukur pada nilai wajar melalui laba rugi.
Grup menentukan klasifikasi liabilitas keuangannya pada saat pengakuan awal.
Seluruh liabilitas keuangan diakui pada awalnya sebesar nilai wajar dan, dalam hal pinjaman dan utang, termasuk biaya transaksi yang dapat diatribusikan secara langsung.
Pengukuran setelah pengakuan awal
Liabilitas keuangan diukur dengan biaya perolehan diamortisasi.
Liabilitas keuangan yang diukur pada biaya amortisasi (misalnya pinjaman dan utang yang dikenakan bunga) selanjutnya diukur dengan menggunakan metode EIR. Amortisasi EIR termasuk di dalam biaya keuangan dalam laporan laba rugi konsolidasian.
Keuntungan atau kerugian diakui dalam laporan laba rugi konsolidasian pada saat liabilitas tersebut dihentikan pengakuannya serta melalui proses amortisasi EIR.
Penghentian pengakuan
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iii.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
vi.	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utamanya bertindak untuk kepentingan ekonomi terbaik mereka.
Grup menggunakan teknik penilaian yang sesuai dengan keadaan dan di mana data memadai tersedia untuk mengukur nilai wajar, memaksimalkan penggunaan input yang dapat diobservasi yang relevan dan meminimalkan penggunaan input relevan yang tidak dapat diobservasi.
Semua aset dan liabilitas di mana nilai wajar diukur atau diungkapkan dalam laporan keuangan konsolidasian dapat dikategorikan pada level hierarki nilai wajar, sebagaimana dijelaskan di bawah ini, berdasarkan tingkatan input terendah yang signifikan atas pengukuran nilai wajar secara keseluruhan:
-	Tingkat 1 - Harga kuotasian (tanpa penyesuaian) di pasar aktif untuk aset atau liabilitas yang identik;
Semua aset dan liabilitas di mana nilai wajar diukur atau diungkapkan dalam laporan keuangan konsolidasian dapat dikategorikan pada level hierarki nilai wajar, sebagaimana dijelaskan di bawah ini, berdasarkan tingkatan input terendah yang signifikan atas pengukuran nilai wajar secara keseluruhan: (lanjutan)
-	Tingkat 2 - Teknik penilaian di mana input level terendah yang signifikan terhadap pengukuran nilai wajar yang dapat diobservasi baik secara langsung atau tidak langsung;
-	Tingkat 3 - Teknik penilaian di mana input level terendah yang signifikan terhadap pengukuran yang tidak dapat diobservasi.
Untuk aset dan liabilitas yang diakui sebesar nilai wajar dalam laporan keuangan konsolidasian secara berulang, Grup menentukan apakah terjadi transfer antara Level di dalam hierarki dengan cara mengevaluasi kategori (berdasarkan input level terendah yang signifikan dalam pengukuran nilai wajar secara keseluruhan) pada setiap akhir tahun pelaporan.
Untuk tujuan pengungkapan nilai wajar, Grup telah menentukan kategori aset dan liabilitas berdasarkan sifat, karakteristik, dan risiko dari aset atau liabilitas tersebut, dan level hierarki nilai wajar seperti dijelaskan di atas.
Penyesuaian risiko kredit
Grup melakukan penyesuaian harga dalam kondisi pasar yang lebih menguntungkan untuk mencerminkan adanya perbedaan risiko kredit di pihak lawan antara instrumen yang diperdagangkan di pasar tersebut dengan instrumen yang sedang dinilai untuk posisi aset keuangan. Dalam menentukan nilai wajar liabilitas keuangan, risiko kredit Grup terkait dengan instrumen harus diperhitungkan.</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</si>
  <si>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</si>
  <si>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KAP Rintis, Jumadi, Rianto  Rekan</t>
  </si>
  <si>
    <t>IndONIA</t>
  </si>
  <si>
    <t>8.6% - 9.1%</t>
  </si>
  <si>
    <t>Adaro Indonesia</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</si>
  <si>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pada asosiasi dan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
Selain pajak penghasilan, Grup juga mengakui bentuk pembayaran lain ke Pemerintah yang dihitung berdasarkan produksi atau pendapatan (yaitu biaya royalti). Iuran eksploitasi dan royalti dianggap sebagai pajak penghasilan apabila mereka memiliki karakteristik sebagai pajak penghasilan. Hal ini dipertimbangkan demikian apabila dipersyaratkan oleh Pemerintah dan jumlah terutang didasarkan pada penghasilan kena pajak daripada kuantitas fisik yang diproduksi atau persentase dari penjualan. Untuk perjanjian yang demikian, pajak penghasilan kini dan tangguhan ditetapkan dengan dasar yang sama seperti yang dijelaskan di atas untuk bentuk perpajakan lainnya. Kewajiban Grup yang timbul dari ketentuan iuran eksploitasi atau royalti dalam PKP2B entitas-entitas AMC tidak memenuhi kriteria sebagai pajak penghasilan, sehingga diakui sebagai provisi dan dicatat sebagai beban pokok pendapatan.</t>
  </si>
  <si>
    <t>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entitas asosiasi dan ventura bersama 
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dan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</si>
  <si>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t>
  </si>
  <si>
    <t>Laba per saham dasar dihitung dengan membagi laba tahun berjalan yang diatribusikan kepada pemegang saham Perusahaan dengan jumlah rata-rata tertimbang saham biasa yang beredar pada tahun berjalan.
Laba per saham dilusian dihitung dengan membagi laba tahun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periode yang bersangkutan, berdasarkan asumsi bahwa semua opsi telah dilaksanakan dan seluruh utang obligasi konversi telah dikonversikan.</t>
  </si>
  <si>
    <t>Lain-lain</t>
  </si>
  <si>
    <t>Manajemen Grup berpendapat bahwa cadangan kerugian atas piutang usaha pada tanggal 
30 Juni 2026 dan 31 Desember 2025 tidak material sehingga cadangan kerugian kredit ekspektasian tidak diperlukan.</t>
  </si>
  <si>
    <t>Penerapan dari standar baru berikut berlaku efektif mulai 1 Januari 2027. Penerapan retrospektif diwajibkan, sehingga informasi komparatif untuk tahun keuangan yang berakhir pada 31 Desember 2026 akan disajikan ulang sesuai dengan standar ini.
-	PSAK No. 118,  dan Pengungkapan dalam Laporan Keuangan
-	Amandemen PSAK 221  ke Mata Uang Penyajian Hiperinflasi</t>
  </si>
  <si>
    <t>Tidak ada transaksi pembelian kepada satu pemasok dengan total transaksi kumulatif lebih dari 10% dari total pendapatan usaha konsolidasian untuk periode enam bulan yang berakhir pada tanggal 30 Juni 2026 dan 2025. 
Lihat Catatan 32 untuk informasi rincian transaksi dan saldo dengan pihak berelasi.</t>
  </si>
  <si>
    <t>Pendapatan penjualan diakui pada setiap penjualan individu ketika pengendalian beralih kepada pelanggan. 
Pengendalian beralih ke pelanggan dan pendapatan penjualan diakui ketika produk dimuat ke kapal di mana batubara akan dikirim ke pelabuhan tujuan atau tempat pelanggan.
Grup secara umum menjual batubara dengan ketentuan Free on Board (), di mana Grup tidak memiliki tanggung jawab untuk pengangkutan atau asuransi setelah pengendalian barang telah beralih di pelabuhan muat. Untuk ketentuan ini hanya ada satu kewajiban pelaksanaan, yaitu untuk penyediaan produk pada titik di mana pengendalian beralih. 
Grup mengakui pendapatan atas terpenuhinya kewajiban pelaksanaan dalam suatu periode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sewa dan jasa lainnya, diakui atas dasar pekerjaan yang diselesaikan dalam suatu waktu pada saat jasa tersebut diberikan kepada pelanggan.
Beban
i.	Pengakuan beban	
Beban-beban lainnya diakui pada saat terjadinya.</t>
  </si>
  <si>
    <t>Adaro International (Singapore) Pte Ltd</t>
  </si>
  <si>
    <t>a.Perjanjian Fasilitas AS$981.400 dan  Rp1.547.900.000.000
Pada 12 Mei 2023, KAI menandatangani Perjanjian Fasilitas dengan sindikasi bank nasional yang mana Bank Mandiri bertindak sebagai agen fasilitas ( Pinjaman KAI). 
Fasilitas Pinjaman KAI terdiri dari fasilitas pinjaman berjangka dalam mata uang: (i) Dolar AS, dengan total komitmen sebesar AS$981.400 dan tingkat suku bunga tahunan sebesar Secured Overnight Financing Rate () ditambah persentase tertentu ( Pinjaman KAI Tranche A); serta (ii) Rupiah, dengan total komitmen sebesar Rp1.547.900.000.000 (nilai penuh) dan tingkat suku bunga tahunan sebesar Jakarta Interbank Offered Rate () ditambah persentase tertentu ( Pinjaman KAI Tranche B). Fasilitas Pinjaman KAI ini akan jatuh tempo paling lama 8 (delapan) tahun sejak tanggal penandatanganan Fasilitas Pinjaman KAI.
Fasilitas Pinjaman KAI akan digunakan antara lain untuk tujuan pembiayaan pengembangan proyek smelter aluminium dan fasilitas pendukungnya milik KAI yang berlokasi di kawasan industri KIPI di Kalimantan Utara, Indonesia. 
Terkait dengan fasilitas pinjaman KAI, (i) AIA telah memberikan jaminan gadai atas saham miliknya di KAI, (ii) KAI telah memberikan jaminan berupa jaminan gadai atas sebagian rekening bank, jaminan fidusia atas aset tetap material milik KAI, jaminan fidusia atas piutang yang diterima oleh KAI, dan hak tanggungan atas tanah yang berlokasi di area proyek KAI dan (iii) Perusahaan telah memberikan jaminan perusahaan sesuai dengan kepemilikan AIA di KAI.
Pada tanggal 22 Juni 2026, telah ditandatangani Perjanjian Perubahan atas Fasilitas Pinjaman KAI, antara lain, untuk mengubah suku bunga Fasilitas Pinjaman KAI Tranche B dari JIBOR menjadi Indonesia Overnight Index Average (), yang berlaku efektif mulai 1 Januari 2026.
Selama periode enam bulan yang berakhir pada tanggal 30 Juni 2026 dan 2025, KAI melakukan penarikan masing-masing sebesar AS$323.100 dan AS$182.400 atas Fasilitas Pinjaman KAI Tranche A dan Rp 509.604.300.000 (nilai penuh) (setara dengan AS$30.174) dan Rp287.688.000.000  (nilai penuh) (setara dengan AS$17.492) atas Fasilitas Pinjaman KAI Tranche B. Tidak ada pembayaran kembali yang dilakukan selama periode enam bulan yang berakhir pada tanggal 30 Juni 2026 dan 2025 atas Fasilitas Pinjaman KAI Tranche A dan Tranche B.
Pada tanggal 30 Juni 2026, saldo pinjaman yang terutang dari Fasilitas Pinjaman KAI Tranche A dan Tranche B adalah masing-masing sebesar AS$981.400 dan 
Rp1.547.900.000.000 (nilai penuh) (setara dengan AS$86.688) (31 Desember 2025: AS$658.300 dan Rp1.038.295.700.000 (nilai penuh) (setara dengan AS$61.870)) dan harus dibayarkan kembali dengan jadwal pembayaran sebagai berikut:
	Jadwal pembayaran kembali/			Jumlah pembayaran
		Repayment schedule			kembali/
		(tahun/year)			Repayment amount	
		2026				41,858  
		2027			163,059 
		2028			205,291  
		2029			221,188  
		2030			238,548  
		2031			198,144  
		Total			1,068,088 
Sesuai dengan ketentuan dalam Fasilitas Pinjaman, KAI diwajibkan untuk memenuhi kewajiban keuangan termasuk mematuhi syarat dan ketentuan yang tercantum dalam Fasilitas Pinjaman. Pada tanggal 30 Juni 2026 dan 31 Desember 2025, KAI telah memenuhi rasio keuangan dan persyaratan dan ketentuan tersebut.
b.	Perjanjian Fasilitas AS$150.000 
Pada tanggal 4 Juni 2026, KAI dan OCBC menandatangani Perjanjian Pinjaman, berupa fasilitas trade gabungan yang terdiri, antara lain, fasilitas demand loan dan revolving credit facility sebesar AS$150.000 atau jumlah yang setara dalam Rupiah. Fasilitas pinjaman ini digunakan untuk membiayai kebutuhan modal kerja dan akan jatuh tempo dalam jangka waktu 1 tahun sejak tanggal penandatanganan perjanjian pinjaman.
Fasilitas pinjaman ini dikenakan suku bunga sebesar Term SOFR ditambah persentase tertentu per tahun untuk pinjaman dalam mata uang dolar AS dan Compounded IndONIA (in Advance) ditambah persentase tertentu per tahun untuk pinjaman dalam mata uang Rupiah, serta tidak diikat dengan agunan apapun. 
Selama periode enam bulan yang berakhir pada tanggal 30 Juni 2026, KAI telah melakukan penarikan pinjaman sebesar AS$100.000. Pada tanggal 30 Juni 2026, saldo pinjaman yang terutang dari fasilitas pinjaman ini adalah sebesar AS$100.000.
KAI harus memenuhi beberapa persyaratan dan ketentuan yang ditetapkan dalam perjanjian ini. Pada tanggal 30 Juni 2026, KAI telah memenuhi persyaratan dan ketentuan tersebut.
c.	Perjanjian Fasilitas AS$80.000
Pada tanggal 6 Mei 2021, MSW mengadakan Perjanjian Fasilitas Kredit sebesar AS$80.000 dengan sindikasi bank nasional yang mana Bank Mandiri bertindak sebagai agen fasilitas. Perusahaan bertindak sebagai penjamin atas fasilitas pinjaman berjangka ini.
Fasilitas pinjaman ini digunakan untuk membayar kembali jumlah pinjaman yang diperoleh dari Perusahaan, membayar biaya transaksi dan biaya lain yang berhubungan dengan perjanjian fasilitas ini, pembayaran atas distribusi dividen yang diperbolehkan satu kali terhadap pemegang saham serta memastikan tersedianya saldo DSRA yang memadai di PT Bank Permata Tbk (Catatan 5).
Pada tanggal 20 Juni 2023, MSW menandatangani perjanjian yang diubah dan dinyatakan kembali terkait Perjanjian Fasilitas AS$80.000 untuk mengubah suku bunga dari London Interbank Offered Rate () menjadi SOFR dan perubahan kovenan.
Fasilitas ini akan jatuh tempo pada tanggal 
6 Mei 2028. Fasilitas ini tidak diikat dengan jaminan apapun.
Pada tanggal 22 Desember 2023, MSW menandatangani Adendum I atas Perjanjian Perubahan dan Pernyataan Kembali tanggal 20 Juni 2023 terkait Perjanjian Fasilitas AS$80.000 untuk melakukan penurunan marjin tetap atas suku bunga. Perubahan ini dianggap sebagai modifikasi utang, sehingga, MSW mengakui keuntungan sebesar AS$1.719, pada laporan laba rugi konsolidasian untuk tahun 2024.
Selama periode enam bulan yang berakhir pada tanggal 30 Juni 2026 dan 2025, MSW telah melakukan pembayaran cicilan masing-masing sebesar AS$6.600 dan AS$6.400. Pada tanggal 30 Juni 2026, saldo pinjaman yang terutang dari fasilitas pinjaman ini adalah sebesar AS$26.200 (31 Desember 2025: AS$32.800) dan harus dibayarkan kembali dengan jadwal pembayaran sebagai berikut:
Jadwal pembayaran kembali/			Jumlah pembayaran
		Repayment schedule			kembali/
		(tahun/year)			Repayment amount	
		2026			6,600 
		2027			11,400 
		2028			8,200 
		Total			26,200
	Sesuai dengan ketentuan dalam perjanjian pinjaman, MSW diharuskan untuk menjaga beberapa rasio keuangan tertentu. MSW juga diharuskan untuk memenuhi beberapa persyaratan dan ketentuan mengenai hal-hal tertentu yang diatur dalam Anggaran Dasar, serta dalam melaksanakan kegiatan usaha, aksi korporasi, kegiatan pembiayaan dan lainnya. Pada tanggal 30 Juni 2026 dan 31 Desember 2025, MSW telah memenuhi rasio keuangan dan persyaratan dan ketentuan tersebut.
d.	Perjanjian Fasilitas AS$50.000 dan AS$25.000
Pada tanggal 12 Maret 2026, SIS menandatangani Perjanjian Kredit sebesar AS$50.000 dengan PT Bank UOB Indonesia. Selanjutnya, pada tanggal 31 Maret 2026, SIS juga menandatangani Perjanjian Pinjaman sebesar AS$25.000 dengan PT Bank Rakyat Indonesia (Persero) Tbk (keduanya disebut sebagai  Pinjaman SIS).
Fasilitas Pinjaman SIS bersifat revolving  uncommitted yang penarikannya dapat dilakukan dalam mata uang Dolar AS dan/atau Rupiah, yang masing-masing akan dikenakan suku bunga mengambang, yang mengacu pada SOFR dan/atau IndONIA. Perjanjian Fasilitas Pinjaman SIS akan digunakan untuk keperluan modal kerja dan akan jatuh tempo satu tahun sejak tanggal penandatanganan masing-masing perjanjian.
Pada tanggal 30 Juni 2026, tidak terdapat saldo pinjaman yang terutang atas Fasilitas Pinjaman SIS ini.
e.	Perjanjian Fasilitas Rp300.000.000.000 dan Rp200.000.000.000
Pada tanggal 7 Agustus 2026, MSW menandatangani Perjanjian Pinjaman dengan PT Bank Permata Tbk yang terdiri dari (i) fasilitas Amortizing Term Loan Facility () dengan jumlah fasilitas maksimum sebesar Rp300.000.000.000 (nilai penuh) dan (ii) fasilitas Revolving Loan dengan jumlah fasilitas maksimum sebesar Rp200.000.000.000 (nilai penuh) ( Pinjaman MSW). Perusahaan bertindak sebagai penjamin atas Fasilitas Pinjaman MSW ini.
Fasilitas pinjaman dikenakan suku bunga yang mengacu pada IndONIA ditambah persentase tertentu dan digunakan untuk pembiayaan terkait pelaksanaan kegiatan usaha MSW dan/atau pembayaran biaya transaksi dan pengeluaran terkait Perjanjian Pinjaman. Fasilitas Pinjaman MSW ini akan jatuh tempo dalam jangka waktu 3 tahun sejak tanggal penandatanganan Fasilitas Pinjaman MSW.</t>
  </si>
  <si>
    <t>i.	Imbalan pascakerja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
iii. 	Imbalan jangka panjang lainnya
Imbalan jangka panjang lainnya seperti cuti besar dihitung dengan menggunakan metode projected unit credit dan didiskontokan ke nilai kini. Imbalan ini dihitung dengan menggunakan metodologi yang sama dengan metodologi yang digunakan dalam perhitungan program pensiun imbalan pasti, kecuali untuk keuntungan dan kerugian aktuarial yang diakui segera pada laba rugi.</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</si>
  <si>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aluminium dinilai berdasarkan nilai terendah antara harga perolehan dan nilai realisasi neto. Harga perolehan ditentukan dengan metode rata-rata tertimbang yang mencakup biaya bahan baku, biaya tenaga kerja langsung, dan alokasi yang sesuai atas biaya overhead manufaktur tetap dan variabel yang timbul dalam proses konversi alumina menjadi produk aluminium.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ditentukan dengan metode rata-rata bergerak.
Provisi persediaan usang dan bergerak lambat ditentukan berdasarkan estimasi penggunaan atau penjualan masing-masing jenis persediaan pada masa mendatang. Perlengkapan atas kegiatan pemeliharaan dicatat sebagai beban produksi pada periode digunakan.</t>
  </si>
  <si>
    <t>Beban penyusutan untuk periode enam bulan yang berakhir pada tanggal 30 Juni 2026 dan 2025 dialokasikan sebagai berikut:
		30 Juni/June	
		2026			2025	
Beban pokok pendapatan
		(Catatan 28)			98,145 		99,079	Cost of revenue (Note 28)
Beban usaha (Catatan 29)		1,970 		2,181	Operating expenses (Note 29)
Kapitalisasi sebagai aset		1,571		1,017	Capitalised as assets
Dialokasikan ke persediaan		26,086		-	Allocated to inventories
Total				127,772		102,277 	Total
Perhitungan kerugian atas pelepasan aset tetap untuk periode enam bulan yang berakhir pada tanggal 30 Juni 2026 dan 2025 adalah sebagai berikut:	
		30 Juni/June	
		2026			2025	
Harga perolehan		118,239 		48,272	Acquisition costs
Akumulasi penyusutan		(117,832) 		(46,576)	Accumulated depreciation
Nilai buku aset tetap 					Carrying amount of
	yang dilepas			407		1,696	disposed fixed assets
Dikurangi: harga jual dari					Less: selling price from 
	pelepasan aset tetap			2,047		976	disposal of fixed assets
Keuntungan/(kerugian) atas					Gain/(loss) on disposal of
	pelepasan aset tetap		1,640		(720)	fixed assets
Tidak ada perbedaan signifikan antara nilai wajar dan nilai buku aset tetap, kecuali untuk beberapa aset tetap. Pada tanggal 31 Desember 2025, total nilai wajar dan nilai buku aset tetap dari entitas operasi utama dalam Grup, MC dan LC, masing-masing secara kolektif adalah sebesar AS$543.038 dan AS$516.461, dan termasuk dalam hierarki nilai wajar Tingkat 3. Nilai tersebut berdasarkan laporan penilaian independen dari Kantor Jasa Penilai Publik () Benedictus Darmapuspita dan Rekan, penilai independen yang terdaftar di OJK, No. 00053/2.0103-00/PP/02/0121/1/II/2026 tanggal 23 Februari 2026 dan No. 00054/2.0103-00/PP/02/0121/1/II/2026 tanggal 
23 Februari 2026.
Pada tanggal 30 Juni 2026 dan 31 Desember 2025, aset tetap Grup telah diasuransikan terhadap semua risiko kerusakan dengan total pertanggungan kurang lebih masing-masing sebesar AS$4.265.247 dan AS$4.421.488, kecuali untuk aset tetap yang tidak bisa diasuransikan seperti tanah dan aset dalam pembangunan tertentu.
Manajemen Grup berpendapat bahwa aset tetap telah diasuransikan secara memadai pada tanggal 30 Juni 2026 dan 31 Desember 2025.
Pada tanggal 30 Juni 2026, harga perolehan atas aset tetap Grup yang telah disusutkan penuh namun masih dipakai sebesar AS$954.802 (31 Desember 2025: AS$1.022.110).
Pada tanggal 30 Juni 2026, aset hak-guna dengan nilai tercatat sebesar AS$35.821 (31 Desember 2025: AS$42.859) dijaminkan terhadap liabilitas sewa (Catatan 18). Pada tanggal 30 Juni 2026 dan 31 Desember 2025, beberapa aset tetap kepemilikan langsung telah dijaminkan sebagai jaminan untuk pinjaman Perjanjian Fasilitas KAI (Catatan 19a).
Aset dalam pembangunan	Construction in progress
Aset dalam pembangunan merupakan proyek yang belum selesai pada tanggal laporan posisi keuangan konsolidasian dengan rincian sebagai berikut:	 
				Persentase			Akumulasi			Estimasi			
				penyelesaian/			biaya/			penyelesaian/			
	Aset dalam			Percentage of			Accumulated			Estimated			Construction
	pembangunan			completion			costs			completion			in progress	
30 Juni 2026									30 June 2026
Bangunan, pabrik dan							Juli/July 2026 -			Buildings, plant and
	infrastruktur	1% - 99%				 1,016,364		Desember/December 2028			infrastructure
Mesin, peralatan operasional							Agustus/August 2026 -			Machineries, operational
	dan kendaraan	1% - 99%				240,127		Desember/December 2028		equipment and vehicles
									Juli/July 2026 -			
Jalan dan jembatan	1% - 99%			 9,331		Desember/December 2027			Roads and bridges 
Total				1,265,822					Total
31 Desember 2025									31 December 2025
Bangunan, pabrik dan							Januari/January 2026 -			Buildings, plant and
	infrastruktur	3% - 99%				1,045,313		Desember/December 2028			infrastructure
Mesin, peralatan operasional							Januari/January 2026 -			Machineries, operational
	dan kendaraan	2% - 90%				236,397  		Desember/December 2026		equipment and vehicles
								Februari/February 2026-			
Jalan dan jembatan	1% - 90%			4,235	Desember/December 2027			Roads and bridges 
Total				1,285,945					Total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(Catatan 13 dan 14). Berdasarkan hasil penelaahan, manajemen berpendapat bahwa tidak terdapat indikasi penurunan nilai aset tetap, oleh karena itu, manajemen berkeyakinan bahwa cadangan kerugian penyisihan penurunan nilai cukup untuk menutupi adanya kerugian penurunan nilai buku aset tetap pada tanggal 30 Juni 2026 dan 31 Desember 2025.</t>
  </si>
  <si>
    <t>2025 - 2031</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</si>
  <si>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merepresentasikan level terendah dalam entitas yang goodwill-nya dipantau untuk tujuan manajemen internal. Goodwill dipantau pada level segmen operasi.</t>
  </si>
  <si>
    <t>4.9% - 8.3%</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</si>
  <si>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</si>
  <si>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</si>
  <si>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entitas-entitas AMC, disusutkan hingga mencapai estimasi nilai sisa menggunakan metode garis lurus selama estimasi masa manfaatnya sebagai berikut:
	Tahun/Years	
Bangunan		8 - 20		Buildings
Infrastruktur		4 - 30		Infrastructure
Pembangkit listrik		25		Power plants
Mesin, peralatan operasional,				Machineries, operational equipment
	dan kendaraan		4 - 30		and vehicles
Peralatan kantor		2 - 10		Office equipment
Aset tetap entitas-entitas AMC disusutkan menggunakan metode garis lurus selama periode yang lebih rendah antara estimasi masa manfaat aset, umur tambang, atau masa jangka waktu PKP2B, sebagai berikut:
		Tahun/Years	
Bangunan		3 - 20		Buildings
Infrastruktur		3 - 20		Infrastructure
Mesin, peralatan operasional, 				Machineries, operational equipment
	dan kendaraan		3 - 25		and vehicles
Peralatan kantor 		2 - 10		Office equipment
Fasilitas peremukan dan pengolahan 		2 - 30		Crushing and handling facilities
Jalan dan jembatan		30		Roads and bridges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2m).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</si>
  <si>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Tanah untuk pengembangan dinyatakan sebesar nilai yang lebih rendah antara biaya perolehan dan nilai realisasi neto.
Biaya perolehan tanah untuk pengembangan, terdiri dari biaya pengadaan tanah, biaya pengembangan langsung, dan tidak langsung dan biaya pinjaman.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</si>
  <si>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</si>
  <si>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Piutang usaha adalah jumlah terutang dari pelanggan atas penjualan batubara dan listrik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dan non-usaha pada awalnya diakui sebesar imbalan yang tidak bersyarat, kecuali jika piutang tersebut mengandung komponen pendanaan yang signifikan, dalam hal ini mereka diakui pada nilai wajar. Selanjutnya diukur pada biaya perolehan diamortisasi dengan menggunakan metode suku bunga efektif, dikurangi penyisihan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</si>
  <si>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Penerapan dari amandemen dan revisi terhadap standar akuntansi, yang berlaku efektif sejak tanggal 1 Januari 2026 berikut tidak menyebabkan perubahan signifikan atas kebijakan akuntansi Grup dan tidak memberikan dampak yang material terhadap jumlah yang dilaporkan di laporan keuangan konsolidasian interim pada periode berjalan: 
-	Amandemen PSAK 109 dan PSAK 107  dan Pengukuran Laporan Keuangan
-	Amendments of SFAS No. 109 and SFAS No. 107  and Measurement of Financial Instruments
-	Penyesuaian Tahunan PSAK 107  Keuangan: Pengungkapan
-	Penyesuaian Tahunan PSAK 109  Keuangan
-	Penyesuaian Tahunan PSAK 110  Keuangan Konsolidasian
-	Penyesuaian Tahunan PSAK 207  Arus Kas
-	Amandemen PSAK 338  Bisnis Entitas Sepengendali</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</si>
  <si>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</si>
  <si>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j.	Instrumen keuangan derivatif dan aktivitas lindung nilai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</si>
  <si>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</si>
  <si>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</si>
  <si>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</si>
  <si>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interim Grup telah disusun berdasarkan Pernyataan Standar Akuntansi Keuangan dan Peraturan No. VIII.G.7 tentang  dan Pengungkapan Laporan Keuangan Emiten atau Perusahaan Publik.
Laporan keuangan konsolidasian interim telah disusun berdasarkan konsep harga perolehan, kecuali untuk aset keuangan tertentu yang diakui berdasarkan nilai wajar, serta menggunakan dasar akrual kecuali untuk laporan arus kas konsolidasian.
Penyusunan laporan keuangan konsolidasian interim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t>
  </si>
  <si>
    <t>Instrumen keuangan adalah setiap kontrak yang memberikan kenaikan nilai aset keuangan dari satu entitas dan liabilitas keuangan atau instrumen ekuitas dari entitas lainnya.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Klasifikasi, pengakuan dan pengukuran (lanjutan)
(i).	Aset keuangan diukur pada biaya perolehan diamortisasi (lanjutan)
Grup mengakui investasi dalam instrumen utang pada nilai wajar saat pengakuan awal. Apabila harga transaksi berbeda dari nilai wajar aset keuangan yang diperoleh, Grup melakukan penilaian apakah akuisisi tersebut mencakup elemen tambahan selain aset keuangan. Jika ditemukan elemen lainnya, Grup mengakui selisih antara harga transaksi dan nilai wajar tersebut sebagai beban/penghasilan yang diakui segera atau menangguhkannya selama umur aset keuangan, kecuali elemen-elemen tersebut telah diakui sesuai dengan standar akuntansi yang berlaku.
Apabila tidak ditemukan elemen lainnya, Grup mengakui selisih tersebut langsung ke laba rugi kecuali terdapat penggunaan input Level 3 yang signifikan dalam menentukan nilai wajar investasi dalam instrumen utang. Dalam hal ini, Grup menangguhkan selisih antara nilai wajar dan harga transaksi pada saat pengakuan awal. Setelah pengakuan awal, Grup mengakui selisih tangguhan tersebut sebagai keuntungan atau kerugian ketika input-input pasar telah dapat diobservasi.
(ii).	Aset keuangan diukur pada nilai wajar melalui laba rugi
Klasifikasi ini berlaku untuk aset keuangan berikut. Dalam semua kasus, biaya transaksi dibebankan pada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membuat pilihan yang takterbatalkan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Lihat Catatan 2j untuk rincian kebijakan akuntansi Grup atas instrumen keuangan derivatif.
Penghentian pengakuan
Aset keuangan dihentikan pengakuannya ketika hak untuk menerima arus kas dari investasi tersebut telah jatuh tempo atau telah ditransfer dan Grup telah mentransfer secara substansial seluruh risiko dan manfaat atas kepemilikan aset.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ii.	Liabilitas keuangan 
Pengakuan awal 
Liabilitas keuangan dalam lingkup PSAK 109 diklasifikasikan sebagai berikut:
1.	Liabilitas keuangan yang diukur dengan biaya diamortisasi.
2.	Liabilitas keuangan yang diukur pada nilai wajar melalui laba rugi.
Grup menentukan klasifikasi liabilitas keuangannya pada saat pengakuan awal.
Seluruh liabilitas keuangan diakui pada awalnya sebesar nilai wajar dan, dalam hal pinjaman dan utang, termasuk biaya transaksi yang dapat diatribusikan secara langsung.
Pengukuran setelah pengakuan awal
Liabilitas keuangan diukur dengan biaya perolehan diamortisasi.
Liabilitas keuangan yang diukur pada biaya amortisasi (misalnya pinjaman dan utang yang dikenakan bunga) selanjutnya diukur dengan menggunakan metode EIR. Amortisasi EIR termasuk di dalam biaya keuangan dalam laporan laba rugi konsolidasian.
Keuntungan atau kerugian diakui dalam laporan laba rugi konsolidasian pada saat liabilitas tersebut dihentikan pengakuannya serta melalui proses amortisasi EIR.
Penghentian pengakuan
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iii.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
vi.	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utamanya bertindak untuk kepentingan ekonomi terbaik mereka.
Grup menggunakan teknik penilaian yang sesuai dengan keadaan dan di mana data memadai tersedia untuk mengukur nilai wajar, memaksimalkan penggunaan input yang dapat diobservasi yang relevan dan meminimalkan penggunaan input relevan yang tidak dapat diobservasi.
Semua aset dan liabilitas di mana nilai wajar diukur atau diungkapkan dalam laporan keuangan konsolidasian dapat dikategorikan pada level hierarki nilai wajar, sebagaimana dijelaskan di bawah ini, berdasarkan tingkatan input terendah yang signifikan atas pengukuran nilai wajar secara keseluruhan:
-	Tingkat 1 - Harga kuotasian (tanpa penyesuaian) di pasar aktif untuk aset atau liabilitas yang identik;
Semua aset dan liabilitas di mana nilai wajar diukur atau diungkapkan dalam laporan keuangan konsolidasian dapat dikategorikan pada level hierarki nilai wajar, sebagaimana dijelaskan di bawah ini, berdasarkan tingkatan input terendah yang signifikan atas pengukuran nilai wajar secara keseluruhan: (lanjutan)
-	Tingkat 2 - Teknik penilaian di mana input level terendah yang signifikan terhadap pengukuran nilai wajar yang dapat diobservasi baik secara langsung atau tidak langsung;
-	Tingkat 3 - Teknik penilaian di mana input level terendah yang signifikan terhadap pengukuran yang tidak dapat diobservasi.
Untuk aset dan liabilitas yang diakui sebesar nilai wajar dalam laporan keuangan konsolidasian secara berulang, Grup menentukan apakah terjadi transfer antara Level di dalam hierarki dengan cara mengevaluasi kategori (berdasarkan input level terendah yang signifikan dalam pengukuran nilai wajar secara keseluruhan) pada setiap akhir tahun pelaporan.
Untuk tujuan pengungkapan nilai wajar, Grup telah menentukan kategori aset dan liabilitas berdasarkan sifat, karakteristik, dan risiko dari aset atau liabilitas tersebut, dan level hierarki nilai wajar seperti dijelaskan di atas.
Penyesuaian risiko kredit
Grup melakukan penyesuaian harga dalam kondisi pasar yang lebih menguntungkan untuk mencerminkan adanya perbedaan risiko kredit di pihak lawan antara instrumen yang diperdagangkan di pasar tersebut dengan instrumen yang sedang dinilai untuk posisi aset keuangan. Dalam menentukan nilai wajar liabilitas keuangan, risiko kredit Grup terkait dengan instrumen harus diperhitungkan.</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</si>
  <si>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</si>
  <si>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pada asosiasi dan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
Selain pajak penghasilan, Grup juga mengakui bentuk pembayaran lain ke Pemerintah yang dihitung berdasarkan produksi atau pendapatan (yaitu biaya royalti). Iuran eksploitasi dan royalti dianggap sebagai pajak penghasilan apabila mereka memiliki karakteristik sebagai pajak penghasilan. Hal ini dipertimbangkan demikian apabila dipersyaratkan oleh Pemerintah dan jumlah terutang didasarkan pada penghasilan kena pajak daripada kuantitas fisik yang diproduksi atau persentase dari penjualan. Untuk perjanjian yang demikian, pajak penghasilan kini dan tangguhan ditetapkan dengan dasar yang sama seperti yang dijelaskan di atas untuk bentuk perpajakan lainnya. Kewajiban Grup yang timbul dari ketentuan iuran eksploitasi atau royalti dalam PKP2B entitas-entitas AMC tidak memenuhi kriteria sebagai pajak penghasilan, sehingga diakui sebagai provisi dan dicatat sebagai beban pokok pendapatan.</t>
  </si>
  <si>
    <t>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entitas asosiasi dan ventura bersama 
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dan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</si>
  <si>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Laba per saham dasar dihitung dengan membagi laba tahun berjalan yang diatribusikan kepada pemegang saham Perusahaan dengan jumlah rata-rata tertimbang saham biasa yang beredar pada tahun berjalan.
Laba per saham dilusian dihitung dengan membagi laba tahun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periode yang bersangkutan, berdasarkan asumsi bahwa semua opsi telah dilaksanakan dan seluruh utang obligasi konversi telah dikonversikan.</t>
  </si>
  <si>
    <t>Penerapan dari standar baru berikut berlaku efektif mulai 1 Januari 2027. Penerapan retrospektif diwajibkan, sehingga informasi komparatif untuk tahun keuangan yang berakhir pada 31 Desember 2026 akan disajikan ulang sesuai dengan standar ini.
-	PSAK No. 118,  dan Pengungkapan dalam Laporan Keuangan
-	Amandemen PSAK 221  ke Mata Uang Penyajian Hiperinflasi</t>
  </si>
  <si>
    <t>Tidak ada transaksi pembelian kepada satu pemasok dengan total transaksi kumulatif lebih dari 10% dari total pendapatan usaha konsolidasian untuk periode enam bulan yang berakhir pada tanggal 30 Juni 2026 dan 2025. 
Lihat Catatan 32 untuk informasi rincian transaksi dan saldo dengan pihak berelasi.</t>
  </si>
  <si>
    <t>Pendapatan penjualan diakui pada setiap penjualan individu ketika pengendalian beralih kepada pelanggan. 
Pengendalian beralih ke pelanggan dan pendapatan penjualan diakui ketika produk dimuat ke kapal di mana batubara akan dikirim ke pelabuhan tujuan atau tempat pelanggan.
Grup secara umum menjual batubara dengan ketentuan Free on Board (), di mana Grup tidak memiliki tanggung jawab untuk pengangkutan atau asuransi setelah pengendalian barang telah beralih di pelabuhan muat. Untuk ketentuan ini hanya ada satu kewajiban pelaksanaan, yaitu untuk penyediaan produk pada titik di mana pengendalian beralih. 
Grup mengakui pendapatan atas terpenuhinya kewajiban pelaksanaan dalam suatu periode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sewa dan jasa lainnya, diakui atas dasar pekerjaan yang diselesaikan dalam suatu waktu pada saat jasa tersebut diberikan kepada pelanggan.
Beban
i.	Pengakuan beban	
Beban-beban lainnya diakui pada saat terjadinya.</t>
  </si>
  <si>
    <t>a.Perjanjian Fasilitas AS$981.400 dan  Rp1.547.900.000.000
Pada 12 Mei 2023, KAI menandatangani Perjanjian Fasilitas dengan sindikasi bank nasional yang mana Bank Mandiri bertindak sebagai agen fasilitas ( Pinjaman KAI). 
Fasilitas Pinjaman KAI terdiri dari fasilitas pinjaman berjangka dalam mata uang: (i) Dolar AS, dengan total komitmen sebesar AS$981.400 dan tingkat suku bunga tahunan sebesar Secured Overnight Financing Rate () ditambah persentase tertentu ( Pinjaman KAI Tranche A); serta (ii) Rupiah, dengan total komitmen sebesar Rp1.547.900.000.000 (nilai penuh) dan tingkat suku bunga tahunan sebesar Jakarta Interbank Offered Rate () ditambah persentase tertentu ( Pinjaman KAI Tranche B). Fasilitas Pinjaman KAI ini akan jatuh tempo paling lama 8 (delapan) tahun sejak tanggal penandatanganan Fasilitas Pinjaman KAI.
Fasilitas Pinjaman KAI akan digunakan antara lain untuk tujuan pembiayaan pengembangan proyek smelter aluminium dan fasilitas pendukungnya milik KAI yang berlokasi di kawasan industri KIPI di Kalimantan Utara, Indonesia. 
Terkait dengan fasilitas pinjaman KAI, (i) AIA telah memberikan jaminan gadai atas saham miliknya di KAI, (ii) KAI telah memberikan jaminan berupa jaminan gadai atas sebagian rekening bank, jaminan fidusia atas aset tetap material milik KAI, jaminan fidusia atas piutang yang diterima oleh KAI, dan hak tanggungan atas tanah yang berlokasi di area proyek KAI dan (iii) Perusahaan telah memberikan jaminan perusahaan sesuai dengan kepemilikan AIA di KAI.
Pada tanggal 22 Juni 2026, telah ditandatangani Perjanjian Perubahan atas Fasilitas Pinjaman KAI, antara lain, untuk mengubah suku bunga Fasilitas Pinjaman KAI Tranche B dari JIBOR menjadi Indonesia Overnight Index Average (), yang berlaku efektif mulai 1 Januari 2026.
Selama periode enam bulan yang berakhir pada tanggal 30 Juni 2026 dan 2025, KAI melakukan penarikan masing-masing sebesar AS$323.100 dan AS$182.400 atas Fasilitas Pinjaman KAI Tranche A dan Rp 509.604.300.000 (nilai penuh) (setara dengan AS$30.174) dan Rp287.688.000.000  (nilai penuh) (setara dengan AS$17.492) atas Fasilitas Pinjaman KAI Tranche B. Tidak ada pembayaran kembali yang dilakukan selama periode enam bulan yang berakhir pada tanggal 30 Juni 2026 dan 2025 atas Fasilitas Pinjaman KAI Tranche A dan Tranche B.
Pada tanggal 30 Juni 2026, saldo pinjaman yang terutang dari Fasilitas Pinjaman KAI Tranche A dan Tranche B adalah masing-masing sebesar AS$981.400 dan 
Rp1.547.900.000.000 (nilai penuh) (setara dengan AS$86.688) (31 Desember 2025: AS$658.300 dan Rp1.038.295.700.000 (nilai penuh) (setara dengan AS$61.870)) dan harus dibayarkan kembali dengan jadwal pembayaran sebagai berikut:
	Jadwal pembayaran kembali/			Jumlah pembayaran
		Repayment schedule			kembali/
		(tahun/year)			Repayment amount	
		2026				41,858  
		2027			163,059 
		2028			205,291  
		2029			221,188  
		2030			238,548  
		2031			198,144  
		Total			1,068,088 
Sesuai dengan ketentuan dalam Fasilitas Pinjaman, KAI diwajibkan untuk memenuhi kewajiban keuangan termasuk mematuhi syarat dan ketentuan yang tercantum dalam Fasilitas Pinjaman. Pada tanggal 30 Juni 2026 dan 31 Desember 2025, KAI telah memenuhi rasio keuangan dan persyaratan dan ketentuan tersebut.
b.	Perjanjian Fasilitas AS$150.000 
Pada tanggal 4 Juni 2026, KAI dan OCBC menandatangani Perjanjian Pinjaman, berupa fasilitas trade gabungan yang terdiri, antara lain, fasilitas demand loan dan revolving credit facility sebesar AS$150.000 atau jumlah yang setara dalam Rupiah. Fasilitas pinjaman ini digunakan untuk membiayai kebutuhan modal kerja dan akan jatuh tempo dalam jangka waktu 1 tahun sejak tanggal penandatanganan perjanjian pinjaman.
Fasilitas pinjaman ini dikenakan suku bunga sebesar Term SOFR ditambah persentase tertentu per tahun untuk pinjaman dalam mata uang dolar AS dan Compounded IndONIA (in Advance) ditambah persentase tertentu per tahun untuk pinjaman dalam mata uang Rupiah, serta tidak diikat dengan agunan apapun. 
Selama periode enam bulan yang berakhir pada tanggal 30 Juni 2026, KAI telah melakukan penarikan pinjaman sebesar AS$100.000. Pada tanggal 30 Juni 2026, saldo pinjaman yang terutang dari fasilitas pinjaman ini adalah sebesar AS$100.000.
KAI harus memenuhi beberapa persyaratan dan ketentuan yang ditetapkan dalam perjanjian ini. Pada tanggal 30 Juni 2026, KAI telah memenuhi persyaratan dan ketentuan tersebut.
c.	Perjanjian Fasilitas AS$80.000
Pada tanggal 6 Mei 2021, MSW mengadakan Perjanjian Fasilitas Kredit sebesar AS$80.000 dengan sindikasi bank nasional yang mana Bank Mandiri bertindak sebagai agen fasilitas. Perusahaan bertindak sebagai penjamin atas fasilitas pinjaman berjangka ini.
Fasilitas pinjaman ini digunakan untuk membayar kembali jumlah pinjaman yang diperoleh dari Perusahaan, membayar biaya transaksi dan biaya lain yang berhubungan dengan perjanjian fasilitas ini, pembayaran atas distribusi dividen yang diperbolehkan satu kali terhadap pemegang saham serta memastikan tersedianya saldo DSRA yang memadai di PT Bank Permata Tbk (Catatan 5).
Pada tanggal 20 Juni 2023, MSW menandatangani perjanjian yang diubah dan dinyatakan kembali terkait Perjanjian Fasilitas AS$80.000 untuk mengubah suku bunga dari London Interbank Offered Rate () menjadi SOFR dan perubahan kovenan.
Fasilitas ini akan jatuh tempo pada tanggal 
6 Mei 2028. Fasilitas ini tidak diikat dengan jaminan apapun.
Pada tanggal 22 Desember 2023, MSW menandatangani Adendum I atas Perjanjian Perubahan dan Pernyataan Kembali tanggal 20 Juni 2023 terkait Perjanjian Fasilitas AS$80.000 untuk melakukan penurunan marjin tetap atas suku bunga. Perubahan ini dianggap sebagai modifikasi utang, sehingga, MSW mengakui keuntungan sebesar AS$1.719, pada laporan laba rugi konsolidasian untuk tahun 2024.
Selama periode enam bulan yang berakhir pada tanggal 30 Juni 2026 dan 2025, MSW telah melakukan pembayaran cicilan masing-masing sebesar AS$6.600 dan AS$6.400. Pada tanggal 30 Juni 2026, saldo pinjaman yang terutang dari fasilitas pinjaman ini adalah sebesar AS$26.200 (31 Desember 2025: AS$32.800) dan harus dibayarkan kembali dengan jadwal pembayaran sebagai berikut:
Jadwal pembayaran kembali/			Jumlah pembayaran
		Repayment schedule			kembali/
		(tahun/year)			Repayment amount	
		2026			6,600 
		2027			11,400 
		2028			8,200 
		Total			26,200
	Sesuai dengan ketentuan dalam perjanjian pinjaman, MSW diharuskan untuk menjaga beberapa rasio keuangan tertentu. MSW juga diharuskan untuk memenuhi beberapa persyaratan dan ketentuan mengenai hal-hal tertentu yang diatur dalam Anggaran Dasar, serta dalam melaksanakan kegiatan usaha, aksi korporasi, kegiatan pembiayaan dan lainnya. Pada tanggal 30 Juni 2026 dan 31 Desember 2025, MSW telah memenuhi rasio keuangan dan persyaratan dan ketentuan tersebut.
d.	Perjanjian Fasilitas AS$50.000 dan AS$25.000
Pada tanggal 12 Maret 2026, SIS menandatangani Perjanjian Kredit sebesar AS$50.000 dengan PT Bank UOB Indonesia. Selanjutnya, pada tanggal 31 Maret 2026, SIS juga menandatangani Perjanjian Pinjaman sebesar AS$25.000 dengan PT Bank Rakyat Indonesia (Persero) Tbk (keduanya disebut sebagai  Pinjaman SIS).
Fasilitas Pinjaman SIS bersifat revolving  uncommitted yang penarikannya dapat dilakukan dalam mata uang Dolar AS dan/atau Rupiah, yang masing-masing akan dikenakan suku bunga mengambang, yang mengacu pada SOFR dan/atau IndONIA. Perjanjian Fasilitas Pinjaman SIS akan digunakan untuk keperluan modal kerja dan akan jatuh tempo satu tahun sejak tanggal penandatanganan masing-masing perjanjian.
Pada tanggal 30 Juni 2026, tidak terdapat saldo pinjaman yang terutang atas Fasilitas Pinjaman SIS ini.
e.	Perjanjian Fasilitas Rp300.000.000.000 dan Rp200.000.000.000
Pada tanggal 7 Agustus 2026, MSW menandatangani Perjanjian Pinjaman dengan PT Bank Permata Tbk yang terdiri dari (i) fasilitas Amortizing Term Loan Facility () dengan jumlah fasilitas maksimum sebesar Rp300.000.000.000 (nilai penuh) dan (ii) fasilitas Revolving Loan dengan jumlah fasilitas maksimum sebesar Rp200.000.000.000 (nilai penuh) ( Pinjaman MSW). Perusahaan bertindak sebagai penjamin atas Fasilitas Pinjaman MSW ini.
Fasilitas pinjaman dikenakan suku bunga yang mengacu pada IndONIA ditambah persentase tertentu dan digunakan untuk pembiayaan terkait pelaksanaan kegiatan usaha MSW dan/atau pembayaran biaya transaksi dan pengeluaran terkait Perjanjian Pinjaman. Fasilitas Pinjaman MSW ini akan jatuh tempo dalam jangka waktu 3 tahun sejak tanggal penandatanganan Fasilitas Pinjaman MSW.</t>
  </si>
  <si>
    <t>i.	Imbalan pascakerja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
iii. 	Imbalan jangka panjang lainnya
Imbalan jangka panjang lainnya seperti cuti besar dihitung dengan menggunakan metode projected unit credit dan didiskontokan ke nilai kini. Imbalan ini dihitung dengan menggunakan metodologi yang sama dengan metodologi yang digunakan dalam perhitungan program pensiun imbalan pasti, kecuali untuk keuntungan dan kerugian aktuarial yang diakui segera pada laba rugi.</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</si>
  <si>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aluminium dinilai berdasarkan nilai terendah antara harga perolehan dan nilai realisasi neto. Harga perolehan ditentukan dengan metode rata-rata tertimbang yang mencakup biaya bahan baku, biaya tenaga kerja langsung, dan alokasi yang sesuai atas biaya overhead manufaktur tetap dan variabel yang timbul dalam proses konversi alumina menjadi produk aluminium.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ditentukan dengan metode rata-rata bergerak.
Provisi persediaan usang dan bergerak lambat ditentukan berdasarkan estimasi penggunaan atau penjualan masing-masing jenis persediaan pada masa mendatang. Perlengkapan atas kegiatan pemeliharaan dicatat sebagai beban produksi pada periode digunakan.</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</si>
  <si>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merepresentasikan level terendah dalam entitas yang goodwill-nya dipantau untuk tujuan manajemen internal. Goodwill dipantau pada level segmen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</si>
</sst>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t="s">
        <v>2869</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2878</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2878</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978223.0</v>
      </c>
      <c r="C8" s="38" t="n">
        <v>1044123.0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3748.0</v>
      </c>
      <c r="C11" s="38" t="n">
        <v>4047.0</v>
      </c>
      <c r="D11" s="39" t="s">
        <v>428</v>
      </c>
    </row>
    <row r="12" spans="1:4" ht="15.75" thickBot="1">
      <c r="A12" s="40" t="s">
        <v>429</v>
      </c>
      <c r="B12" s="33"/>
      <c r="C12" s="33"/>
      <c r="D12" s="34" t="s">
        <v>430</v>
      </c>
    </row>
    <row r="13" spans="1:4" ht="39" thickBot="1">
      <c r="A13" s="41" t="s">
        <v>431</v>
      </c>
      <c r="B13" s="38" t="n">
        <v>88487.0</v>
      </c>
      <c r="C13" s="38" t="n">
        <v>38674.0</v>
      </c>
      <c r="D13" s="39" t="s">
        <v>432</v>
      </c>
    </row>
    <row r="14" spans="1:4" ht="39" thickBot="1">
      <c r="A14" s="41" t="s">
        <v>433</v>
      </c>
      <c r="B14" s="38" t="n">
        <v>521217.0</v>
      </c>
      <c r="C14" s="38" t="n">
        <v>497512.0</v>
      </c>
      <c r="D14" s="39" t="s">
        <v>434</v>
      </c>
    </row>
    <row r="15" spans="1:4" ht="26.25" thickBot="1">
      <c r="A15" s="41" t="s">
        <v>435</v>
      </c>
      <c r="B15" s="38"/>
      <c r="C15" s="38"/>
      <c r="D15" s="39" t="s">
        <v>436</v>
      </c>
    </row>
    <row r="16" spans="1:4" ht="15.75" thickBot="1">
      <c r="A16" s="41" t="s">
        <v>437</v>
      </c>
      <c r="B16" s="38" t="n">
        <v>768.0</v>
      </c>
      <c r="C16" s="38" t="n">
        <v>1352.0</v>
      </c>
      <c r="D16" s="39" t="s">
        <v>438</v>
      </c>
    </row>
    <row r="17" spans="1:4" ht="15.75" thickBot="1">
      <c r="A17" s="37" t="s">
        <v>439</v>
      </c>
      <c r="B17" s="38" t="n">
        <v>26981.0</v>
      </c>
      <c r="C17" s="38"/>
      <c r="D17" s="39" t="s">
        <v>440</v>
      </c>
    </row>
    <row r="18" spans="1:4" ht="15.75" thickBot="1">
      <c r="A18" s="40" t="s">
        <v>441</v>
      </c>
      <c r="B18" s="33"/>
      <c r="C18" s="33"/>
      <c r="D18" s="34" t="s">
        <v>442</v>
      </c>
    </row>
    <row r="19" spans="1:4" ht="15.75" thickBot="1">
      <c r="A19" s="41" t="s">
        <v>443</v>
      </c>
      <c r="B19" s="38" t="n">
        <v>68630.0</v>
      </c>
      <c r="C19" s="38" t="n">
        <v>57207.0</v>
      </c>
      <c r="D19" s="39" t="s">
        <v>444</v>
      </c>
    </row>
    <row r="20" spans="1:4" ht="15.75" thickBot="1">
      <c r="A20" s="41" t="s">
        <v>445</v>
      </c>
      <c r="B20" s="38" t="n">
        <v>355110.0</v>
      </c>
      <c r="C20" s="38" t="n">
        <v>335729.0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2078.0</v>
      </c>
      <c r="C37" s="38" t="n">
        <v>1166.0</v>
      </c>
      <c r="D37" s="39" t="s">
        <v>480</v>
      </c>
    </row>
    <row r="38" spans="1:4" ht="15.75" thickBot="1">
      <c r="A38" s="41" t="s">
        <v>481</v>
      </c>
      <c r="B38" s="38" t="n">
        <v>50337.0</v>
      </c>
      <c r="C38" s="38" t="n">
        <v>82377.0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505126.0</v>
      </c>
      <c r="C42" s="38" t="n">
        <v>115978.0</v>
      </c>
      <c r="D42" s="39" t="s">
        <v>484</v>
      </c>
    </row>
    <row r="43" spans="1:4" ht="15.75" thickBot="1">
      <c r="A43" s="37" t="s">
        <v>489</v>
      </c>
      <c r="B43" s="38"/>
      <c r="C43" s="38"/>
      <c r="D43" s="39" t="s">
        <v>490</v>
      </c>
    </row>
    <row r="44" spans="1:4" ht="15.75" thickBot="1">
      <c r="A44" s="37" t="s">
        <v>491</v>
      </c>
      <c r="B44" s="38" t="n">
        <v>3180.0</v>
      </c>
      <c r="C44" s="38" t="n">
        <v>235.0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5441.0</v>
      </c>
      <c r="C49" s="38" t="n">
        <v>4498.0</v>
      </c>
      <c r="D49" s="39" t="s">
        <v>502</v>
      </c>
    </row>
    <row r="50" spans="1:4" ht="15.75" thickBot="1">
      <c r="A50" s="37" t="s">
        <v>503</v>
      </c>
      <c r="B50" s="38" t="n">
        <v>46468.0</v>
      </c>
      <c r="C50" s="38" t="n">
        <v>24293.0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2655794.0</v>
      </c>
      <c r="C58" s="42" t="n">
        <v>2207191.0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25969.0</v>
      </c>
      <c r="C61" s="38" t="n">
        <v>16073.0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402228.0</v>
      </c>
      <c r="C70" s="38" t="n">
        <v>517296.0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696758.0</v>
      </c>
      <c r="C73" s="38" t="n">
        <v>661462.0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33647.0</v>
      </c>
      <c r="C79" s="38" t="n">
        <v>34098.0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84005.0</v>
      </c>
      <c r="C83" s="38" t="n">
        <v>89381.0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21.0</v>
      </c>
      <c r="C86" s="38" t="n">
        <v>4103.0</v>
      </c>
      <c r="D86" s="39" t="s">
        <v>576</v>
      </c>
    </row>
    <row r="87" spans="1:4" ht="15.75" thickBot="1">
      <c r="A87" s="37" t="s">
        <v>577</v>
      </c>
      <c r="B87" s="38" t="n">
        <v>134984.0</v>
      </c>
      <c r="C87" s="38" t="n">
        <v>123055.0</v>
      </c>
      <c r="D87" s="39" t="s">
        <v>578</v>
      </c>
    </row>
    <row r="88" spans="1:4" ht="15.75" thickBot="1">
      <c r="A88" s="37" t="s">
        <v>579</v>
      </c>
      <c r="B88" s="38" t="n">
        <v>52947.0</v>
      </c>
      <c r="C88" s="38" t="n">
        <v>54459.0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t="n">
        <v>151878.0</v>
      </c>
      <c r="C104" s="38" t="n">
        <v>160062.0</v>
      </c>
      <c r="D104" s="39" t="s">
        <v>611</v>
      </c>
    </row>
    <row r="105" spans="1:4" ht="15.75" thickBot="1">
      <c r="A105" s="37" t="s">
        <v>612</v>
      </c>
      <c r="B105" s="38" t="n">
        <v>2984332.0</v>
      </c>
      <c r="C105" s="38" t="n">
        <v>2360892.0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534593.0</v>
      </c>
      <c r="C112" s="38" t="n">
        <v>540631.0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39665.0</v>
      </c>
      <c r="C123" s="38" t="n">
        <v>39665.0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8061.0</v>
      </c>
      <c r="C126" s="38" t="n">
        <v>8625.0</v>
      </c>
      <c r="D126" s="39" t="s">
        <v>654</v>
      </c>
    </row>
    <row r="127" spans="1:4" ht="15.75" thickBot="1">
      <c r="A127" s="40" t="s">
        <v>655</v>
      </c>
      <c r="B127" s="42" t="n">
        <v>5149088.0</v>
      </c>
      <c r="C127" s="42" t="n">
        <v>4609802.0</v>
      </c>
      <c r="D127" s="34" t="s">
        <v>656</v>
      </c>
    </row>
    <row r="128" spans="1:4" ht="15.75" thickBot="1">
      <c r="A128" s="36" t="s">
        <v>657</v>
      </c>
      <c r="B128" s="42" t="n">
        <v>7804882.0</v>
      </c>
      <c r="C128" s="42" t="n">
        <v>6816993.0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139599.0</v>
      </c>
      <c r="C135" s="38" t="n">
        <v>171406.0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4604.0</v>
      </c>
      <c r="C143" s="38" t="n">
        <v>250000.0</v>
      </c>
      <c r="D143" s="39" t="s">
        <v>688</v>
      </c>
    </row>
    <row r="144" spans="1:4" ht="26.25" thickBot="1">
      <c r="A144" s="41" t="s">
        <v>689</v>
      </c>
      <c r="B144" s="38" t="n">
        <v>0.0</v>
      </c>
      <c r="C144" s="38"/>
      <c r="D144" s="39" t="s">
        <v>690</v>
      </c>
    </row>
    <row r="145" spans="1:4" ht="15.75" thickBot="1">
      <c r="A145" s="41" t="s">
        <v>691</v>
      </c>
      <c r="B145" s="38" t="n">
        <v>331137.0</v>
      </c>
      <c r="C145" s="38" t="n">
        <v>292807.0</v>
      </c>
      <c r="D145" s="39" t="s">
        <v>692</v>
      </c>
    </row>
    <row r="146" spans="1:4" ht="26.25" thickBot="1">
      <c r="A146" s="41" t="s">
        <v>693</v>
      </c>
      <c r="B146" s="38"/>
      <c r="C146" s="38"/>
      <c r="D146" s="39" t="s">
        <v>694</v>
      </c>
    </row>
    <row r="147" spans="1:4" ht="15.75" thickBot="1">
      <c r="A147" s="41" t="s">
        <v>695</v>
      </c>
      <c r="B147" s="38" t="n">
        <v>34748.0</v>
      </c>
      <c r="C147" s="38" t="n">
        <v>24679.0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0.0</v>
      </c>
      <c r="C167" s="38" t="n">
        <v>274.0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227307.0</v>
      </c>
      <c r="C174" s="38" t="n">
        <v>40676.0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117670.0</v>
      </c>
      <c r="C184" s="38" t="n">
        <v>19651.0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55021.0</v>
      </c>
      <c r="C197" s="38" t="n">
        <v>61391.0</v>
      </c>
      <c r="D197" s="39" t="s">
        <v>796</v>
      </c>
    </row>
    <row r="198" spans="1:4" ht="26.25" thickBot="1">
      <c r="A198" s="43" t="s">
        <v>797</v>
      </c>
      <c r="B198" s="42" t="n">
        <v>910086.0</v>
      </c>
      <c r="C198" s="42" t="n">
        <v>860884.0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94362.0</v>
      </c>
      <c r="C201" s="38" t="n">
        <v>92772.0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956155.0</v>
      </c>
      <c r="C206" s="38" t="n">
        <v>704367.0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638256.0</v>
      </c>
      <c r="C216" s="38" t="n">
        <v>56570.0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27115.0</v>
      </c>
      <c r="C238" s="38" t="n">
        <v>28986.0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47664.0</v>
      </c>
      <c r="C242" s="38" t="n">
        <v>49191.0</v>
      </c>
      <c r="D242" s="39" t="s">
        <v>886</v>
      </c>
    </row>
    <row r="243" spans="1:4" ht="26.25" thickBot="1">
      <c r="A243" s="41" t="s">
        <v>887</v>
      </c>
      <c r="B243" s="38"/>
      <c r="C243" s="38"/>
      <c r="D243" s="39" t="s">
        <v>888</v>
      </c>
    </row>
    <row r="244" spans="1:4" ht="26.25" thickBot="1">
      <c r="A244" s="41" t="s">
        <v>889</v>
      </c>
      <c r="B244" s="38" t="n">
        <v>3837.0</v>
      </c>
      <c r="C244" s="38" t="n">
        <v>20270.0</v>
      </c>
      <c r="D244" s="39" t="s">
        <v>890</v>
      </c>
    </row>
    <row r="245" spans="1:4" ht="26.25" thickBot="1">
      <c r="A245" s="41" t="s">
        <v>891</v>
      </c>
      <c r="B245" s="38"/>
      <c r="C245" s="38"/>
      <c r="D245" s="39" t="s">
        <v>892</v>
      </c>
    </row>
    <row r="246" spans="1:4" ht="26.25" thickBot="1">
      <c r="A246" s="43" t="s">
        <v>893</v>
      </c>
      <c r="B246" s="42" t="n">
        <v>1767389.0</v>
      </c>
      <c r="C246" s="42" t="n">
        <v>952156.0</v>
      </c>
      <c r="D246" s="34" t="s">
        <v>894</v>
      </c>
    </row>
    <row r="247" spans="1:4" ht="15.75" thickBot="1">
      <c r="A247" s="40" t="s">
        <v>895</v>
      </c>
      <c r="B247" s="42" t="n">
        <v>2677475.0</v>
      </c>
      <c r="C247" s="42" t="n">
        <v>1813040.0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308786.0</v>
      </c>
      <c r="C250" s="38" t="n">
        <v>315103.0</v>
      </c>
      <c r="D250" s="39" t="s">
        <v>902</v>
      </c>
    </row>
    <row r="251" spans="1:4" ht="15.75" thickBot="1">
      <c r="A251" s="41" t="s">
        <v>903</v>
      </c>
      <c r="B251" s="38"/>
      <c r="C251" s="38"/>
      <c r="D251" s="39" t="s">
        <v>904</v>
      </c>
    </row>
    <row r="252" spans="1:4" ht="15.75" thickBot="1">
      <c r="A252" s="41" t="s">
        <v>905</v>
      </c>
      <c r="B252" s="38" t="n">
        <v>677971.0</v>
      </c>
      <c r="C252" s="38" t="n">
        <v>738435.0</v>
      </c>
      <c r="D252" s="39" t="s">
        <v>906</v>
      </c>
    </row>
    <row r="253" spans="1:4" ht="15.75" thickBot="1">
      <c r="A253" s="41" t="s">
        <v>907</v>
      </c>
      <c r="B253" s="45" t="n">
        <v>0.0</v>
      </c>
      <c r="C253" s="45" t="n">
        <v>66781.0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-55683.0</v>
      </c>
      <c r="C257" s="38" t="n">
        <v>-41579.0</v>
      </c>
      <c r="D257" s="39" t="s">
        <v>916</v>
      </c>
    </row>
    <row r="258" spans="1:4" ht="51.75" thickBot="1">
      <c r="A258" s="41" t="s">
        <v>917</v>
      </c>
      <c r="B258" s="38" t="n">
        <v>72183.0</v>
      </c>
      <c r="C258" s="38" t="n">
        <v>48478.0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14986.0</v>
      </c>
      <c r="C261" s="38"/>
      <c r="D261" s="39" t="s">
        <v>924</v>
      </c>
    </row>
    <row r="262" spans="1:4" ht="26.25" thickBot="1">
      <c r="A262" s="41" t="s">
        <v>925</v>
      </c>
      <c r="B262" s="38"/>
      <c r="C262" s="38"/>
      <c r="D262" s="39" t="s">
        <v>926</v>
      </c>
    </row>
    <row r="263" spans="1:4" ht="15.75" thickBot="1">
      <c r="A263" s="41" t="s">
        <v>927</v>
      </c>
      <c r="B263" s="38" t="n">
        <v>59632.0</v>
      </c>
      <c r="C263" s="38" t="n">
        <v>59248.0</v>
      </c>
      <c r="D263" s="39" t="s">
        <v>928</v>
      </c>
    </row>
    <row r="264" spans="1:4" ht="26.25" thickBot="1">
      <c r="A264" s="41" t="s">
        <v>929</v>
      </c>
      <c r="B264" s="38"/>
      <c r="C264" s="38"/>
      <c r="D264" s="39" t="s">
        <v>930</v>
      </c>
    </row>
    <row r="265" spans="1:4" ht="15.75" thickBot="1">
      <c r="A265" s="41" t="s">
        <v>931</v>
      </c>
      <c r="B265" s="38" t="n">
        <v>128407.0</v>
      </c>
      <c r="C265" s="38" t="n">
        <v>141668.0</v>
      </c>
      <c r="D265" s="39" t="s">
        <v>932</v>
      </c>
    </row>
    <row r="266" spans="1:4" ht="26.25" thickBot="1">
      <c r="A266" s="43" t="s">
        <v>933</v>
      </c>
      <c r="B266" s="33"/>
      <c r="C266" s="33"/>
      <c r="D266" s="34" t="s">
        <v>934</v>
      </c>
    </row>
    <row r="267" spans="1:4" ht="26.25" thickBot="1">
      <c r="A267" s="44" t="s">
        <v>935</v>
      </c>
      <c r="B267" s="38" t="n">
        <v>68588.0</v>
      </c>
      <c r="C267" s="38" t="n">
        <v>68588.0</v>
      </c>
      <c r="D267" s="39" t="s">
        <v>936</v>
      </c>
    </row>
    <row r="268" spans="1:4" ht="26.25" thickBot="1">
      <c r="A268" s="44" t="s">
        <v>937</v>
      </c>
      <c r="B268" s="38" t="n">
        <v>3334132.0</v>
      </c>
      <c r="C268" s="38" t="n">
        <v>3222263.0</v>
      </c>
      <c r="D268" s="39" t="s">
        <v>938</v>
      </c>
    </row>
    <row r="269" spans="1:4" ht="39" thickBot="1">
      <c r="A269" s="43" t="s">
        <v>939</v>
      </c>
      <c r="B269" s="42" t="n">
        <v>4609002.0</v>
      </c>
      <c r="C269" s="42" t="n">
        <v>4485423.0</v>
      </c>
      <c r="D269" s="34" t="s">
        <v>940</v>
      </c>
    </row>
    <row r="270" spans="1:4" ht="15.75" thickBot="1">
      <c r="A270" s="37" t="s">
        <v>941</v>
      </c>
      <c r="B270" s="38"/>
      <c r="C270" s="38"/>
      <c r="D270" s="39" t="s">
        <v>942</v>
      </c>
    </row>
    <row r="271" spans="1:4" ht="15.75" thickBot="1">
      <c r="A271" s="37" t="s">
        <v>943</v>
      </c>
      <c r="B271" s="38" t="n">
        <v>518405.0</v>
      </c>
      <c r="C271" s="38" t="n">
        <v>518530.0</v>
      </c>
      <c r="D271" s="39" t="s">
        <v>944</v>
      </c>
    </row>
    <row r="272" spans="1:4" ht="15.75" thickBot="1">
      <c r="A272" s="40" t="s">
        <v>945</v>
      </c>
      <c r="B272" s="42" t="n">
        <v>5127407.0</v>
      </c>
      <c r="C272" s="42" t="n">
        <v>5003953.0</v>
      </c>
      <c r="D272" s="34" t="s">
        <v>946</v>
      </c>
    </row>
    <row r="273" spans="1:4" ht="15.75" thickBot="1">
      <c r="A273" s="36" t="s">
        <v>947</v>
      </c>
      <c r="B273" s="42" t="n">
        <v>7804882.0</v>
      </c>
      <c r="C273" s="42" t="n">
        <v>6816993.0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999242.0</v>
      </c>
      <c r="C6" s="106" t="n">
        <v>857690.0</v>
      </c>
      <c r="D6" s="107" t="s">
        <v>1092</v>
      </c>
    </row>
    <row r="7" spans="1:4" ht="15.75" thickBot="1">
      <c r="A7" s="105" t="s">
        <v>1093</v>
      </c>
      <c r="B7" s="108" t="n">
        <v>576558.0</v>
      </c>
      <c r="C7" s="108" t="n">
        <v>573420.0</v>
      </c>
      <c r="D7" s="107" t="s">
        <v>1094</v>
      </c>
    </row>
    <row r="8" spans="1:4" ht="15.75" thickBot="1">
      <c r="A8" s="109" t="s">
        <v>1095</v>
      </c>
      <c r="B8" s="110" t="n">
        <v>422684.0</v>
      </c>
      <c r="C8" s="110" t="n">
        <v>284270.0</v>
      </c>
      <c r="D8" s="104" t="s">
        <v>1096</v>
      </c>
    </row>
    <row r="9" spans="1:4" ht="15.75" thickBot="1">
      <c r="A9" s="105" t="s">
        <v>1097</v>
      </c>
      <c r="B9" s="108" t="n">
        <v>3765.0</v>
      </c>
      <c r="C9" s="108" t="n">
        <v>2662.0</v>
      </c>
      <c r="D9" s="107" t="s">
        <v>1098</v>
      </c>
    </row>
    <row r="10" spans="1:4" ht="15.75" thickBot="1">
      <c r="A10" s="105" t="s">
        <v>1099</v>
      </c>
      <c r="B10" s="108" t="n">
        <v>54581.0</v>
      </c>
      <c r="C10" s="108" t="n">
        <v>57683.0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30441.0</v>
      </c>
      <c r="C14" s="106" t="n">
        <v>59069.0</v>
      </c>
      <c r="D14" s="107" t="s">
        <v>1102</v>
      </c>
    </row>
    <row r="15" spans="1:4" ht="15.75" thickBot="1">
      <c r="A15" s="105" t="s">
        <v>1109</v>
      </c>
      <c r="B15" s="108" t="n">
        <v>29757.0</v>
      </c>
      <c r="C15" s="108" t="n">
        <v>9705.0</v>
      </c>
      <c r="D15" s="107" t="s">
        <v>1110</v>
      </c>
    </row>
    <row r="16" spans="1:4" ht="26.25" thickBot="1">
      <c r="A16" s="105" t="s">
        <v>1111</v>
      </c>
      <c r="B16" s="106" t="n">
        <v>-10527.0</v>
      </c>
      <c r="C16" s="106" t="n">
        <v>-7185.0</v>
      </c>
      <c r="D16" s="107" t="s">
        <v>1112</v>
      </c>
    </row>
    <row r="17" spans="1:4" ht="39" thickBot="1">
      <c r="A17" s="105" t="s">
        <v>1113</v>
      </c>
      <c r="B17" s="106"/>
      <c r="C17" s="106"/>
      <c r="D17" s="107" t="s">
        <v>1114</v>
      </c>
    </row>
    <row r="18" spans="1:4" ht="39" thickBot="1">
      <c r="A18" s="105" t="s">
        <v>1115</v>
      </c>
      <c r="B18" s="106" t="n">
        <v>33548.0</v>
      </c>
      <c r="C18" s="106" t="n">
        <v>-3864.0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40417.0</v>
      </c>
      <c r="C23" s="106"/>
      <c r="D23" s="107" t="s">
        <v>1126</v>
      </c>
    </row>
    <row r="24" spans="1:4" ht="15.75" thickBot="1">
      <c r="A24" s="105" t="s">
        <v>1127</v>
      </c>
      <c r="B24" s="108" t="n">
        <v>12464.0</v>
      </c>
      <c r="C24" s="108" t="n">
        <v>13415.0</v>
      </c>
      <c r="D24" s="107" t="s">
        <v>1128</v>
      </c>
    </row>
    <row r="25" spans="1:4" ht="15.75" thickBot="1">
      <c r="A25" s="105" t="s">
        <v>1129</v>
      </c>
      <c r="B25" s="106"/>
      <c r="C25" s="106"/>
      <c r="D25" s="107" t="s">
        <v>1130</v>
      </c>
    </row>
    <row r="26" spans="1:4" ht="26.25" thickBot="1">
      <c r="A26" s="109" t="s">
        <v>1131</v>
      </c>
      <c r="B26" s="110" t="n">
        <v>415996.0</v>
      </c>
      <c r="C26" s="110" t="n">
        <v>248825.0</v>
      </c>
      <c r="D26" s="104" t="s">
        <v>1132</v>
      </c>
    </row>
    <row r="27" spans="1:4" ht="15.75" thickBot="1">
      <c r="A27" s="105" t="s">
        <v>1133</v>
      </c>
      <c r="B27" s="106" t="n">
        <v>-86801.0</v>
      </c>
      <c r="C27" s="106" t="n">
        <v>-53887.0</v>
      </c>
      <c r="D27" s="107" t="s">
        <v>1134</v>
      </c>
    </row>
    <row r="28" spans="1:4" ht="26.25" thickBot="1">
      <c r="A28" s="109" t="s">
        <v>1135</v>
      </c>
      <c r="B28" s="110" t="n">
        <v>329195.0</v>
      </c>
      <c r="C28" s="110" t="n">
        <v>194938.0</v>
      </c>
      <c r="D28" s="104" t="s">
        <v>1136</v>
      </c>
    </row>
    <row r="29" spans="1:4" ht="15.75" thickBot="1">
      <c r="A29" s="105" t="s">
        <v>1137</v>
      </c>
      <c r="B29" s="106"/>
      <c r="C29" s="106"/>
      <c r="D29" s="107" t="s">
        <v>1138</v>
      </c>
    </row>
    <row r="30" spans="1:4" ht="15.75" thickBot="1">
      <c r="A30" s="109" t="s">
        <v>1139</v>
      </c>
      <c r="B30" s="110" t="n">
        <v>329195.0</v>
      </c>
      <c r="C30" s="110" t="n">
        <v>194938.0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23705.0</v>
      </c>
      <c r="C35" s="106" t="n">
        <v>-129947.0</v>
      </c>
      <c r="D35" s="107" t="s">
        <v>1262</v>
      </c>
    </row>
    <row r="36" spans="1:4" ht="51.75" thickBot="1">
      <c r="A36" s="112" t="s">
        <v>1263</v>
      </c>
      <c r="B36" s="106" t="n">
        <v>23705.0</v>
      </c>
      <c r="C36" s="106" t="n">
        <v>-129947.0</v>
      </c>
      <c r="D36" s="107" t="s">
        <v>1264</v>
      </c>
    </row>
    <row r="37" spans="1:4" ht="39" thickBot="1">
      <c r="A37" s="111" t="s">
        <v>1265</v>
      </c>
      <c r="B37" s="103"/>
      <c r="C37" s="103"/>
      <c r="D37" s="104" t="s">
        <v>1266</v>
      </c>
    </row>
    <row r="38" spans="1:4" ht="26.25" thickBot="1">
      <c r="A38" s="112" t="s">
        <v>1267</v>
      </c>
      <c r="B38" s="106" t="n">
        <v>-14160.0</v>
      </c>
      <c r="C38" s="106" t="n">
        <v>-617.0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t="n">
        <v>26981.0</v>
      </c>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t="n">
        <v>1348.0</v>
      </c>
      <c r="C48" s="106" t="n">
        <v>-19703.0</v>
      </c>
      <c r="D48" s="107" t="s">
        <v>1288</v>
      </c>
    </row>
    <row r="49" spans="1:4" ht="51.75" thickBot="1">
      <c r="A49" s="112" t="s">
        <v>1289</v>
      </c>
      <c r="B49" s="106"/>
      <c r="C49" s="106"/>
      <c r="D49" s="107" t="s">
        <v>1290</v>
      </c>
    </row>
    <row r="50" spans="1:4" ht="39" thickBot="1">
      <c r="A50" s="112" t="s">
        <v>1291</v>
      </c>
      <c r="B50" s="106" t="n">
        <v>14169.0</v>
      </c>
      <c r="C50" s="106" t="n">
        <v>-20320.0</v>
      </c>
      <c r="D50" s="107" t="s">
        <v>1292</v>
      </c>
    </row>
    <row r="51" spans="1:4" ht="26.25" thickBot="1">
      <c r="A51" s="113" t="s">
        <v>1293</v>
      </c>
      <c r="B51" s="106" t="n">
        <v>37874.0</v>
      </c>
      <c r="C51" s="106" t="n">
        <v>-150267.0</v>
      </c>
      <c r="D51" s="107" t="s">
        <v>1294</v>
      </c>
    </row>
    <row r="52" spans="1:4" ht="26.25" thickBot="1">
      <c r="A52" s="105" t="s">
        <v>1295</v>
      </c>
      <c r="B52" s="108"/>
      <c r="C52" s="108"/>
      <c r="D52" s="107" t="s">
        <v>1296</v>
      </c>
    </row>
    <row r="53" spans="1:4" ht="26.25" thickBot="1">
      <c r="A53" s="109" t="s">
        <v>1181</v>
      </c>
      <c r="B53" s="110" t="n">
        <v>37874.0</v>
      </c>
      <c r="C53" s="110" t="n">
        <v>-150267.0</v>
      </c>
      <c r="D53" s="104" t="s">
        <v>1182</v>
      </c>
    </row>
    <row r="54" spans="1:4" ht="15.75" thickBot="1">
      <c r="A54" s="109" t="s">
        <v>1183</v>
      </c>
      <c r="B54" s="110" t="n">
        <v>367069.0</v>
      </c>
      <c r="C54" s="110" t="n">
        <v>44671.0</v>
      </c>
      <c r="D54" s="104" t="s">
        <v>1184</v>
      </c>
    </row>
    <row r="55" spans="1:4" ht="15.75" thickBot="1">
      <c r="A55" s="109" t="s">
        <v>1185</v>
      </c>
      <c r="B55" s="103"/>
      <c r="C55" s="103"/>
      <c r="D55" s="104" t="s">
        <v>1186</v>
      </c>
    </row>
    <row r="56" spans="1:4" ht="26.25" thickBot="1">
      <c r="A56" s="113" t="s">
        <v>1187</v>
      </c>
      <c r="B56" s="106" t="n">
        <v>309369.0</v>
      </c>
      <c r="C56" s="106" t="n">
        <v>174943.0</v>
      </c>
      <c r="D56" s="107" t="s">
        <v>1188</v>
      </c>
    </row>
    <row r="57" spans="1:4" ht="26.25" thickBot="1">
      <c r="A57" s="113" t="s">
        <v>1189</v>
      </c>
      <c r="B57" s="106" t="n">
        <v>19826.0</v>
      </c>
      <c r="C57" s="106" t="n">
        <v>19995.0</v>
      </c>
      <c r="D57" s="107" t="s">
        <v>1190</v>
      </c>
    </row>
    <row r="58" spans="1:4" ht="26.25" thickBot="1">
      <c r="A58" s="109" t="s">
        <v>1191</v>
      </c>
      <c r="B58" s="103"/>
      <c r="C58" s="103"/>
      <c r="D58" s="104" t="s">
        <v>1192</v>
      </c>
    </row>
    <row r="59" spans="1:4" ht="26.25" thickBot="1">
      <c r="A59" s="113" t="s">
        <v>1193</v>
      </c>
      <c r="B59" s="106" t="n">
        <v>334340.0</v>
      </c>
      <c r="C59" s="106" t="n">
        <v>27288.0</v>
      </c>
      <c r="D59" s="107" t="s">
        <v>1194</v>
      </c>
    </row>
    <row r="60" spans="1:4" ht="39" thickBot="1">
      <c r="A60" s="113" t="s">
        <v>1195</v>
      </c>
      <c r="B60" s="106" t="n">
        <v>32729.0</v>
      </c>
      <c r="C60" s="106" t="n">
        <v>17383.0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0.01074</v>
      </c>
      <c r="C63" s="114" t="n">
        <v>0.00587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0.01074</v>
      </c>
      <c r="C66" s="114" t="n">
        <v>0.00587</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315103.0</v>
      </c>
      <c r="C8" s="140" t="n">
        <v>0.0</v>
      </c>
      <c r="D8" s="140" t="n">
        <v>738435.0</v>
      </c>
      <c r="E8" s="140" t="n">
        <v>-66781.0</v>
      </c>
      <c r="F8" s="140" t="n">
        <v>0.0</v>
      </c>
      <c r="G8" s="140" t="n">
        <v>0.0</v>
      </c>
      <c r="H8" s="140" t="n">
        <v>0.0</v>
      </c>
      <c r="I8" s="140" t="n">
        <v>0.0</v>
      </c>
      <c r="J8" s="140" t="n">
        <v>-41579.0</v>
      </c>
      <c r="K8" s="140" t="n">
        <v>48478.0</v>
      </c>
      <c r="L8" s="140" t="n">
        <v>0.0</v>
      </c>
      <c r="M8" s="140" t="n">
        <v>0.0</v>
      </c>
      <c r="N8" s="140" t="n">
        <v>0.0</v>
      </c>
      <c r="O8" s="140" t="n">
        <v>0.0</v>
      </c>
      <c r="P8" s="140" t="n">
        <v>59248.0</v>
      </c>
      <c r="Q8" s="140" t="n">
        <v>0.0</v>
      </c>
      <c r="R8" s="140" t="n">
        <v>0.0</v>
      </c>
      <c r="S8" s="140" t="n">
        <v>141668.0</v>
      </c>
      <c r="T8" s="140" t="n">
        <v>0.0</v>
      </c>
      <c r="U8" s="140" t="n">
        <v>0.0</v>
      </c>
      <c r="V8" s="140" t="n">
        <v>68588.0</v>
      </c>
      <c r="W8" s="140" t="n">
        <v>3222263.0</v>
      </c>
      <c r="X8" s="141" t="n">
        <v>4485423.0</v>
      </c>
      <c r="Y8" s="140" t="n">
        <v>0.0</v>
      </c>
      <c r="Z8" s="140" t="n">
        <v>518530.0</v>
      </c>
      <c r="AA8" s="141" t="n">
        <v>5003953.0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315103.0</v>
      </c>
      <c r="C14" s="141" t="n">
        <v>0.0</v>
      </c>
      <c r="D14" s="141" t="n">
        <v>738435.0</v>
      </c>
      <c r="E14" s="141" t="n">
        <v>-66781.0</v>
      </c>
      <c r="F14" s="141" t="n">
        <v>0.0</v>
      </c>
      <c r="G14" s="141" t="n">
        <v>0.0</v>
      </c>
      <c r="H14" s="141" t="n">
        <v>0.0</v>
      </c>
      <c r="I14" s="141" t="n">
        <v>0.0</v>
      </c>
      <c r="J14" s="141" t="n">
        <v>-41579.0</v>
      </c>
      <c r="K14" s="141" t="n">
        <v>48478.0</v>
      </c>
      <c r="L14" s="141" t="n">
        <v>0.0</v>
      </c>
      <c r="M14" s="141" t="n">
        <v>0.0</v>
      </c>
      <c r="N14" s="141" t="n">
        <v>0.0</v>
      </c>
      <c r="O14" s="141" t="n">
        <v>0.0</v>
      </c>
      <c r="P14" s="141" t="n">
        <v>59248.0</v>
      </c>
      <c r="Q14" s="141" t="n">
        <v>0.0</v>
      </c>
      <c r="R14" s="141" t="n">
        <v>0.0</v>
      </c>
      <c r="S14" s="141" t="n">
        <v>141668.0</v>
      </c>
      <c r="T14" s="141" t="n">
        <v>0.0</v>
      </c>
      <c r="U14" s="141" t="n">
        <v>0.0</v>
      </c>
      <c r="V14" s="141" t="n">
        <v>68588.0</v>
      </c>
      <c r="W14" s="141" t="n">
        <v>3222263.0</v>
      </c>
      <c r="X14" s="141" t="n">
        <v>4485423.0</v>
      </c>
      <c r="Y14" s="141" t="n">
        <v>0.0</v>
      </c>
      <c r="Z14" s="141" t="n">
        <v>518530.0</v>
      </c>
      <c r="AA14" s="141" t="n">
        <v>5003953.0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309369.0</v>
      </c>
      <c r="X15" s="141" t="n">
        <v>309369.0</v>
      </c>
      <c r="Y15" s="140"/>
      <c r="Z15" s="140" t="n">
        <v>19826.0</v>
      </c>
      <c r="AA15" s="141" t="n">
        <v>329195.0</v>
      </c>
      <c r="AB15" s="142" t="s">
        <v>1330</v>
      </c>
    </row>
    <row r="16" spans="1:28" ht="15.75" thickBot="1">
      <c r="A16" s="139" t="s">
        <v>1331</v>
      </c>
      <c r="B16" s="140"/>
      <c r="C16" s="140"/>
      <c r="D16" s="140"/>
      <c r="E16" s="140"/>
      <c r="F16" s="140"/>
      <c r="G16" s="140"/>
      <c r="H16" s="140"/>
      <c r="I16" s="140"/>
      <c r="J16" s="140" t="n">
        <v>-14104.0</v>
      </c>
      <c r="K16" s="140" t="n">
        <v>23705.0</v>
      </c>
      <c r="L16" s="140"/>
      <c r="M16" s="140"/>
      <c r="N16" s="140" t="n">
        <v>14986.0</v>
      </c>
      <c r="O16" s="140"/>
      <c r="P16" s="140" t="n">
        <v>384.0</v>
      </c>
      <c r="Q16" s="140"/>
      <c r="R16" s="140"/>
      <c r="S16" s="140"/>
      <c r="T16" s="140"/>
      <c r="U16" s="140"/>
      <c r="V16" s="140"/>
      <c r="W16" s="140"/>
      <c r="X16" s="141" t="n">
        <v>24971.0</v>
      </c>
      <c r="Y16" s="140"/>
      <c r="Z16" s="140" t="n">
        <v>12903.0</v>
      </c>
      <c r="AA16" s="141" t="n">
        <v>37874.0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197500.0</v>
      </c>
      <c r="X19" s="145" t="n">
        <v>197500.0</v>
      </c>
      <c r="Y19" s="145"/>
      <c r="Z19" s="145" t="n">
        <v>25766.0</v>
      </c>
      <c r="AA19" s="145" t="n">
        <v>223266.0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t="n">
        <v>-13261.0</v>
      </c>
      <c r="T29" s="140"/>
      <c r="U29" s="140"/>
      <c r="V29" s="140"/>
      <c r="W29" s="140"/>
      <c r="X29" s="141" t="n">
        <v>-13261.0</v>
      </c>
      <c r="Y29" s="140"/>
      <c r="Z29" s="140" t="n">
        <v>-7088.0</v>
      </c>
      <c r="AA29" s="141" t="n">
        <v>-20349.0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-6317.0</v>
      </c>
      <c r="C41" s="140"/>
      <c r="D41" s="140" t="n">
        <v>-60464.0</v>
      </c>
      <c r="E41" s="140" t="n">
        <v>66781.0</v>
      </c>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308786.0</v>
      </c>
      <c r="C42" s="141" t="n">
        <v>0.0</v>
      </c>
      <c r="D42" s="141" t="n">
        <v>677971.0</v>
      </c>
      <c r="E42" s="141" t="n">
        <v>0.0</v>
      </c>
      <c r="F42" s="141"/>
      <c r="G42" s="141"/>
      <c r="H42" s="141"/>
      <c r="I42" s="141"/>
      <c r="J42" s="141" t="n">
        <v>-55683.0</v>
      </c>
      <c r="K42" s="141" t="n">
        <v>72183.0</v>
      </c>
      <c r="L42" s="141" t="n">
        <v>0.0</v>
      </c>
      <c r="M42" s="141"/>
      <c r="N42" s="141" t="n">
        <v>14986.0</v>
      </c>
      <c r="O42" s="141" t="n">
        <v>0.0</v>
      </c>
      <c r="P42" s="141" t="n">
        <v>59632.0</v>
      </c>
      <c r="Q42" s="141" t="n">
        <v>0.0</v>
      </c>
      <c r="R42" s="141" t="n">
        <v>0.0</v>
      </c>
      <c r="S42" s="141" t="n">
        <v>128407.0</v>
      </c>
      <c r="T42" s="141" t="n">
        <v>0.0</v>
      </c>
      <c r="U42" s="141" t="n">
        <v>0.0</v>
      </c>
      <c r="V42" s="141" t="n">
        <v>68588.0</v>
      </c>
      <c r="W42" s="141" t="n">
        <v>3334132.0</v>
      </c>
      <c r="X42" s="141" t="n">
        <v>4609002.0</v>
      </c>
      <c r="Y42" s="141"/>
      <c r="Z42" s="141" t="n">
        <v>518405.0</v>
      </c>
      <c r="AA42" s="141" t="n">
        <v>5127407.0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329256.0</v>
      </c>
      <c r="C8" s="155"/>
      <c r="D8" s="155" t="n">
        <v>891557.0</v>
      </c>
      <c r="E8" s="155" t="n">
        <v>-70667.0</v>
      </c>
      <c r="F8" s="155"/>
      <c r="G8" s="155"/>
      <c r="H8" s="155"/>
      <c r="I8" s="155"/>
      <c r="J8" s="155" t="n">
        <v>-34356.0</v>
      </c>
      <c r="K8" s="155" t="n">
        <v>178659.0</v>
      </c>
      <c r="L8" s="155"/>
      <c r="M8" s="155"/>
      <c r="N8" s="155"/>
      <c r="O8" s="155"/>
      <c r="P8" s="155" t="n">
        <v>80052.0</v>
      </c>
      <c r="Q8" s="155"/>
      <c r="R8" s="155"/>
      <c r="S8" s="155" t="n">
        <v>157815.0</v>
      </c>
      <c r="T8" s="155"/>
      <c r="U8" s="155"/>
      <c r="V8" s="155" t="n">
        <v>68588.0</v>
      </c>
      <c r="W8" s="155" t="n">
        <v>3325952.0</v>
      </c>
      <c r="X8" s="156" t="n">
        <v>4926856.0</v>
      </c>
      <c r="Y8" s="155"/>
      <c r="Z8" s="155" t="n">
        <v>443976.0</v>
      </c>
      <c r="AA8" s="156" t="n">
        <v>5370832.0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329256.0</v>
      </c>
      <c r="C14" s="156"/>
      <c r="D14" s="156" t="n">
        <v>891557.0</v>
      </c>
      <c r="E14" s="156" t="n">
        <v>-70667.0</v>
      </c>
      <c r="F14" s="156"/>
      <c r="G14" s="156"/>
      <c r="H14" s="156"/>
      <c r="I14" s="156"/>
      <c r="J14" s="156" t="n">
        <v>-34356.0</v>
      </c>
      <c r="K14" s="156" t="n">
        <v>178659.0</v>
      </c>
      <c r="L14" s="156"/>
      <c r="M14" s="156"/>
      <c r="N14" s="156"/>
      <c r="O14" s="156"/>
      <c r="P14" s="156" t="n">
        <v>80052.0</v>
      </c>
      <c r="Q14" s="156"/>
      <c r="R14" s="156"/>
      <c r="S14" s="156" t="n">
        <v>157815.0</v>
      </c>
      <c r="T14" s="156"/>
      <c r="U14" s="156"/>
      <c r="V14" s="156" t="n">
        <v>68588.0</v>
      </c>
      <c r="W14" s="156" t="n">
        <v>3325952.0</v>
      </c>
      <c r="X14" s="156" t="n">
        <v>4926856.0</v>
      </c>
      <c r="Y14" s="156"/>
      <c r="Z14" s="156" t="n">
        <v>443976.0</v>
      </c>
      <c r="AA14" s="156" t="n">
        <v>5370832.0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174943.0</v>
      </c>
      <c r="X15" s="156" t="n">
        <v>174943.0</v>
      </c>
      <c r="Y15" s="155"/>
      <c r="Z15" s="155" t="n">
        <v>19995.0</v>
      </c>
      <c r="AA15" s="156" t="n">
        <v>194938.0</v>
      </c>
      <c r="AB15" s="157" t="s">
        <v>1330</v>
      </c>
    </row>
    <row r="16" spans="1:28" ht="15.75" thickBot="1">
      <c r="A16" s="154" t="s">
        <v>1331</v>
      </c>
      <c r="B16" s="155"/>
      <c r="C16" s="155"/>
      <c r="D16" s="155"/>
      <c r="E16" s="155"/>
      <c r="F16" s="155"/>
      <c r="G16" s="155"/>
      <c r="H16" s="155"/>
      <c r="I16" s="155"/>
      <c r="J16" s="155" t="n">
        <v>-883.0</v>
      </c>
      <c r="K16" s="155" t="n">
        <v>-129947.0</v>
      </c>
      <c r="L16" s="155"/>
      <c r="M16" s="155"/>
      <c r="N16" s="155"/>
      <c r="O16" s="155"/>
      <c r="P16" s="155" t="n">
        <v>-16825.0</v>
      </c>
      <c r="Q16" s="155"/>
      <c r="R16" s="155"/>
      <c r="S16" s="155"/>
      <c r="T16" s="155"/>
      <c r="U16" s="155"/>
      <c r="V16" s="155"/>
      <c r="W16" s="155"/>
      <c r="X16" s="156" t="n">
        <v>-147655.0</v>
      </c>
      <c r="Y16" s="155"/>
      <c r="Z16" s="155" t="n">
        <v>-2612.0</v>
      </c>
      <c r="AA16" s="156" t="n">
        <v>-150267.0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300000.0</v>
      </c>
      <c r="X19" s="160" t="n">
        <v>300000.0</v>
      </c>
      <c r="Y19" s="160"/>
      <c r="Z19" s="160" t="n">
        <v>18659.0</v>
      </c>
      <c r="AA19" s="160" t="n">
        <v>318659.0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-124882.0</v>
      </c>
      <c r="F25" s="155"/>
      <c r="G25" s="155"/>
      <c r="H25" s="155"/>
      <c r="I25" s="155"/>
      <c r="J25" s="155"/>
      <c r="K25" s="155"/>
      <c r="L25" s="155"/>
      <c r="M25" s="155"/>
      <c r="N25" s="155"/>
      <c r="O25" s="155"/>
      <c r="P25" s="155"/>
      <c r="Q25" s="155"/>
      <c r="R25" s="155"/>
      <c r="S25" s="155"/>
      <c r="T25" s="155"/>
      <c r="U25" s="155"/>
      <c r="V25" s="155"/>
      <c r="W25" s="155"/>
      <c r="X25" s="156" t="n">
        <v>-124882.0</v>
      </c>
      <c r="Y25" s="155"/>
      <c r="Z25" s="155"/>
      <c r="AA25" s="156" t="n">
        <v>-124882.0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t="n">
        <v>-4717.0</v>
      </c>
      <c r="T29" s="155"/>
      <c r="U29" s="155"/>
      <c r="V29" s="155"/>
      <c r="W29" s="155"/>
      <c r="X29" s="156" t="n">
        <v>-4717.0</v>
      </c>
      <c r="Y29" s="155"/>
      <c r="Z29" s="155" t="n">
        <v>-9054.0</v>
      </c>
      <c r="AA29" s="156" t="n">
        <v>-13771.0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31111.0</v>
      </c>
      <c r="AA30" s="156" t="n">
        <v>31111.0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329256.0</v>
      </c>
      <c r="C42" s="156"/>
      <c r="D42" s="156" t="n">
        <v>891557.0</v>
      </c>
      <c r="E42" s="156" t="n">
        <v>-195549.0</v>
      </c>
      <c r="F42" s="156"/>
      <c r="G42" s="156"/>
      <c r="H42" s="156"/>
      <c r="I42" s="156"/>
      <c r="J42" s="156" t="n">
        <v>-35239.0</v>
      </c>
      <c r="K42" s="156" t="n">
        <v>48712.0</v>
      </c>
      <c r="L42" s="156"/>
      <c r="M42" s="156"/>
      <c r="N42" s="156"/>
      <c r="O42" s="156"/>
      <c r="P42" s="156" t="n">
        <v>63227.0</v>
      </c>
      <c r="Q42" s="156"/>
      <c r="R42" s="156"/>
      <c r="S42" s="156" t="n">
        <v>153098.0</v>
      </c>
      <c r="T42" s="156"/>
      <c r="U42" s="156"/>
      <c r="V42" s="156" t="n">
        <v>68588.0</v>
      </c>
      <c r="W42" s="156" t="n">
        <v>3200895.0</v>
      </c>
      <c r="X42" s="156" t="n">
        <v>4524545.0</v>
      </c>
      <c r="Y42" s="156"/>
      <c r="Z42" s="156" t="n">
        <v>464757.0</v>
      </c>
      <c r="AA42" s="156" t="n">
        <v>4989302.0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968438.0</v>
      </c>
      <c r="C8" s="171" t="n">
        <v>861793.0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803832.0</v>
      </c>
      <c r="C16" s="173" t="n">
        <v>339914.0</v>
      </c>
      <c r="D16" s="172" t="s">
        <v>1408</v>
      </c>
    </row>
    <row r="17" spans="1:4" ht="15.75" thickBot="1">
      <c r="A17" s="170" t="s">
        <v>1409</v>
      </c>
      <c r="B17" s="173" t="n">
        <v>113565.0</v>
      </c>
      <c r="C17" s="173" t="n">
        <v>108769.0</v>
      </c>
      <c r="D17" s="172" t="s">
        <v>1410</v>
      </c>
    </row>
    <row r="18" spans="1:4" ht="26.25" thickBot="1">
      <c r="A18" s="170" t="s">
        <v>1411</v>
      </c>
      <c r="B18" s="173"/>
      <c r="C18" s="173"/>
      <c r="D18" s="172" t="s">
        <v>1412</v>
      </c>
    </row>
    <row r="19" spans="1:4" ht="26.25" thickBot="1">
      <c r="A19" s="170" t="s">
        <v>1413</v>
      </c>
      <c r="B19" s="173" t="n">
        <v>82261.0</v>
      </c>
      <c r="C19" s="173" t="n">
        <v>51552.0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-31220.0</v>
      </c>
      <c r="C24" s="174" t="n">
        <v>361558.0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72788.0</v>
      </c>
      <c r="C32" s="171" t="n">
        <v>48239.0</v>
      </c>
      <c r="D32" s="172" t="s">
        <v>1440</v>
      </c>
    </row>
    <row r="33" spans="1:4" ht="26.25" thickBot="1">
      <c r="A33" s="175" t="s">
        <v>1441</v>
      </c>
      <c r="B33" s="173" t="n">
        <v>25511.0</v>
      </c>
      <c r="C33" s="173" t="n">
        <v>20823.0</v>
      </c>
      <c r="D33" s="172" t="s">
        <v>1442</v>
      </c>
    </row>
    <row r="34" spans="1:4" ht="39" thickBot="1">
      <c r="A34" s="175" t="s">
        <v>1443</v>
      </c>
      <c r="B34" s="171" t="n">
        <v>2839.0</v>
      </c>
      <c r="C34" s="171" t="n">
        <v>2160.0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80951.0</v>
      </c>
      <c r="C37" s="173" t="n">
        <v>85224.0</v>
      </c>
      <c r="D37" s="172" t="s">
        <v>1450</v>
      </c>
    </row>
    <row r="38" spans="1:4" ht="26.25" thickBot="1">
      <c r="A38" s="175" t="s">
        <v>1451</v>
      </c>
      <c r="B38" s="171" t="n">
        <v>19138.0</v>
      </c>
      <c r="C38" s="171" t="n">
        <v>27252.0</v>
      </c>
      <c r="D38" s="172" t="s">
        <v>1452</v>
      </c>
    </row>
    <row r="39" spans="1:4" ht="39" thickBot="1">
      <c r="A39" s="175" t="s">
        <v>1453</v>
      </c>
      <c r="B39" s="171" t="n">
        <v>-42917.0</v>
      </c>
      <c r="C39" s="171" t="n">
        <v>333162.0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-42917.0</v>
      </c>
      <c r="C47" s="174" t="n">
        <v>333162.0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3341.0</v>
      </c>
      <c r="C64" s="171" t="n">
        <v>976.0</v>
      </c>
      <c r="D64" s="172" t="s">
        <v>1504</v>
      </c>
    </row>
    <row r="65" spans="1:4" ht="26.25" thickBot="1">
      <c r="A65" s="175" t="s">
        <v>1505</v>
      </c>
      <c r="B65" s="173" t="n">
        <v>33385.0</v>
      </c>
      <c r="C65" s="173" t="n">
        <v>358083.0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1884.0</v>
      </c>
      <c r="C74" s="173" t="n">
        <v>3312.0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-65000.0</v>
      </c>
      <c r="C83" s="171" t="n">
        <v>-35210.0</v>
      </c>
      <c r="D83" s="172" t="s">
        <v>1542</v>
      </c>
    </row>
    <row r="84" spans="1:4" ht="39" thickBot="1">
      <c r="A84" s="175" t="s">
        <v>1543</v>
      </c>
      <c r="B84" s="171" t="n">
        <v>-9271.0</v>
      </c>
      <c r="C84" s="171" t="n">
        <v>-4725.0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744.0</v>
      </c>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126890.0</v>
      </c>
      <c r="C93" s="171" t="n">
        <v>241604.0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431.0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6380.0</v>
      </c>
      <c r="C104" s="173" t="n">
        <v>10026.0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33532.0</v>
      </c>
      <c r="C108" s="171" t="n">
        <v>6045.0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1086.0</v>
      </c>
      <c r="D112" s="172" t="s">
        <v>1600</v>
      </c>
    </row>
    <row r="113" spans="1:4" ht="39" thickBot="1">
      <c r="A113" s="169" t="s">
        <v>1601</v>
      </c>
      <c r="B113" s="174" t="n">
        <v>48587.0</v>
      </c>
      <c r="C113" s="174" t="n">
        <v>-162076.0</v>
      </c>
      <c r="D113" s="167" t="s">
        <v>1602</v>
      </c>
    </row>
    <row r="114" spans="1:4" ht="15.75" thickBot="1">
      <c r="A114" s="168" t="s">
        <v>1603</v>
      </c>
      <c r="B114" s="166"/>
      <c r="C114" s="166"/>
      <c r="D114" s="167" t="s">
        <v>1604</v>
      </c>
    </row>
    <row r="115" spans="1:4" ht="15.75" thickBot="1">
      <c r="A115" s="175" t="s">
        <v>1605</v>
      </c>
      <c r="B115" s="171" t="n">
        <v>453274.0</v>
      </c>
      <c r="C115" s="171" t="n">
        <v>199892.0</v>
      </c>
      <c r="D115" s="172" t="s">
        <v>1606</v>
      </c>
    </row>
    <row r="116" spans="1:4" ht="15.75" thickBot="1">
      <c r="A116" s="175" t="s">
        <v>1607</v>
      </c>
      <c r="B116" s="173" t="n">
        <v>6600.0</v>
      </c>
      <c r="C116" s="173" t="n">
        <v>66024.0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10275.0</v>
      </c>
      <c r="C134" s="173" t="n">
        <v>13421.0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-124882.0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31111.0</v>
      </c>
      <c r="D167" s="172" t="s">
        <v>1710</v>
      </c>
    </row>
    <row r="168" spans="1:4" ht="39" thickBot="1">
      <c r="A168" s="175" t="s">
        <v>1711</v>
      </c>
      <c r="B168" s="173" t="n">
        <v>20349.0</v>
      </c>
      <c r="C168" s="173" t="n">
        <v>13771.0</v>
      </c>
      <c r="D168" s="172" t="s">
        <v>1712</v>
      </c>
    </row>
    <row r="169" spans="1:4" ht="26.25" thickBot="1">
      <c r="A169" s="175" t="s">
        <v>1713</v>
      </c>
      <c r="B169" s="173" t="n">
        <v>468662.0</v>
      </c>
      <c r="C169" s="173" t="n">
        <v>518659.0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-52612.0</v>
      </c>
      <c r="C174" s="174" t="n">
        <v>-505754.0</v>
      </c>
      <c r="D174" s="167" t="s">
        <v>1724</v>
      </c>
    </row>
    <row r="175" spans="1:4" ht="26.25" thickBot="1">
      <c r="A175" s="168" t="s">
        <v>1725</v>
      </c>
      <c r="B175" s="174" t="n">
        <v>-46942.0</v>
      </c>
      <c r="C175" s="174" t="n">
        <v>-334668.0</v>
      </c>
      <c r="D175" s="167" t="s">
        <v>1726</v>
      </c>
    </row>
    <row r="176" spans="1:4" ht="26.25" thickBot="1">
      <c r="A176" s="176" t="s">
        <v>1727</v>
      </c>
      <c r="B176" s="171" t="n">
        <v>1044123.0</v>
      </c>
      <c r="C176" s="171" t="n">
        <v>1405918.0</v>
      </c>
      <c r="D176" s="172" t="s">
        <v>1728</v>
      </c>
    </row>
    <row r="177" spans="1:4" ht="26.25" thickBot="1">
      <c r="A177" s="176" t="s">
        <v>1729</v>
      </c>
      <c r="B177" s="171" t="n">
        <v>-18958.0</v>
      </c>
      <c r="C177" s="171" t="n">
        <v>-9632.0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978223.0</v>
      </c>
      <c r="C180" s="174" t="n">
        <v>1061618.0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2911</v>
      </c>
      <c r="C6" s="202" t="s">
        <v>1932</v>
      </c>
    </row>
    <row r="7" spans="1:3" ht="75" customHeight="1" thickBot="1">
      <c r="A7" s="200" t="s">
        <v>1933</v>
      </c>
      <c r="B7" s="201" t="s">
        <v>2915</v>
      </c>
      <c r="C7" s="202" t="s">
        <v>1934</v>
      </c>
    </row>
    <row r="8" spans="1:3" ht="75" customHeight="1" thickBot="1">
      <c r="A8" s="200" t="s">
        <v>421</v>
      </c>
      <c r="B8" s="201" t="s">
        <v>2900</v>
      </c>
      <c r="C8" s="202" t="s">
        <v>422</v>
      </c>
    </row>
    <row r="9" spans="1:3" ht="75" customHeight="1" thickBot="1">
      <c r="A9" s="200" t="s">
        <v>1935</v>
      </c>
      <c r="B9" s="201" t="s">
        <v>2904</v>
      </c>
      <c r="C9" s="202" t="s">
        <v>1936</v>
      </c>
    </row>
    <row r="10" spans="1:3" ht="75" customHeight="1" thickBot="1">
      <c r="A10" s="200" t="s">
        <v>968</v>
      </c>
      <c r="B10" s="201" t="s">
        <v>2922</v>
      </c>
      <c r="C10" s="202" t="s">
        <v>969</v>
      </c>
    </row>
    <row r="11" spans="1:3" ht="75" customHeight="1" thickBot="1">
      <c r="A11" s="200" t="s">
        <v>1937</v>
      </c>
      <c r="B11" s="201"/>
      <c r="C11" s="202" t="s">
        <v>1938</v>
      </c>
    </row>
    <row r="12" spans="1:3" ht="75" customHeight="1" thickBot="1">
      <c r="A12" s="200" t="s">
        <v>612</v>
      </c>
      <c r="B12" s="201" t="s">
        <v>2901</v>
      </c>
      <c r="C12" s="202" t="s">
        <v>1939</v>
      </c>
    </row>
    <row r="13" spans="1:3" ht="75" customHeight="1" thickBot="1">
      <c r="A13" s="200" t="s">
        <v>1940</v>
      </c>
      <c r="B13" s="201" t="s">
        <v>2902</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2906</v>
      </c>
      <c r="C16" s="202" t="s">
        <v>1942</v>
      </c>
    </row>
    <row r="17" spans="1:3" ht="75" customHeight="1" thickBot="1">
      <c r="A17" s="200" t="s">
        <v>632</v>
      </c>
      <c r="B17" s="201"/>
      <c r="C17" s="202" t="s">
        <v>633</v>
      </c>
    </row>
    <row r="18" spans="1:3" ht="75" customHeight="1" thickBot="1">
      <c r="A18" s="200" t="s">
        <v>1943</v>
      </c>
      <c r="B18" s="201" t="s">
        <v>2908</v>
      </c>
      <c r="C18" s="202" t="s">
        <v>1944</v>
      </c>
    </row>
    <row r="19" spans="1:3" ht="75" customHeight="1" thickBot="1">
      <c r="A19" s="200" t="s">
        <v>1945</v>
      </c>
      <c r="B19" s="201" t="s">
        <v>2919</v>
      </c>
      <c r="C19" s="202" t="s">
        <v>1946</v>
      </c>
    </row>
    <row r="20" spans="1:3" ht="75" customHeight="1" thickBot="1">
      <c r="A20" s="200" t="s">
        <v>1947</v>
      </c>
      <c r="B20" s="201" t="s">
        <v>2884</v>
      </c>
      <c r="C20" s="202" t="s">
        <v>1948</v>
      </c>
    </row>
    <row r="21" spans="1:3" ht="75" customHeight="1" thickBot="1">
      <c r="A21" s="200" t="s">
        <v>1949</v>
      </c>
      <c r="B21" s="201"/>
      <c r="C21" s="202" t="s">
        <v>1950</v>
      </c>
    </row>
    <row r="22" spans="1:3" ht="75" customHeight="1" thickBot="1">
      <c r="A22" s="200" t="s">
        <v>1951</v>
      </c>
      <c r="B22" s="201" t="s">
        <v>2914</v>
      </c>
      <c r="C22" s="202" t="s">
        <v>1952</v>
      </c>
    </row>
    <row r="23" spans="1:3" ht="75" customHeight="1" thickBot="1">
      <c r="A23" s="200" t="s">
        <v>1953</v>
      </c>
      <c r="B23" s="201" t="s">
        <v>2910</v>
      </c>
      <c r="C23" s="202" t="s">
        <v>1954</v>
      </c>
    </row>
    <row r="24" spans="1:3" ht="75" customHeight="1" thickBot="1">
      <c r="A24" s="200" t="s">
        <v>1022</v>
      </c>
      <c r="B24" s="201" t="s">
        <v>2913</v>
      </c>
      <c r="C24" s="202" t="s">
        <v>1023</v>
      </c>
    </row>
    <row r="25" spans="1:3" ht="75" customHeight="1" thickBot="1">
      <c r="A25" s="200" t="s">
        <v>1955</v>
      </c>
      <c r="B25" s="201" t="s">
        <v>2921</v>
      </c>
      <c r="C25" s="202" t="s">
        <v>1956</v>
      </c>
    </row>
    <row r="26" spans="1:3" ht="75" customHeight="1" thickBot="1">
      <c r="A26" s="200" t="s">
        <v>1957</v>
      </c>
      <c r="B26" s="201" t="s">
        <v>2916</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t="s">
        <v>2907</v>
      </c>
      <c r="C29" s="202" t="s">
        <v>1964</v>
      </c>
    </row>
    <row r="30" spans="1:3" ht="75" customHeight="1" thickBot="1">
      <c r="A30" s="200" t="s">
        <v>1965</v>
      </c>
      <c r="B30" s="201" t="s">
        <v>2905</v>
      </c>
      <c r="C30" s="202" t="s">
        <v>1966</v>
      </c>
    </row>
    <row r="31" spans="1:3" ht="75" customHeight="1" thickBot="1">
      <c r="A31" s="200" t="s">
        <v>1967</v>
      </c>
      <c r="B31" s="201" t="s">
        <v>2909</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2923</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2903</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2899</v>
      </c>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2912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2917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7784.0</v>
      </c>
      <c r="D6" s="207"/>
      <c r="E6" s="208"/>
      <c r="F6" s="207"/>
      <c r="G6" s="207" t="n">
        <v>21.0</v>
      </c>
      <c r="H6" s="207"/>
      <c r="I6" s="207"/>
      <c r="J6" s="208"/>
      <c r="K6" s="209" t="n">
        <v>7805.0</v>
      </c>
      <c r="L6" s="210" t="s">
        <v>2026</v>
      </c>
      <c r="M6" s="684" t="s">
        <v>2027</v>
      </c>
    </row>
    <row r="7" spans="1:13" ht="26.25" thickBot="1">
      <c r="A7" s="682"/>
      <c r="B7" s="206" t="s">
        <v>2028</v>
      </c>
      <c r="C7" s="207" t="n">
        <v>380704.0</v>
      </c>
      <c r="D7" s="207" t="n">
        <v>43.0</v>
      </c>
      <c r="E7" s="208" t="n">
        <v>2.0</v>
      </c>
      <c r="F7" s="207" t="n">
        <v>97931.0</v>
      </c>
      <c r="G7" s="207" t="n">
        <v>-157.0</v>
      </c>
      <c r="H7" s="207"/>
      <c r="I7" s="207"/>
      <c r="J7" s="208"/>
      <c r="K7" s="209" t="n">
        <v>478519.0</v>
      </c>
      <c r="L7" s="210" t="s">
        <v>2029</v>
      </c>
      <c r="M7" s="684"/>
    </row>
    <row r="8" spans="1:13" ht="15.75" thickBot="1">
      <c r="A8" s="682"/>
      <c r="B8" s="206" t="s">
        <v>2030</v>
      </c>
      <c r="C8" s="207" t="n">
        <v>1630456.0</v>
      </c>
      <c r="D8" s="207" t="n">
        <v>7017.0</v>
      </c>
      <c r="E8" s="208" t="n">
        <v>115402.0</v>
      </c>
      <c r="F8" s="207" t="n">
        <v>201.0</v>
      </c>
      <c r="G8" s="207" t="n">
        <v>-21.0</v>
      </c>
      <c r="H8" s="207"/>
      <c r="I8" s="207"/>
      <c r="J8" s="208"/>
      <c r="K8" s="209" t="n">
        <v>1522251.0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31666.0</v>
      </c>
      <c r="D11" s="207" t="n">
        <v>2030.0</v>
      </c>
      <c r="E11" s="208" t="n">
        <v>1807.0</v>
      </c>
      <c r="F11" s="207" t="n">
        <v>30.0</v>
      </c>
      <c r="G11" s="207" t="n">
        <v>-34.0</v>
      </c>
      <c r="H11" s="207"/>
      <c r="I11" s="207"/>
      <c r="J11" s="208"/>
      <c r="K11" s="209" t="n">
        <v>31885.0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589270.0</v>
      </c>
      <c r="D19" s="207" t="n">
        <v>3.0</v>
      </c>
      <c r="E19" s="208" t="n">
        <v>19.0</v>
      </c>
      <c r="F19" s="207" t="n">
        <v>1571.0</v>
      </c>
      <c r="G19" s="207" t="n">
        <v>-70.0</v>
      </c>
      <c r="H19" s="207"/>
      <c r="I19" s="207"/>
      <c r="J19" s="208"/>
      <c r="K19" s="209" t="n">
        <v>590755.0</v>
      </c>
      <c r="L19" s="210" t="s">
        <v>2053</v>
      </c>
      <c r="M19" s="684"/>
    </row>
    <row r="20" spans="1:13" ht="15.75" thickBot="1">
      <c r="A20" s="682"/>
      <c r="B20" s="211" t="s">
        <v>2054</v>
      </c>
      <c r="C20" s="209" t="n">
        <v>2639880.0</v>
      </c>
      <c r="D20" s="209" t="n">
        <v>9093.0</v>
      </c>
      <c r="E20" s="208" t="n">
        <v>117230.0</v>
      </c>
      <c r="F20" s="209" t="n">
        <v>99733.0</v>
      </c>
      <c r="G20" s="209" t="n">
        <v>-261.0</v>
      </c>
      <c r="H20" s="209"/>
      <c r="I20" s="209"/>
      <c r="J20" s="208"/>
      <c r="K20" s="209" t="n">
        <v>2631215.0</v>
      </c>
      <c r="L20" s="212" t="s">
        <v>2055</v>
      </c>
      <c r="M20" s="684"/>
    </row>
    <row r="21" spans="1:13" ht="15.75" thickBot="1">
      <c r="A21" s="682"/>
      <c r="B21" s="206" t="s">
        <v>2056</v>
      </c>
      <c r="C21" s="207" t="n">
        <v>90194.0</v>
      </c>
      <c r="D21" s="207" t="n">
        <v>365608.0</v>
      </c>
      <c r="E21" s="208" t="n">
        <v>883.0</v>
      </c>
      <c r="F21" s="207" t="n">
        <v>-1713.0</v>
      </c>
      <c r="G21" s="207" t="n">
        <v>-15.0</v>
      </c>
      <c r="H21" s="207"/>
      <c r="I21" s="207"/>
      <c r="J21" s="208"/>
      <c r="K21" s="209" t="n">
        <v>453191.0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13077.0</v>
      </c>
      <c r="D24" s="207" t="n">
        <v>299107.0</v>
      </c>
      <c r="E24" s="208" t="n">
        <v>17.0</v>
      </c>
      <c r="F24" s="207" t="n">
        <v>-1314.0</v>
      </c>
      <c r="G24" s="207" t="n">
        <v>-43.0</v>
      </c>
      <c r="H24" s="207"/>
      <c r="I24" s="207"/>
      <c r="J24" s="208"/>
      <c r="K24" s="209" t="n">
        <v>310810.0</v>
      </c>
      <c r="L24" s="210" t="s">
        <v>2063</v>
      </c>
      <c r="M24" s="684"/>
    </row>
    <row r="25" spans="1:13" ht="26.25" thickBot="1">
      <c r="A25" s="682"/>
      <c r="B25" s="206" t="s">
        <v>2064</v>
      </c>
      <c r="C25" s="207" t="n">
        <v>109.0</v>
      </c>
      <c r="D25" s="207" t="n">
        <v>0.0</v>
      </c>
      <c r="E25" s="208" t="n">
        <v>109.0</v>
      </c>
      <c r="F25" s="207" t="n">
        <v>0.0</v>
      </c>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29052.0</v>
      </c>
      <c r="D33" s="207" t="n">
        <v>30.0</v>
      </c>
      <c r="E33" s="208"/>
      <c r="F33" s="207" t="n">
        <v>3147.0</v>
      </c>
      <c r="G33" s="207" t="n">
        <v>-1780.0</v>
      </c>
      <c r="H33" s="207"/>
      <c r="I33" s="207"/>
      <c r="J33" s="208"/>
      <c r="K33" s="209" t="n">
        <v>30449.0</v>
      </c>
      <c r="L33" s="210" t="s">
        <v>2081</v>
      </c>
      <c r="M33" s="684"/>
    </row>
    <row r="34" spans="1:13" ht="15.75" thickBot="1">
      <c r="A34" s="682"/>
      <c r="B34" s="211" t="s">
        <v>614</v>
      </c>
      <c r="C34" s="209" t="n">
        <v>132432.0</v>
      </c>
      <c r="D34" s="209" t="n">
        <v>664745.0</v>
      </c>
      <c r="E34" s="208" t="n">
        <v>1009.0</v>
      </c>
      <c r="F34" s="209" t="n">
        <v>120.0</v>
      </c>
      <c r="G34" s="209" t="n">
        <v>-1838.0</v>
      </c>
      <c r="H34" s="209"/>
      <c r="I34" s="209"/>
      <c r="J34" s="208"/>
      <c r="K34" s="209" t="n">
        <v>794450.0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1285945.0</v>
      </c>
      <c r="D41" s="207" t="n">
        <v>79843.0</v>
      </c>
      <c r="E41" s="208" t="n">
        <v>0.0</v>
      </c>
      <c r="F41" s="207" t="n">
        <v>-99733.0</v>
      </c>
      <c r="G41" s="207" t="n">
        <v>-233.0</v>
      </c>
      <c r="H41" s="207"/>
      <c r="I41" s="207"/>
      <c r="J41" s="208"/>
      <c r="K41" s="209" t="n">
        <v>1265822.0</v>
      </c>
      <c r="L41" s="210" t="s">
        <v>2095</v>
      </c>
      <c r="M41" s="684"/>
    </row>
    <row r="42" spans="1:13" ht="15.75" thickBot="1">
      <c r="A42" s="682"/>
      <c r="B42" s="211" t="s">
        <v>2096</v>
      </c>
      <c r="C42" s="209" t="n">
        <v>1285945.0</v>
      </c>
      <c r="D42" s="209" t="n">
        <v>79843.0</v>
      </c>
      <c r="E42" s="208" t="n">
        <v>0.0</v>
      </c>
      <c r="F42" s="209" t="n">
        <v>-99733.0</v>
      </c>
      <c r="G42" s="209" t="n">
        <v>-233.0</v>
      </c>
      <c r="H42" s="209"/>
      <c r="I42" s="209"/>
      <c r="J42" s="208"/>
      <c r="K42" s="209" t="n">
        <v>1265822.0</v>
      </c>
      <c r="L42" s="212" t="s">
        <v>2097</v>
      </c>
      <c r="M42" s="684"/>
    </row>
    <row r="43" spans="1:13" ht="15.75" thickBot="1">
      <c r="A43" s="683"/>
      <c r="B43" s="211" t="s">
        <v>612</v>
      </c>
      <c r="C43" s="209" t="n">
        <v>4058257.0</v>
      </c>
      <c r="D43" s="209" t="n">
        <v>753681.0</v>
      </c>
      <c r="E43" s="208" t="n">
        <v>118239.0</v>
      </c>
      <c r="F43" s="209" t="n">
        <v>120.0</v>
      </c>
      <c r="G43" s="209" t="n">
        <v>-2332.0</v>
      </c>
      <c r="H43" s="209"/>
      <c r="I43" s="209"/>
      <c r="J43" s="208"/>
      <c r="K43" s="209" t="n">
        <v>4691487.0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157060.0</v>
      </c>
      <c r="D45" s="207" t="n">
        <v>12174.0</v>
      </c>
      <c r="E45" s="208" t="n">
        <v>2.0</v>
      </c>
      <c r="F45" s="207"/>
      <c r="G45" s="207" t="n">
        <v>-16.0</v>
      </c>
      <c r="H45" s="207"/>
      <c r="I45" s="207"/>
      <c r="J45" s="208"/>
      <c r="K45" s="209" t="n">
        <v>169216.0</v>
      </c>
      <c r="L45" s="210" t="s">
        <v>2029</v>
      </c>
      <c r="M45" s="684"/>
    </row>
    <row r="46" spans="1:13" ht="15.75" thickBot="1">
      <c r="A46" s="682"/>
      <c r="B46" s="206" t="s">
        <v>2030</v>
      </c>
      <c r="C46" s="207" t="n">
        <v>1279869.0</v>
      </c>
      <c r="D46" s="207" t="n">
        <v>66465.0</v>
      </c>
      <c r="E46" s="208" t="n">
        <v>115006.0</v>
      </c>
      <c r="F46" s="207"/>
      <c r="G46" s="207" t="n">
        <v>-4.0</v>
      </c>
      <c r="H46" s="207"/>
      <c r="I46" s="207"/>
      <c r="J46" s="208"/>
      <c r="K46" s="209" t="n">
        <v>1231324.0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25041.0</v>
      </c>
      <c r="D49" s="207" t="n">
        <v>1615.0</v>
      </c>
      <c r="E49" s="208" t="n">
        <v>1804.0</v>
      </c>
      <c r="F49" s="207"/>
      <c r="G49" s="207" t="n">
        <v>-25.0</v>
      </c>
      <c r="H49" s="207"/>
      <c r="I49" s="207"/>
      <c r="J49" s="208"/>
      <c r="K49" s="209" t="n">
        <v>24827.0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179245.0</v>
      </c>
      <c r="D57" s="207" t="n">
        <v>13164.0</v>
      </c>
      <c r="E57" s="208" t="n">
        <v>19.0</v>
      </c>
      <c r="F57" s="207"/>
      <c r="G57" s="207" t="n">
        <v>-3.0</v>
      </c>
      <c r="H57" s="207"/>
      <c r="I57" s="207"/>
      <c r="J57" s="208"/>
      <c r="K57" s="209" t="n">
        <v>192387.0</v>
      </c>
      <c r="L57" s="210" t="s">
        <v>2053</v>
      </c>
      <c r="M57" s="684"/>
    </row>
    <row r="58" spans="1:13" ht="15.75" thickBot="1">
      <c r="A58" s="682"/>
      <c r="B58" s="211" t="s">
        <v>2054</v>
      </c>
      <c r="C58" s="209" t="n">
        <v>1641215.0</v>
      </c>
      <c r="D58" s="209" t="n">
        <v>93418.0</v>
      </c>
      <c r="E58" s="208" t="n">
        <v>116831.0</v>
      </c>
      <c r="F58" s="209" t="n">
        <v>0.0</v>
      </c>
      <c r="G58" s="209" t="n">
        <v>-48.0</v>
      </c>
      <c r="H58" s="209"/>
      <c r="I58" s="209"/>
      <c r="J58" s="208"/>
      <c r="K58" s="209" t="n">
        <v>1617754.0</v>
      </c>
      <c r="L58" s="212" t="s">
        <v>2055</v>
      </c>
      <c r="M58" s="684"/>
    </row>
    <row r="59" spans="1:13" ht="15.75" thickBot="1">
      <c r="A59" s="682"/>
      <c r="B59" s="206" t="s">
        <v>2056</v>
      </c>
      <c r="C59" s="207" t="n">
        <v>42152.0</v>
      </c>
      <c r="D59" s="207" t="n">
        <v>14692.0</v>
      </c>
      <c r="E59" s="208" t="n">
        <v>875.0</v>
      </c>
      <c r="F59" s="207" t="n">
        <v>2225.0</v>
      </c>
      <c r="G59" s="207" t="n">
        <v>91.0</v>
      </c>
      <c r="H59" s="207"/>
      <c r="I59" s="207"/>
      <c r="J59" s="208"/>
      <c r="K59" s="209" t="n">
        <v>58285.0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10684.0</v>
      </c>
      <c r="D62" s="207" t="n">
        <v>18865.0</v>
      </c>
      <c r="E62" s="208" t="n">
        <v>17.0</v>
      </c>
      <c r="F62" s="207" t="n">
        <v>-2341.0</v>
      </c>
      <c r="G62" s="207" t="n">
        <v>-10.0</v>
      </c>
      <c r="H62" s="207"/>
      <c r="I62" s="207"/>
      <c r="J62" s="208"/>
      <c r="K62" s="209" t="n">
        <v>27181.0</v>
      </c>
      <c r="L62" s="210" t="s">
        <v>2063</v>
      </c>
      <c r="M62" s="684"/>
    </row>
    <row r="63" spans="1:13" ht="26.25" thickBot="1">
      <c r="A63" s="682"/>
      <c r="B63" s="206" t="s">
        <v>2064</v>
      </c>
      <c r="C63" s="207" t="n">
        <v>109.0</v>
      </c>
      <c r="D63" s="207" t="n">
        <v>16.0</v>
      </c>
      <c r="E63" s="208" t="n">
        <v>109.0</v>
      </c>
      <c r="F63" s="207"/>
      <c r="G63" s="207" t="n">
        <v>-16.0</v>
      </c>
      <c r="H63" s="207"/>
      <c r="I63" s="207"/>
      <c r="J63" s="208"/>
      <c r="K63" s="209" t="n">
        <v>0.0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3205.0</v>
      </c>
      <c r="D71" s="207" t="n">
        <v>781.0</v>
      </c>
      <c r="E71" s="208"/>
      <c r="F71" s="207" t="n">
        <v>236.0</v>
      </c>
      <c r="G71" s="207" t="n">
        <v>-287.0</v>
      </c>
      <c r="H71" s="207"/>
      <c r="I71" s="207"/>
      <c r="J71" s="208"/>
      <c r="K71" s="209" t="n">
        <v>3935.0</v>
      </c>
      <c r="L71" s="210" t="s">
        <v>2081</v>
      </c>
      <c r="M71" s="684"/>
    </row>
    <row r="72" spans="1:13" ht="15.75" thickBot="1">
      <c r="A72" s="682"/>
      <c r="B72" s="211" t="s">
        <v>614</v>
      </c>
      <c r="C72" s="209" t="n">
        <v>56150.0</v>
      </c>
      <c r="D72" s="209" t="n">
        <v>34354.0</v>
      </c>
      <c r="E72" s="208" t="n">
        <v>1001.0</v>
      </c>
      <c r="F72" s="209" t="n">
        <v>120.0</v>
      </c>
      <c r="G72" s="209" t="n">
        <v>-222.0</v>
      </c>
      <c r="H72" s="209"/>
      <c r="I72" s="209"/>
      <c r="J72" s="208"/>
      <c r="K72" s="209" t="n">
        <v>89401.0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1697365.0</v>
      </c>
      <c r="D81" s="209" t="n">
        <v>127772.0</v>
      </c>
      <c r="E81" s="208" t="n">
        <v>117832.0</v>
      </c>
      <c r="F81" s="209" t="n">
        <v>120.0</v>
      </c>
      <c r="G81" s="209" t="n">
        <v>-270.0</v>
      </c>
      <c r="H81" s="209"/>
      <c r="I81" s="209"/>
      <c r="J81" s="208"/>
      <c r="K81" s="209" t="n">
        <v>1707155.0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2360892.0</v>
      </c>
      <c r="D85" s="213"/>
      <c r="E85" s="213"/>
      <c r="F85" s="213"/>
      <c r="G85" s="213"/>
      <c r="H85" s="213"/>
      <c r="I85" s="213"/>
      <c r="J85" s="213"/>
      <c r="K85" s="209" t="n">
        <v>2984332.0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1608.0</v>
      </c>
      <c r="D6" s="218" t="n">
        <v>6223.0</v>
      </c>
      <c r="E6" s="219" t="n">
        <v>0.0</v>
      </c>
      <c r="F6" s="218"/>
      <c r="G6" s="218" t="n">
        <v>-47.0</v>
      </c>
      <c r="H6" s="218"/>
      <c r="I6" s="218"/>
      <c r="J6" s="219"/>
      <c r="K6" s="220" t="n">
        <v>7784.0</v>
      </c>
      <c r="L6" s="221" t="s">
        <v>2026</v>
      </c>
      <c r="M6" s="698" t="s">
        <v>2027</v>
      </c>
    </row>
    <row r="7" spans="1:13" ht="26.25" thickBot="1">
      <c r="A7" s="695"/>
      <c r="B7" s="217" t="s">
        <v>2028</v>
      </c>
      <c r="C7" s="218" t="n">
        <v>331344.0</v>
      </c>
      <c r="D7" s="218" t="n">
        <v>4128.0</v>
      </c>
      <c r="E7" s="219" t="n">
        <v>4543.0</v>
      </c>
      <c r="F7" s="218" t="n">
        <v>49855.0</v>
      </c>
      <c r="G7" s="218" t="n">
        <v>-80.0</v>
      </c>
      <c r="H7" s="218"/>
      <c r="I7" s="218"/>
      <c r="J7" s="219"/>
      <c r="K7" s="220" t="n">
        <v>380704.0</v>
      </c>
      <c r="L7" s="221" t="s">
        <v>2029</v>
      </c>
      <c r="M7" s="698"/>
    </row>
    <row r="8" spans="1:13" ht="15.75" thickBot="1">
      <c r="A8" s="695"/>
      <c r="B8" s="217" t="s">
        <v>2030</v>
      </c>
      <c r="C8" s="218" t="n">
        <v>1541322.0</v>
      </c>
      <c r="D8" s="218" t="n">
        <v>110741.0</v>
      </c>
      <c r="E8" s="219" t="n">
        <v>64977.0</v>
      </c>
      <c r="F8" s="218" t="n">
        <v>43381.0</v>
      </c>
      <c r="G8" s="218" t="n">
        <v>-11.0</v>
      </c>
      <c r="H8" s="218"/>
      <c r="I8" s="218"/>
      <c r="J8" s="219"/>
      <c r="K8" s="220" t="n">
        <v>1630456.0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31282.0</v>
      </c>
      <c r="D11" s="218" t="n">
        <v>4490.0</v>
      </c>
      <c r="E11" s="219" t="n">
        <v>4093.0</v>
      </c>
      <c r="F11" s="218" t="n">
        <v>7.0</v>
      </c>
      <c r="G11" s="218" t="n">
        <v>-20.0</v>
      </c>
      <c r="H11" s="218"/>
      <c r="I11" s="218"/>
      <c r="J11" s="219"/>
      <c r="K11" s="220" t="n">
        <v>31666.0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492821.0</v>
      </c>
      <c r="D19" s="218" t="n">
        <v>1588.0</v>
      </c>
      <c r="E19" s="219" t="n">
        <v>375.0</v>
      </c>
      <c r="F19" s="218" t="n">
        <v>95257.0</v>
      </c>
      <c r="G19" s="218" t="n">
        <v>-21.0</v>
      </c>
      <c r="H19" s="218"/>
      <c r="I19" s="218"/>
      <c r="J19" s="219"/>
      <c r="K19" s="220" t="n">
        <v>589270.0</v>
      </c>
      <c r="L19" s="221" t="s">
        <v>2053</v>
      </c>
      <c r="M19" s="698"/>
    </row>
    <row r="20" spans="1:13" ht="15.75" thickBot="1">
      <c r="A20" s="695"/>
      <c r="B20" s="222" t="s">
        <v>2054</v>
      </c>
      <c r="C20" s="220" t="n">
        <v>2398377.0</v>
      </c>
      <c r="D20" s="220" t="n">
        <v>127170.0</v>
      </c>
      <c r="E20" s="219" t="n">
        <v>73988.0</v>
      </c>
      <c r="F20" s="220" t="n">
        <v>188500.0</v>
      </c>
      <c r="G20" s="220" t="n">
        <v>-179.0</v>
      </c>
      <c r="H20" s="220"/>
      <c r="I20" s="220"/>
      <c r="J20" s="219"/>
      <c r="K20" s="220" t="n">
        <v>2639880.0</v>
      </c>
      <c r="L20" s="223" t="s">
        <v>2055</v>
      </c>
      <c r="M20" s="698"/>
    </row>
    <row r="21" spans="1:13" ht="15.75" thickBot="1">
      <c r="A21" s="695"/>
      <c r="B21" s="217" t="s">
        <v>2056</v>
      </c>
      <c r="C21" s="218" t="n">
        <v>144475.0</v>
      </c>
      <c r="D21" s="218" t="n">
        <v>3446.0</v>
      </c>
      <c r="E21" s="219" t="n">
        <v>15291.0</v>
      </c>
      <c r="F21" s="218" t="n">
        <v>-42436.0</v>
      </c>
      <c r="G21" s="218"/>
      <c r="H21" s="218"/>
      <c r="I21" s="218"/>
      <c r="J21" s="219"/>
      <c r="K21" s="220" t="n">
        <v>90194.0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12212.0</v>
      </c>
      <c r="D24" s="218" t="n">
        <v>1297.0</v>
      </c>
      <c r="E24" s="219" t="n">
        <v>418.0</v>
      </c>
      <c r="F24" s="218"/>
      <c r="G24" s="218" t="n">
        <v>-14.0</v>
      </c>
      <c r="H24" s="218"/>
      <c r="I24" s="218"/>
      <c r="J24" s="219"/>
      <c r="K24" s="220" t="n">
        <v>13077.0</v>
      </c>
      <c r="L24" s="221" t="s">
        <v>2063</v>
      </c>
      <c r="M24" s="698"/>
    </row>
    <row r="25" spans="1:13" ht="26.25" thickBot="1">
      <c r="A25" s="695"/>
      <c r="B25" s="217" t="s">
        <v>2064</v>
      </c>
      <c r="C25" s="218" t="n">
        <v>109.0</v>
      </c>
      <c r="D25" s="218"/>
      <c r="E25" s="219"/>
      <c r="F25" s="218"/>
      <c r="G25" s="218"/>
      <c r="H25" s="218"/>
      <c r="I25" s="218"/>
      <c r="J25" s="219"/>
      <c r="K25" s="220" t="n">
        <v>109.0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29753.0</v>
      </c>
      <c r="D33" s="218" t="n">
        <v>242.0</v>
      </c>
      <c r="E33" s="219" t="n">
        <v>0.0</v>
      </c>
      <c r="F33" s="218"/>
      <c r="G33" s="218" t="n">
        <v>-943.0</v>
      </c>
      <c r="H33" s="218"/>
      <c r="I33" s="218"/>
      <c r="J33" s="219"/>
      <c r="K33" s="220" t="n">
        <v>29052.0</v>
      </c>
      <c r="L33" s="221" t="s">
        <v>2081</v>
      </c>
      <c r="M33" s="698"/>
    </row>
    <row r="34" spans="1:13" ht="15.75" thickBot="1">
      <c r="A34" s="695"/>
      <c r="B34" s="222" t="s">
        <v>614</v>
      </c>
      <c r="C34" s="220" t="n">
        <v>186549.0</v>
      </c>
      <c r="D34" s="220" t="n">
        <v>4985.0</v>
      </c>
      <c r="E34" s="219" t="n">
        <v>15709.0</v>
      </c>
      <c r="F34" s="220" t="n">
        <v>-42436.0</v>
      </c>
      <c r="G34" s="220" t="n">
        <v>-957.0</v>
      </c>
      <c r="H34" s="220"/>
      <c r="I34" s="220"/>
      <c r="J34" s="219"/>
      <c r="K34" s="220" t="n">
        <v>132432.0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490673.0</v>
      </c>
      <c r="D41" s="218" t="n">
        <v>941796.0</v>
      </c>
      <c r="E41" s="219"/>
      <c r="F41" s="218" t="n">
        <v>-146439.0</v>
      </c>
      <c r="G41" s="218" t="n">
        <v>-85.0</v>
      </c>
      <c r="H41" s="218"/>
      <c r="I41" s="218"/>
      <c r="J41" s="219"/>
      <c r="K41" s="220" t="n">
        <v>1285945.0</v>
      </c>
      <c r="L41" s="221" t="s">
        <v>2095</v>
      </c>
      <c r="M41" s="698"/>
    </row>
    <row r="42" spans="1:13" ht="15.75" thickBot="1">
      <c r="A42" s="695"/>
      <c r="B42" s="222" t="s">
        <v>2096</v>
      </c>
      <c r="C42" s="220" t="n">
        <v>490673.0</v>
      </c>
      <c r="D42" s="220" t="n">
        <v>941796.0</v>
      </c>
      <c r="E42" s="219" t="n">
        <v>0.0</v>
      </c>
      <c r="F42" s="220" t="n">
        <v>-146439.0</v>
      </c>
      <c r="G42" s="220" t="n">
        <v>-85.0</v>
      </c>
      <c r="H42" s="220"/>
      <c r="I42" s="220"/>
      <c r="J42" s="219"/>
      <c r="K42" s="220" t="n">
        <v>1285945.0</v>
      </c>
      <c r="L42" s="223" t="s">
        <v>2097</v>
      </c>
      <c r="M42" s="698"/>
    </row>
    <row r="43" spans="1:13" ht="15.75" thickBot="1">
      <c r="A43" s="696"/>
      <c r="B43" s="222" t="s">
        <v>612</v>
      </c>
      <c r="C43" s="220" t="n">
        <v>3075599.0</v>
      </c>
      <c r="D43" s="220" t="n">
        <v>1073951.0</v>
      </c>
      <c r="E43" s="219" t="n">
        <v>89697.0</v>
      </c>
      <c r="F43" s="220" t="n">
        <v>-375.0</v>
      </c>
      <c r="G43" s="220" t="n">
        <v>-1221.0</v>
      </c>
      <c r="H43" s="220"/>
      <c r="I43" s="220"/>
      <c r="J43" s="219"/>
      <c r="K43" s="220" t="n">
        <v>4058257.0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143180.0</v>
      </c>
      <c r="D45" s="218" t="n">
        <v>18416.0</v>
      </c>
      <c r="E45" s="219" t="n">
        <v>4531.0</v>
      </c>
      <c r="F45" s="218"/>
      <c r="G45" s="218" t="n">
        <v>-5.0</v>
      </c>
      <c r="H45" s="218"/>
      <c r="I45" s="218"/>
      <c r="J45" s="219"/>
      <c r="K45" s="220" t="n">
        <v>157060.0</v>
      </c>
      <c r="L45" s="221" t="s">
        <v>2029</v>
      </c>
      <c r="M45" s="698"/>
    </row>
    <row r="46" spans="1:13" ht="15.75" thickBot="1">
      <c r="A46" s="695"/>
      <c r="B46" s="217" t="s">
        <v>2030</v>
      </c>
      <c r="C46" s="218" t="n">
        <v>1156580.0</v>
      </c>
      <c r="D46" s="218" t="n">
        <v>166351.0</v>
      </c>
      <c r="E46" s="219" t="n">
        <v>61904.0</v>
      </c>
      <c r="F46" s="218" t="n">
        <v>18847.0</v>
      </c>
      <c r="G46" s="218" t="n">
        <v>-5.0</v>
      </c>
      <c r="H46" s="218"/>
      <c r="I46" s="218"/>
      <c r="J46" s="219"/>
      <c r="K46" s="220" t="n">
        <v>1279869.0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25512.0</v>
      </c>
      <c r="D49" s="218" t="n">
        <v>3363.0</v>
      </c>
      <c r="E49" s="219" t="n">
        <v>3822.0</v>
      </c>
      <c r="F49" s="218"/>
      <c r="G49" s="218" t="n">
        <v>-12.0</v>
      </c>
      <c r="H49" s="218"/>
      <c r="I49" s="218"/>
      <c r="J49" s="219"/>
      <c r="K49" s="220" t="n">
        <v>25041.0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156504.0</v>
      </c>
      <c r="D57" s="218" t="n">
        <v>22860.0</v>
      </c>
      <c r="E57" s="219" t="n">
        <v>119.0</v>
      </c>
      <c r="F57" s="218"/>
      <c r="G57" s="218"/>
      <c r="H57" s="218"/>
      <c r="I57" s="218"/>
      <c r="J57" s="219"/>
      <c r="K57" s="220" t="n">
        <v>179245.0</v>
      </c>
      <c r="L57" s="221" t="s">
        <v>2053</v>
      </c>
      <c r="M57" s="698"/>
    </row>
    <row r="58" spans="1:13" ht="15.75" thickBot="1">
      <c r="A58" s="695"/>
      <c r="B58" s="222" t="s">
        <v>2054</v>
      </c>
      <c r="C58" s="220" t="n">
        <v>1481776.0</v>
      </c>
      <c r="D58" s="220" t="n">
        <v>210990.0</v>
      </c>
      <c r="E58" s="219" t="n">
        <v>70376.0</v>
      </c>
      <c r="F58" s="220" t="n">
        <v>18847.0</v>
      </c>
      <c r="G58" s="220" t="n">
        <v>-22.0</v>
      </c>
      <c r="H58" s="220"/>
      <c r="I58" s="220"/>
      <c r="J58" s="219"/>
      <c r="K58" s="220" t="n">
        <v>1641215.0</v>
      </c>
      <c r="L58" s="223" t="s">
        <v>2055</v>
      </c>
      <c r="M58" s="698"/>
    </row>
    <row r="59" spans="1:13" ht="15.75" thickBot="1">
      <c r="A59" s="695"/>
      <c r="B59" s="217" t="s">
        <v>2056</v>
      </c>
      <c r="C59" s="218" t="n">
        <v>53333.0</v>
      </c>
      <c r="D59" s="218" t="n">
        <v>23135.0</v>
      </c>
      <c r="E59" s="219" t="n">
        <v>15094.0</v>
      </c>
      <c r="F59" s="218" t="n">
        <v>-19222.0</v>
      </c>
      <c r="G59" s="218"/>
      <c r="H59" s="218"/>
      <c r="I59" s="218"/>
      <c r="J59" s="219"/>
      <c r="K59" s="220" t="n">
        <v>42152.0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9070.0</v>
      </c>
      <c r="D62" s="218" t="n">
        <v>2037.0</v>
      </c>
      <c r="E62" s="219" t="n">
        <v>418.0</v>
      </c>
      <c r="F62" s="218"/>
      <c r="G62" s="218" t="n">
        <v>-5.0</v>
      </c>
      <c r="H62" s="218"/>
      <c r="I62" s="218"/>
      <c r="J62" s="219"/>
      <c r="K62" s="220" t="n">
        <v>10684.0</v>
      </c>
      <c r="L62" s="221" t="s">
        <v>2063</v>
      </c>
      <c r="M62" s="698"/>
    </row>
    <row r="63" spans="1:13" ht="26.25" thickBot="1">
      <c r="A63" s="695"/>
      <c r="B63" s="217" t="s">
        <v>2064</v>
      </c>
      <c r="C63" s="218" t="n">
        <v>84.0</v>
      </c>
      <c r="D63" s="218" t="n">
        <v>25.0</v>
      </c>
      <c r="E63" s="219"/>
      <c r="F63" s="218"/>
      <c r="G63" s="218"/>
      <c r="H63" s="218"/>
      <c r="I63" s="218"/>
      <c r="J63" s="219"/>
      <c r="K63" s="220" t="n">
        <v>109.0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1955.0</v>
      </c>
      <c r="D71" s="218" t="n">
        <v>1287.0</v>
      </c>
      <c r="E71" s="219"/>
      <c r="F71" s="218"/>
      <c r="G71" s="218" t="n">
        <v>-37.0</v>
      </c>
      <c r="H71" s="218"/>
      <c r="I71" s="218"/>
      <c r="J71" s="219"/>
      <c r="K71" s="220" t="n">
        <v>3205.0</v>
      </c>
      <c r="L71" s="221" t="s">
        <v>2081</v>
      </c>
      <c r="M71" s="698"/>
    </row>
    <row r="72" spans="1:13" ht="15.75" thickBot="1">
      <c r="A72" s="695"/>
      <c r="B72" s="222" t="s">
        <v>614</v>
      </c>
      <c r="C72" s="220" t="n">
        <v>64442.0</v>
      </c>
      <c r="D72" s="220" t="n">
        <v>26484.0</v>
      </c>
      <c r="E72" s="219" t="n">
        <v>15512.0</v>
      </c>
      <c r="F72" s="220" t="n">
        <v>-19222.0</v>
      </c>
      <c r="G72" s="220" t="n">
        <v>-42.0</v>
      </c>
      <c r="H72" s="220"/>
      <c r="I72" s="220"/>
      <c r="J72" s="219"/>
      <c r="K72" s="220" t="n">
        <v>56150.0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1546218.0</v>
      </c>
      <c r="D81" s="220" t="n">
        <v>237474.0</v>
      </c>
      <c r="E81" s="219" t="n">
        <v>85888.0</v>
      </c>
      <c r="F81" s="220" t="n">
        <v>-375.0</v>
      </c>
      <c r="G81" s="220" t="n">
        <v>-64.0</v>
      </c>
      <c r="H81" s="220"/>
      <c r="I81" s="220"/>
      <c r="J81" s="219"/>
      <c r="K81" s="220" t="n">
        <v>1697365.0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1529381.0</v>
      </c>
      <c r="D85" s="224"/>
      <c r="E85" s="224"/>
      <c r="F85" s="224"/>
      <c r="G85" s="224"/>
      <c r="H85" s="224"/>
      <c r="I85" s="224"/>
      <c r="J85" s="224"/>
      <c r="K85" s="220" t="n">
        <v>2360892.0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397295.0</v>
      </c>
      <c r="D7" s="296" t="s">
        <v>2185</v>
      </c>
      <c r="E7" s="293" t="s">
        <v>2184</v>
      </c>
      <c r="F7" s="294" t="s">
        <v>2852</v>
      </c>
      <c r="G7" s="295" t="n">
        <v>393790.0</v>
      </c>
      <c r="H7" s="296" t="s">
        <v>2185</v>
      </c>
    </row>
    <row r="8" spans="1:8" ht="15.75" thickBot="1">
      <c r="A8" s="293" t="s">
        <v>2186</v>
      </c>
      <c r="B8" s="294" t="s">
        <v>2886</v>
      </c>
      <c r="C8" s="295" t="n">
        <v>18148.0</v>
      </c>
      <c r="D8" s="296" t="s">
        <v>2187</v>
      </c>
      <c r="E8" s="293" t="s">
        <v>2186</v>
      </c>
      <c r="F8" s="294" t="s">
        <v>2886</v>
      </c>
      <c r="G8" s="295" t="n">
        <v>22294.0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415443.0</v>
      </c>
      <c r="D18" s="300" t="s">
        <v>2207</v>
      </c>
      <c r="E18" s="297" t="s">
        <v>2206</v>
      </c>
      <c r="F18" s="298"/>
      <c r="G18" s="299" t="n">
        <v>416084.0</v>
      </c>
      <c r="H18" s="300" t="s">
        <v>2207</v>
      </c>
    </row>
    <row r="19" spans="1:8" ht="15.75" thickBot="1">
      <c r="A19" s="293" t="s">
        <v>2208</v>
      </c>
      <c r="B19" s="294" t="s">
        <v>2860</v>
      </c>
      <c r="C19" s="295" t="n">
        <v>583799.0</v>
      </c>
      <c r="D19" s="296" t="s">
        <v>2209</v>
      </c>
      <c r="E19" s="293" t="s">
        <v>2208</v>
      </c>
      <c r="F19" s="294" t="s">
        <v>2860</v>
      </c>
      <c r="G19" s="295" t="n">
        <v>441606.0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583799.0</v>
      </c>
      <c r="D30" s="300" t="s">
        <v>2231</v>
      </c>
      <c r="E30" s="297" t="s">
        <v>2230</v>
      </c>
      <c r="F30" s="298"/>
      <c r="G30" s="299" t="n">
        <v>441606.0</v>
      </c>
      <c r="H30" s="300" t="s">
        <v>2231</v>
      </c>
    </row>
    <row r="31" spans="1:8" ht="15.75" thickBot="1">
      <c r="A31" s="297" t="s">
        <v>2232</v>
      </c>
      <c r="B31" s="298"/>
      <c r="C31" s="299" t="n">
        <v>999242.0</v>
      </c>
      <c r="D31" s="300" t="s">
        <v>2233</v>
      </c>
      <c r="E31" s="297" t="s">
        <v>2232</v>
      </c>
      <c r="F31" s="298"/>
      <c r="G31" s="299" t="n">
        <v>857690.0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2881</v>
      </c>
      <c r="C7" s="319" t="n">
        <v>369438.0</v>
      </c>
      <c r="D7" s="320" t="s">
        <v>2293</v>
      </c>
      <c r="E7" s="317" t="s">
        <v>2292</v>
      </c>
      <c r="F7" s="318" t="s">
        <v>2881</v>
      </c>
      <c r="G7" s="319" t="n">
        <v>332975.0</v>
      </c>
      <c r="H7" s="320" t="s">
        <v>2293</v>
      </c>
    </row>
    <row r="8" spans="1:8" ht="15.75" thickBot="1">
      <c r="A8" s="317" t="s">
        <v>2294</v>
      </c>
      <c r="B8" s="318" t="s">
        <v>2891</v>
      </c>
      <c r="C8" s="319" t="n">
        <v>208654.0</v>
      </c>
      <c r="D8" s="320" t="s">
        <v>2295</v>
      </c>
      <c r="E8" s="317" t="s">
        <v>2294</v>
      </c>
      <c r="F8" s="318" t="s">
        <v>2891</v>
      </c>
      <c r="G8" s="319" t="n">
        <v>205242.0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578092.0</v>
      </c>
      <c r="D18" s="324" t="s">
        <v>2315</v>
      </c>
      <c r="E18" s="321" t="s">
        <v>2314</v>
      </c>
      <c r="F18" s="322"/>
      <c r="G18" s="323" t="n">
        <v>538217.0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32042.0</v>
      </c>
      <c r="D7" s="330" t="s">
        <v>2321</v>
      </c>
      <c r="E7" s="761" t="s">
        <v>2322</v>
      </c>
      <c r="F7" s="758" t="s">
        <v>2172</v>
      </c>
      <c r="G7" s="328" t="s">
        <v>2321</v>
      </c>
      <c r="H7" s="329" t="n">
        <v>26140.0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36588.0</v>
      </c>
      <c r="D17" s="330" t="s">
        <v>2332</v>
      </c>
      <c r="E17" s="761"/>
      <c r="F17" s="758"/>
      <c r="G17" s="328" t="s">
        <v>2332</v>
      </c>
      <c r="H17" s="329" t="n">
        <v>31067.0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68630.0</v>
      </c>
      <c r="D19" s="333" t="s">
        <v>2336</v>
      </c>
      <c r="E19" s="762"/>
      <c r="F19" s="759"/>
      <c r="G19" s="331" t="s">
        <v>2335</v>
      </c>
      <c r="H19" s="332" t="n">
        <v>57207.0</v>
      </c>
      <c r="I19" s="333" t="s">
        <v>2336</v>
      </c>
      <c r="J19" s="762"/>
    </row>
    <row r="20" spans="1:10" ht="15.75" thickBot="1">
      <c r="A20" s="757" t="s">
        <v>2148</v>
      </c>
      <c r="B20" s="328" t="s">
        <v>2321</v>
      </c>
      <c r="C20" s="329" t="n">
        <v>293474.0</v>
      </c>
      <c r="D20" s="330" t="s">
        <v>2321</v>
      </c>
      <c r="E20" s="760" t="s">
        <v>2337</v>
      </c>
      <c r="F20" s="757" t="s">
        <v>2148</v>
      </c>
      <c r="G20" s="328" t="s">
        <v>2321</v>
      </c>
      <c r="H20" s="329" t="n">
        <v>234312.0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61636.0</v>
      </c>
      <c r="D30" s="330" t="s">
        <v>2332</v>
      </c>
      <c r="E30" s="761"/>
      <c r="F30" s="758"/>
      <c r="G30" s="328" t="s">
        <v>2332</v>
      </c>
      <c r="H30" s="329" t="n">
        <v>101418.0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355110.0</v>
      </c>
      <c r="D32" s="333" t="s">
        <v>2336</v>
      </c>
      <c r="E32" s="762"/>
      <c r="F32" s="759"/>
      <c r="G32" s="331" t="s">
        <v>2335</v>
      </c>
      <c r="H32" s="332" t="n">
        <v>335730.0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68630.0</v>
      </c>
      <c r="D37" s="334" t="n">
        <v>0.0</v>
      </c>
      <c r="E37" s="332" t="n">
        <v>68630.0</v>
      </c>
      <c r="F37" s="330" t="s">
        <v>2322</v>
      </c>
      <c r="G37" s="333" t="s">
        <v>2336</v>
      </c>
      <c r="H37" s="328" t="s">
        <v>2172</v>
      </c>
      <c r="I37" s="331" t="s">
        <v>2335</v>
      </c>
      <c r="J37" s="332" t="n">
        <v>57207.0</v>
      </c>
      <c r="K37" s="334" t="n">
        <v>0.0</v>
      </c>
      <c r="L37" s="332" t="n">
        <v>57207.0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355110.0</v>
      </c>
      <c r="D42" s="334" t="n">
        <v>0.0</v>
      </c>
      <c r="E42" s="332" t="n">
        <v>355110.0</v>
      </c>
      <c r="F42" s="330" t="s">
        <v>2337</v>
      </c>
      <c r="G42" s="333" t="s">
        <v>2336</v>
      </c>
      <c r="H42" s="328" t="s">
        <v>2148</v>
      </c>
      <c r="I42" s="331" t="s">
        <v>2335</v>
      </c>
      <c r="J42" s="332" t="n">
        <v>335730.0</v>
      </c>
      <c r="K42" s="334" t="n">
        <v>0.0</v>
      </c>
      <c r="L42" s="332" t="n">
        <v>335730.0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332741.0</v>
      </c>
      <c r="D7" s="341" t="s">
        <v>2344</v>
      </c>
      <c r="E7" s="342" t="s">
        <v>2345</v>
      </c>
      <c r="F7" s="338" t="s">
        <v>2342</v>
      </c>
      <c r="G7" s="339" t="s">
        <v>2343</v>
      </c>
      <c r="H7" s="340" t="n">
        <v>388447.0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37491.0</v>
      </c>
      <c r="D12" s="342" t="s">
        <v>2348</v>
      </c>
      <c r="E12" s="770" t="s">
        <v>2349</v>
      </c>
      <c r="F12" s="768" t="s">
        <v>2346</v>
      </c>
      <c r="G12" s="338" t="s">
        <v>2347</v>
      </c>
      <c r="H12" s="343" t="n">
        <v>2220.0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11904.0</v>
      </c>
      <c r="D17" s="342" t="s">
        <v>2359</v>
      </c>
      <c r="E17" s="770"/>
      <c r="F17" s="768"/>
      <c r="G17" s="338" t="s">
        <v>2358</v>
      </c>
      <c r="H17" s="343" t="n">
        <v>2014.0</v>
      </c>
      <c r="I17" s="342" t="s">
        <v>2359</v>
      </c>
      <c r="J17" s="770"/>
    </row>
    <row r="18" spans="1:10" ht="15.75" thickBot="1">
      <c r="A18" s="768"/>
      <c r="B18" s="338" t="s">
        <v>2360</v>
      </c>
      <c r="C18" s="343" t="n">
        <v>24278.0</v>
      </c>
      <c r="D18" s="342" t="s">
        <v>2361</v>
      </c>
      <c r="E18" s="770"/>
      <c r="F18" s="768"/>
      <c r="G18" s="338" t="s">
        <v>2360</v>
      </c>
      <c r="H18" s="343" t="n">
        <v>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17326.0</v>
      </c>
      <c r="D34" s="342" t="s">
        <v>2393</v>
      </c>
      <c r="E34" s="770"/>
      <c r="F34" s="768"/>
      <c r="G34" s="338" t="s">
        <v>2392</v>
      </c>
      <c r="H34" s="343" t="n">
        <v>250.0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90999.0</v>
      </c>
      <c r="D42" s="341" t="s">
        <v>2344</v>
      </c>
      <c r="E42" s="771"/>
      <c r="F42" s="769"/>
      <c r="G42" s="339" t="s">
        <v>2343</v>
      </c>
      <c r="H42" s="340" t="n">
        <v>4489.0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423740.0</v>
      </c>
      <c r="D47" s="340" t="n">
        <v>0.0</v>
      </c>
      <c r="E47" s="340" t="n">
        <v>423740.0</v>
      </c>
      <c r="F47" s="341" t="s">
        <v>2344</v>
      </c>
      <c r="G47" s="342" t="s">
        <v>2409</v>
      </c>
      <c r="H47" s="338" t="s">
        <v>2408</v>
      </c>
      <c r="I47" s="339" t="s">
        <v>2343</v>
      </c>
      <c r="J47" s="340" t="n">
        <v>392936.0</v>
      </c>
      <c r="K47" s="340" t="n">
        <v>0.0</v>
      </c>
      <c r="L47" s="340" t="n">
        <v>392936.0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319919.0</v>
      </c>
      <c r="C33" s="434"/>
      <c r="D33" s="435" t="s">
        <v>2516</v>
      </c>
    </row>
    <row r="34" spans="1:4" ht="15.75" thickBot="1">
      <c r="A34" s="433" t="s">
        <v>2517</v>
      </c>
      <c r="B34" s="434"/>
      <c r="C34" s="434"/>
      <c r="D34" s="435" t="s">
        <v>2518</v>
      </c>
    </row>
    <row r="35" spans="1:4" ht="15.75" thickBot="1">
      <c r="A35" s="433" t="s">
        <v>2519</v>
      </c>
      <c r="B35" s="434" t="n">
        <v>33759.0</v>
      </c>
      <c r="C35" s="434"/>
      <c r="D35" s="435" t="s">
        <v>2520</v>
      </c>
    </row>
    <row r="36" spans="1:4" ht="15.75" thickBot="1">
      <c r="A36" s="433" t="s">
        <v>2521</v>
      </c>
      <c r="B36" s="434" t="n">
        <v>21672.0</v>
      </c>
      <c r="C36" s="434" t="n">
        <v>25702.0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85980.0</v>
      </c>
      <c r="C39" s="434" t="n">
        <v>60343.0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43796.0</v>
      </c>
      <c r="C58" s="434" t="n">
        <v>29933.0</v>
      </c>
      <c r="D58" s="435" t="s">
        <v>2566</v>
      </c>
    </row>
    <row r="59" spans="1:4" ht="15.75" thickBot="1">
      <c r="A59" s="436" t="s">
        <v>2567</v>
      </c>
      <c r="B59" s="437" t="n">
        <v>505126.0</v>
      </c>
      <c r="C59" s="437" t="n">
        <v>115978.0</v>
      </c>
      <c r="D59" s="430" t="s">
        <v>2568</v>
      </c>
    </row>
    <row r="60" spans="1:4" ht="26.25" thickBot="1">
      <c r="A60" s="436" t="s">
        <v>2569</v>
      </c>
      <c r="B60" s="438"/>
      <c r="C60" s="438"/>
      <c r="D60" s="430" t="s">
        <v>2570</v>
      </c>
    </row>
    <row r="61" spans="1:4" ht="15.75" thickBot="1">
      <c r="A61" s="436" t="s">
        <v>968</v>
      </c>
      <c r="B61" s="437" t="n">
        <v>505126.0</v>
      </c>
      <c r="C61" s="437" t="n">
        <v>115978.0</v>
      </c>
      <c r="D61" s="430" t="s">
        <v>969</v>
      </c>
    </row>
    <row r="62" spans="1:4" ht="15.75" thickBot="1">
      <c r="A62" s="433" t="s">
        <v>483</v>
      </c>
      <c r="B62" s="434" t="n">
        <v>505126.0</v>
      </c>
      <c r="C62" s="434" t="n">
        <v>115978.0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111729.0</v>
      </c>
      <c r="D7" s="482" t="s">
        <v>2321</v>
      </c>
      <c r="E7" s="843" t="s">
        <v>2322</v>
      </c>
      <c r="F7" s="840" t="s">
        <v>2172</v>
      </c>
      <c r="G7" s="480" t="s">
        <v>2321</v>
      </c>
      <c r="H7" s="481" t="n">
        <v>141251.0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3608.0</v>
      </c>
      <c r="D17" s="482" t="s">
        <v>2332</v>
      </c>
      <c r="E17" s="843"/>
      <c r="F17" s="840"/>
      <c r="G17" s="480" t="s">
        <v>2332</v>
      </c>
      <c r="H17" s="481" t="n">
        <v>4580.0</v>
      </c>
      <c r="I17" s="482" t="s">
        <v>2332</v>
      </c>
      <c r="J17" s="843"/>
    </row>
    <row r="18" spans="1:10" ht="15.75" thickBot="1">
      <c r="A18" s="840"/>
      <c r="B18" s="480" t="s">
        <v>2333</v>
      </c>
      <c r="C18" s="481" t="n">
        <v>390.0</v>
      </c>
      <c r="D18" s="482" t="s">
        <v>2334</v>
      </c>
      <c r="E18" s="843"/>
      <c r="F18" s="840"/>
      <c r="G18" s="480" t="s">
        <v>2333</v>
      </c>
      <c r="H18" s="481" t="n">
        <v>8.0</v>
      </c>
      <c r="I18" s="482" t="s">
        <v>2334</v>
      </c>
      <c r="J18" s="843"/>
    </row>
    <row r="19" spans="1:10" ht="15.75" thickBot="1">
      <c r="A19" s="841"/>
      <c r="B19" s="483" t="s">
        <v>2335</v>
      </c>
      <c r="C19" s="484" t="n">
        <v>115727.0</v>
      </c>
      <c r="D19" s="485" t="s">
        <v>2336</v>
      </c>
      <c r="E19" s="844"/>
      <c r="F19" s="841"/>
      <c r="G19" s="483" t="s">
        <v>2335</v>
      </c>
      <c r="H19" s="484" t="n">
        <v>145839.0</v>
      </c>
      <c r="I19" s="485" t="s">
        <v>2336</v>
      </c>
      <c r="J19" s="844"/>
    </row>
    <row r="20" spans="1:10" ht="15.75" thickBot="1">
      <c r="A20" s="839" t="s">
        <v>2148</v>
      </c>
      <c r="B20" s="480" t="s">
        <v>2321</v>
      </c>
      <c r="C20" s="481" t="n">
        <v>23871.0</v>
      </c>
      <c r="D20" s="482" t="s">
        <v>2321</v>
      </c>
      <c r="E20" s="842" t="s">
        <v>2337</v>
      </c>
      <c r="F20" s="839" t="s">
        <v>2148</v>
      </c>
      <c r="G20" s="480" t="s">
        <v>2321</v>
      </c>
      <c r="H20" s="481" t="n">
        <v>25567.0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1.0</v>
      </c>
      <c r="D30" s="482" t="s">
        <v>2332</v>
      </c>
      <c r="E30" s="843"/>
      <c r="F30" s="840"/>
      <c r="G30" s="480" t="s">
        <v>2332</v>
      </c>
      <c r="H30" s="481" t="n">
        <v>2.0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23872.0</v>
      </c>
      <c r="D32" s="485" t="s">
        <v>2336</v>
      </c>
      <c r="E32" s="844"/>
      <c r="F32" s="841"/>
      <c r="G32" s="483" t="s">
        <v>2335</v>
      </c>
      <c r="H32" s="484" t="n">
        <v>25569.0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211.0</v>
      </c>
      <c r="C10" s="552" t="n">
        <v>975.0</v>
      </c>
      <c r="D10" s="551" t="s">
        <v>2710</v>
      </c>
    </row>
    <row r="11" spans="1:4" ht="15.75" thickBot="1">
      <c r="A11" s="549" t="s">
        <v>2711</v>
      </c>
      <c r="B11" s="552"/>
      <c r="C11" s="552"/>
      <c r="D11" s="551" t="s">
        <v>2712</v>
      </c>
    </row>
    <row r="12" spans="1:4" ht="15.75" thickBot="1">
      <c r="A12" s="549" t="s">
        <v>2713</v>
      </c>
      <c r="B12" s="552" t="n">
        <v>54886.0</v>
      </c>
      <c r="C12" s="552" t="n">
        <v>69198.0</v>
      </c>
      <c r="D12" s="551" t="s">
        <v>2714</v>
      </c>
    </row>
    <row r="13" spans="1:4" ht="15.75" thickBot="1">
      <c r="A13" s="549" t="s">
        <v>2715</v>
      </c>
      <c r="B13" s="552" t="n">
        <v>90071.0</v>
      </c>
      <c r="C13" s="552" t="n">
        <v>80347.0</v>
      </c>
      <c r="D13" s="551" t="s">
        <v>2716</v>
      </c>
    </row>
    <row r="14" spans="1:4" ht="15.75" thickBot="1">
      <c r="A14" s="549" t="s">
        <v>2717</v>
      </c>
      <c r="B14" s="552" t="n">
        <v>83250.0</v>
      </c>
      <c r="C14" s="552" t="n">
        <v>55840.0</v>
      </c>
      <c r="D14" s="551" t="s">
        <v>2718</v>
      </c>
    </row>
    <row r="15" spans="1:4" ht="15.75" thickBot="1">
      <c r="A15" s="549" t="s">
        <v>2719</v>
      </c>
      <c r="B15" s="552" t="n">
        <v>80459.0</v>
      </c>
      <c r="C15" s="552" t="n">
        <v>67463.0</v>
      </c>
      <c r="D15" s="551" t="s">
        <v>2720</v>
      </c>
    </row>
    <row r="16" spans="1:4" ht="26.25" thickBot="1">
      <c r="A16" s="549" t="s">
        <v>2721</v>
      </c>
      <c r="B16" s="552" t="n">
        <v>0.0</v>
      </c>
      <c r="C16" s="552" t="n">
        <v>2430.0</v>
      </c>
      <c r="D16" s="551" t="s">
        <v>2722</v>
      </c>
    </row>
    <row r="17" spans="1:4" ht="15.75" thickBot="1">
      <c r="A17" s="549" t="s">
        <v>2723</v>
      </c>
      <c r="B17" s="552"/>
      <c r="C17" s="552"/>
      <c r="D17" s="551" t="s">
        <v>2724</v>
      </c>
    </row>
    <row r="18" spans="1:4" ht="15.75" thickBot="1">
      <c r="A18" s="549" t="s">
        <v>2725</v>
      </c>
      <c r="B18" s="552" t="n">
        <v>16789.0</v>
      </c>
      <c r="C18" s="552" t="n">
        <v>18362.0</v>
      </c>
      <c r="D18" s="551" t="s">
        <v>2726</v>
      </c>
    </row>
    <row r="19" spans="1:4" ht="15.75" thickBot="1">
      <c r="A19" s="549" t="s">
        <v>2727</v>
      </c>
      <c r="B19" s="552" t="n">
        <v>53414.0</v>
      </c>
      <c r="C19" s="552" t="n">
        <v>53228.0</v>
      </c>
      <c r="D19" s="551" t="s">
        <v>2728</v>
      </c>
    </row>
    <row r="20" spans="1:4" ht="15.75" thickBot="1">
      <c r="A20" s="549" t="s">
        <v>2729</v>
      </c>
      <c r="B20" s="552" t="n">
        <v>8836.0</v>
      </c>
      <c r="C20" s="552" t="n">
        <v>8442.0</v>
      </c>
      <c r="D20" s="551" t="s">
        <v>2730</v>
      </c>
    </row>
    <row r="21" spans="1:4" ht="15.75" thickBot="1">
      <c r="A21" s="549" t="s">
        <v>2731</v>
      </c>
      <c r="B21" s="552" t="n">
        <v>98145.0</v>
      </c>
      <c r="C21" s="552" t="n">
        <v>99079.0</v>
      </c>
      <c r="D21" s="551" t="s">
        <v>2732</v>
      </c>
    </row>
    <row r="22" spans="1:4" ht="15.75" thickBot="1">
      <c r="A22" s="549" t="s">
        <v>2733</v>
      </c>
      <c r="B22" s="552"/>
      <c r="C22" s="552"/>
      <c r="D22" s="551" t="s">
        <v>2734</v>
      </c>
    </row>
    <row r="23" spans="1:4" ht="15.75" thickBot="1">
      <c r="A23" s="549" t="s">
        <v>2735</v>
      </c>
      <c r="B23" s="552" t="n">
        <v>72229.0</v>
      </c>
      <c r="C23" s="552" t="n">
        <v>81716.0</v>
      </c>
      <c r="D23" s="551" t="s">
        <v>2736</v>
      </c>
    </row>
    <row r="24" spans="1:4" ht="15.75" thickBot="1">
      <c r="A24" s="549" t="s">
        <v>2737</v>
      </c>
      <c r="B24" s="552" t="n">
        <v>22645.0</v>
      </c>
      <c r="C24" s="552" t="n">
        <v>23147.0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580935.0</v>
      </c>
      <c r="C28" s="554" t="n">
        <v>560227.0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580935.0</v>
      </c>
      <c r="C31" s="554" t="n">
        <v>560227.0</v>
      </c>
      <c r="D31" s="548" t="s">
        <v>2752</v>
      </c>
    </row>
    <row r="32" spans="1:4" ht="15.75" thickBot="1">
      <c r="A32" s="549" t="s">
        <v>2753</v>
      </c>
      <c r="B32" s="550" t="n">
        <v>60739.0</v>
      </c>
      <c r="C32" s="550" t="n">
        <v>47491.0</v>
      </c>
      <c r="D32" s="551" t="s">
        <v>2754</v>
      </c>
    </row>
    <row r="33" spans="1:4" ht="15.75" thickBot="1">
      <c r="A33" s="549" t="s">
        <v>2755</v>
      </c>
      <c r="B33" s="552"/>
      <c r="C33" s="552"/>
      <c r="D33" s="551" t="s">
        <v>2756</v>
      </c>
    </row>
    <row r="34" spans="1:4" ht="15.75" thickBot="1">
      <c r="A34" s="549" t="s">
        <v>2757</v>
      </c>
      <c r="B34" s="550" t="n">
        <v>86583.0</v>
      </c>
      <c r="C34" s="550" t="n">
        <v>56091.0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21467.0</v>
      </c>
      <c r="C38" s="552" t="n">
        <v>21793.0</v>
      </c>
      <c r="D38" s="551" t="s">
        <v>2766</v>
      </c>
    </row>
    <row r="39" spans="1:4" ht="26.25" thickBot="1">
      <c r="A39" s="553" t="s">
        <v>1093</v>
      </c>
      <c r="B39" s="554" t="n">
        <v>576558.0</v>
      </c>
      <c r="C39" s="554" t="n">
        <v>573420.0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85706.0</v>
      </c>
      <c r="D267" s="569" t="n">
        <v>86688.0</v>
      </c>
      <c r="E267" s="888" t="s">
        <v>2797</v>
      </c>
      <c r="F267" s="570" t="s">
        <v>2321</v>
      </c>
      <c r="G267" s="885" t="s">
        <v>2796</v>
      </c>
      <c r="H267" s="568" t="s">
        <v>2321</v>
      </c>
      <c r="I267" s="569" t="n">
        <v>61256.0</v>
      </c>
      <c r="J267" s="569" t="n">
        <v>61870.0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1097756.0</v>
      </c>
      <c r="D277" s="569" t="n">
        <v>1107600.0</v>
      </c>
      <c r="E277" s="889"/>
      <c r="F277" s="570" t="s">
        <v>2332</v>
      </c>
      <c r="G277" s="886"/>
      <c r="H277" s="568" t="s">
        <v>2332</v>
      </c>
      <c r="I277" s="569" t="n">
        <v>683787.0</v>
      </c>
      <c r="J277" s="569" t="n">
        <v>691100.0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1194288.0</v>
      </c>
      <c r="E279" s="890"/>
      <c r="F279" s="574" t="s">
        <v>2336</v>
      </c>
      <c r="G279" s="887"/>
      <c r="H279" s="571" t="s">
        <v>2335</v>
      </c>
      <c r="I279" s="572"/>
      <c r="J279" s="573" t="n">
        <v>752970.0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1194288.0</v>
      </c>
      <c r="E310" s="570" t="s">
        <v>2803</v>
      </c>
      <c r="F310" s="574" t="s">
        <v>2336</v>
      </c>
      <c r="G310" s="568" t="s">
        <v>2802</v>
      </c>
      <c r="H310" s="571" t="s">
        <v>2335</v>
      </c>
      <c r="I310" s="572"/>
      <c r="J310" s="573" t="n">
        <v>752970.0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1194288.0</v>
      </c>
      <c r="C314" s="573" t="n">
        <v>752970.0</v>
      </c>
      <c r="D314" s="574" t="s">
        <v>2804</v>
      </c>
    </row>
    <row r="315" spans="1:12" ht="26.25" thickBot="1">
      <c r="A315" s="577" t="s">
        <v>2805</v>
      </c>
      <c r="B315" s="569" t="n">
        <v>10826.0</v>
      </c>
      <c r="C315" s="569" t="n">
        <v>7927.0</v>
      </c>
      <c r="D315" s="570" t="s">
        <v>2806</v>
      </c>
    </row>
    <row r="316" spans="1:12" ht="15.75" thickBot="1">
      <c r="A316" s="578" t="s">
        <v>2807</v>
      </c>
      <c r="B316" s="573"/>
      <c r="C316" s="573" t="n">
        <v>745043.0</v>
      </c>
      <c r="D316" s="574" t="s">
        <v>2808</v>
      </c>
    </row>
    <row r="317" spans="1:12" ht="39" thickBot="1">
      <c r="A317" s="579" t="s">
        <v>749</v>
      </c>
      <c r="B317" s="569" t="n">
        <v>227307.0</v>
      </c>
      <c r="C317" s="569" t="n">
        <v>40676.0</v>
      </c>
      <c r="D317" s="570" t="s">
        <v>750</v>
      </c>
    </row>
    <row r="318" spans="1:12" ht="26.25" thickBot="1">
      <c r="A318" s="579" t="s">
        <v>813</v>
      </c>
      <c r="B318" s="569" t="n">
        <v>956155.0</v>
      </c>
      <c r="C318" s="569" t="n">
        <v>704367.0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85706.0</v>
      </c>
      <c r="D247" s="595" t="s">
        <v>2861</v>
      </c>
      <c r="E247" s="595" t="s">
        <v>2880</v>
      </c>
      <c r="F247" s="595" t="s">
        <v>2879</v>
      </c>
      <c r="G247" s="903" t="s">
        <v>2797</v>
      </c>
      <c r="H247" s="596" t="s">
        <v>2321</v>
      </c>
      <c r="I247" s="900" t="s">
        <v>2796</v>
      </c>
      <c r="J247" s="593" t="s">
        <v>2321</v>
      </c>
      <c r="K247" s="594" t="n">
        <v>61256.0</v>
      </c>
      <c r="L247" s="595" t="s">
        <v>2896</v>
      </c>
      <c r="M247" s="595" t="s">
        <v>2853</v>
      </c>
      <c r="N247" s="595" t="s">
        <v>2862</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1097756.0</v>
      </c>
      <c r="D257" s="595" t="s">
        <v>2861</v>
      </c>
      <c r="E257" s="595" t="s">
        <v>2898</v>
      </c>
      <c r="F257" s="595" t="s">
        <v>2872</v>
      </c>
      <c r="G257" s="904"/>
      <c r="H257" s="596" t="s">
        <v>2332</v>
      </c>
      <c r="I257" s="901"/>
      <c r="J257" s="593" t="s">
        <v>2332</v>
      </c>
      <c r="K257" s="594" t="n">
        <v>683787.0</v>
      </c>
      <c r="L257" s="595" t="s">
        <v>2896</v>
      </c>
      <c r="M257" s="595" t="s">
        <v>2866</v>
      </c>
      <c r="N257" s="595" t="s">
        <v>2872</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