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00"/>
  <workbookPr/>
  <mc:AlternateContent xmlns:mc="http://schemas.openxmlformats.org/markup-compatibility/2006">
    <mc:Choice Requires="x15">
      <x15ac:absPath xmlns:x15ac="http://schemas.microsoft.com/office/spreadsheetml/2010/11/ac" url="\\192.168.18.154\fujitsu-xbrl-files\raportado\output\aisa_maker2_0112_2024_0_153_1722240695102\excel-submitted\"/>
    </mc:Choice>
  </mc:AlternateContent>
  <xr:revisionPtr revIDLastSave="0" documentId="13_ncr:1_{E9D20122-C4A2-4C8F-9DE9-8F00728E6C07}" xr6:coauthVersionLast="36" xr6:coauthVersionMax="36" xr10:uidLastSave="{00000000-0000-0000-0000-000000000000}"/>
  <bookViews>
    <workbookView xWindow="0" yWindow="0" windowWidth="17970" windowHeight="5535" firstSheet="23" activeTab="29" xr2:uid="{00000000-000D-0000-FFFF-FFFF00000000}"/>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20100" sheetId="18" r:id="rId16"/>
    <sheet name="1620200" sheetId="19" r:id="rId17"/>
    <sheet name="1620500" sheetId="20" r:id="rId18"/>
    <sheet name="1630000" sheetId="21" r:id="rId19"/>
    <sheet name="1632000" sheetId="22" r:id="rId20"/>
    <sheet name="1640100" sheetId="23" r:id="rId21"/>
    <sheet name="16402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8">'1630000'!$B$65</definedName>
    <definedName name="rap.context.title.CurrentYearDuration.0" localSheetId="19">'1632000'!$B$4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'1321000'!$B$4</definedName>
    <definedName name="rap.context.title.CurrentYearInstant.0" localSheetId="3">'1210000'!$B$4</definedName>
    <definedName name="rap.context.title.CurrentYearInstant.0" localSheetId="15">'1620100'!$A$3</definedName>
    <definedName name="rap.context.title.CurrentYearInstant.0" localSheetId="16">'1620200'!$A$3</definedName>
    <definedName name="rap.context.title.CurrentYearInstant.0" localSheetId="17">'1620500'!$B$4</definedName>
    <definedName name="rap.context.title.CurrentYearInstant.0" localSheetId="18">'1630000'!$B$4</definedName>
    <definedName name="rap.context.title.CurrentYearInstant.0" localSheetId="20">'1640100'!$A$3</definedName>
    <definedName name="rap.context.title.CurrentYearInstant.0" localSheetId="21">'1640200'!$A$3</definedName>
    <definedName name="rap.context.title.CurrentYearInstant.0" localSheetId="22">'1670000'!$B$4</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6">'1620200'!$A$8</definedName>
    <definedName name="rap.context.title.CurrentYearInstant.1" localSheetId="21">'1640200'!$A$38</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'1620100'!$A$33</definedName>
    <definedName name="rap.context.title.CurrentYearInstant.2" localSheetId="16">'1620200'!$A$43</definedName>
    <definedName name="rap.context.title.CurrentYearInstant.2" localSheetId="21">'1640200'!$A$43</definedName>
    <definedName name="rap.context.title.CurrentYearInstant.2" localSheetId="24">'1691000a'!$B$312</definedName>
    <definedName name="rap.context.title.CurrentYearInstant.2">'1620100'!$A$38</definedName>
    <definedName name="rap.context.title.PriorEndYearInstant.0" localSheetId="15">'1620100'!$F$3</definedName>
    <definedName name="rap.context.title.PriorEndYearInstant.0" localSheetId="16">'1620200'!$F$3</definedName>
    <definedName name="rap.context.title.PriorEndYearInstant.0" localSheetId="17">'1620500'!$C$4</definedName>
    <definedName name="rap.context.title.PriorEndYearInstant.0" localSheetId="18">'1630000'!$C$4</definedName>
    <definedName name="rap.context.title.PriorEndYearInstant.0" localSheetId="20">'1640100'!$F$3</definedName>
    <definedName name="rap.context.title.PriorEndYearInstant.0" localSheetId="21">'1640200'!$F$3</definedName>
    <definedName name="rap.context.title.PriorEndYearInstant.0" localSheetId="24">'1691000a'!$G$3</definedName>
    <definedName name="rap.context.title.PriorEndYearInstant.0" localSheetId="26">'1692000'!$I$3</definedName>
    <definedName name="rap.context.title.PriorEndYearInstant.0" localSheetId="27">'1693000'!$G$3</definedName>
    <definedName name="rap.context.title.PriorEndYearInstant.0" localSheetId="29">'1696000'!$I$3</definedName>
    <definedName name="rap.context.title.PriorEndYearInstant.0">'1210000'!$C$4</definedName>
    <definedName name="rap.context.title.PriorEndYearInstant.1" localSheetId="16">'1620200'!$F$8</definedName>
    <definedName name="rap.context.title.PriorEndYearInstant.1" localSheetId="18">'1630000'!$C$65</definedName>
    <definedName name="rap.context.title.PriorEndYearInstant.1" localSheetId="21">'1640200'!$F$38</definedName>
    <definedName name="rap.context.title.PriorEndYearInstant.1" localSheetId="24">'1691000a'!$G$306</definedName>
    <definedName name="rap.context.title.PriorEndYearInstant.1" localSheetId="26">'1692000'!$I$283</definedName>
    <definedName name="rap.context.title.PriorEndYearInstant.1" localSheetId="27">'1693000'!$G$306</definedName>
    <definedName name="rap.context.title.PriorEndYearInstant.1" localSheetId="29">'1696000'!$I$283</definedName>
    <definedName name="rap.context.title.PriorEndYearInstant.1">'1620100'!$H$33</definedName>
    <definedName name="rap.context.title.PriorEndYearInstant.2" localSheetId="16">'1620200'!$H$43</definedName>
    <definedName name="rap.context.title.PriorEndYearInstant.2" localSheetId="21">'1640200'!$F$43</definedName>
    <definedName name="rap.context.title.PriorEndYearInstant.2" localSheetId="24">'1691000a'!$C$312</definedName>
    <definedName name="rap.context.title.PriorEndYearInstant.2">'1620100'!$H$38</definedName>
    <definedName name="rap.context.title.PriorYearDuration.0" localSheetId="14">'1617000'!$E$3</definedName>
    <definedName name="rap.context.title.PriorYearDuration.0">'1321000'!$C$4</definedName>
    <definedName name="rap.context.title.PriorYearInstant.0" localSheetId="22">'1670000'!$C$4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<sst xmlns="http://schemas.openxmlformats.org/spreadsheetml/2006/main" count="8660" uniqueCount="2204">
  <si>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</si>
  <si>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</si>
  <si>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</si>
  <si>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</si>
  <si>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</si>
  <si>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</si>
  <si>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</si>
  <si>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</si>
  <si>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</si>
  <si>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</si>
  <si>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endDate</t>
    <phoneticPr fontId="0"/>
  </si>
  <si>
    <t>instant</t>
    <phoneticPr fontId="0"/>
  </si>
  <si>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</si>
  <si>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</si>
  <si>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</si>
  <si>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</si>
  <si>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</si>
  <si>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</si>
  <si>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</si>
  <si>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</si>
  <si>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</si>
  <si>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</si>
  <si>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</si>
  <si>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</si>
  <si>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</si>
  <si>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</si>
  <si>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</si>
  <si>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</si>
  <si>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</si>
  <si>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</si>
  <si>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</si>
  <si>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</si>
  <si>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</si>
  <si>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</si>
  <si>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</si>
  <si>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</si>
  <si>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</si>
  <si>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</si>
  <si>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</si>
  <si>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</si>
  <si>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</si>
  <si>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</si>
  <si>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</si>
  <si>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</si>
  <si>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</si>
  <si>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</si>
  <si>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</si>
  <si>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</si>
  <si>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</si>
  <si>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</si>
  <si>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</si>
  <si>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</si>
  <si>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</si>
  <si>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</si>
  <si>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</si>
  <si>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</si>
  <si>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</si>
  <si>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</si>
  <si>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</si>
  <si>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</si>
  <si>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</si>
  <si>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</si>
  <si>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</si>
  <si>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</si>
  <si>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</si>
  <si>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</si>
  <si>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</si>
  <si>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</si>
  <si>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</si>
  <si>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</si>
  <si>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</si>
  <si>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</si>
  <si>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</si>
  <si>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</si>
  <si>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</si>
  <si>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</si>
  <si>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</si>
  <si>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</si>
  <si>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</si>
  <si>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</si>
  <si>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</si>
  <si>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</si>
  <si>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</si>
  <si>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</si>
  <si>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</si>
  <si>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</si>
  <si>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</si>
  <si>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</si>
  <si>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</si>
  <si>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</si>
  <si>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</si>
  <si>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</si>
  <si>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</si>
  <si>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</si>
  <si>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</si>
  <si>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</si>
  <si>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</si>
  <si>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</si>
  <si>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</si>
  <si>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</si>
  <si>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</si>
  <si>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</si>
  <si>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</si>
  <si>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</si>
  <si>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</si>
  <si>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</si>
  <si>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</si>
  <si>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</si>
  <si>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</si>
  <si>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</si>
  <si>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</si>
  <si>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</si>
  <si>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</si>
  <si>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</si>
  <si>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</si>
  <si>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</si>
  <si>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</si>
  <si>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</si>
  <si>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</si>
  <si>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</si>
  <si>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</si>
  <si>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</si>
  <si>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</si>
  <si>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</si>
  <si>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</si>
  <si>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</si>
  <si>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</si>
  <si>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</si>
  <si>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</si>
  <si>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</si>
  <si>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</si>
  <si>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Monitoring Board Special</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</si>
  <si>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</si>
  <si>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</si>
  <si>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</si>
  <si>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</si>
  <si>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</si>
  <si>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</si>
  <si>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</si>
  <si>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</si>
  <si>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</si>
  <si>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</si>
  <si>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</si>
  <si>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</si>
  <si>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</si>
  <si>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</si>
  <si>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</si>
  <si>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</si>
  <si>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</si>
  <si>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</si>
  <si>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</si>
  <si>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</si>
  <si>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</si>
  <si>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</si>
  <si>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</si>
  <si>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</si>
  <si>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</si>
  <si>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</si>
  <si>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</si>
  <si>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</si>
  <si>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</si>
  <si>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</si>
  <si>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</si>
  <si>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</si>
  <si>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</si>
  <si>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</si>
  <si>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</si>
  <si>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</si>
  <si>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</si>
  <si>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</si>
  <si>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</si>
  <si>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</si>
  <si>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</si>
  <si>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</si>
  <si>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</si>
  <si>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</si>
  <si>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</si>
  <si>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</si>
  <si>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</si>
  <si>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</si>
  <si>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</si>
  <si>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</si>
  <si>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</si>
  <si>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</si>
  <si>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</si>
  <si>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</si>
  <si>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</si>
  <si>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</si>
  <si>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</si>
  <si>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</si>
  <si>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</si>
  <si>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</si>
  <si>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</si>
  <si>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</si>
  <si>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</si>
  <si>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</si>
  <si>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</si>
  <si>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</si>
  <si>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</si>
  <si>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</si>
  <si>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</si>
  <si>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</si>
  <si>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</si>
  <si>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</si>
  <si>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</si>
  <si>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</si>
  <si>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</si>
  <si>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</si>
  <si>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</si>
  <si>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</si>
  <si>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</si>
  <si>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</si>
  <si>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</si>
  <si>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</si>
  <si>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</si>
  <si>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</si>
  <si>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</si>
  <si>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</si>
  <si>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</si>
  <si>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</si>
  <si>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</si>
  <si>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</si>
  <si>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</si>
  <si>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</si>
  <si>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</si>
  <si>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</si>
  <si>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</si>
  <si>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</si>
  <si>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</si>
  <si>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</si>
  <si>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</si>
  <si>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</si>
  <si>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</si>
  <si>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</si>
  <si>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</si>
  <si>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</si>
  <si>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</si>
  <si>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</si>
  <si>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</si>
  <si>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</si>
  <si>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</si>
  <si>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</si>
  <si>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</si>
  <si>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</si>
  <si>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</si>
  <si>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</si>
  <si>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</si>
  <si>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</si>
  <si>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</si>
  <si>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</si>
  <si>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</si>
  <si>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</si>
  <si>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</si>
  <si>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</si>
  <si>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</si>
  <si>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</si>
  <si>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</si>
  <si>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</si>
  <si>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</si>
  <si>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</si>
  <si>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</si>
  <si>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</si>
  <si>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</si>
  <si>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</si>
  <si>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</si>
  <si>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</si>
  <si>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</si>
  <si>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</si>
  <si>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</si>
  <si>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</si>
  <si>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</si>
  <si>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</si>
  <si>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</si>
  <si>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</si>
  <si>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</si>
  <si>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</si>
  <si>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</si>
  <si>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</si>
  <si>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</si>
  <si>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</si>
  <si>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</si>
  <si>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</si>
  <si>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</si>
  <si>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</si>
  <si>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</si>
  <si>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</si>
  <si>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</si>
  <si>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</si>
  <si>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</si>
  <si>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</si>
  <si>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</si>
  <si>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</si>
  <si>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</si>
  <si>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</si>
  <si>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</si>
  <si>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</si>
  <si>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</si>
  <si>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</si>
  <si>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</si>
  <si>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</si>
  <si>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</si>
  <si>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</si>
  <si>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</si>
  <si>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</si>
  <si>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</si>
  <si>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</si>
  <si>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</si>
  <si>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</si>
  <si>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</si>
  <si>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</si>
  <si>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</si>
  <si>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</si>
  <si>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</si>
  <si>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</si>
  <si>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</si>
  <si>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</si>
  <si>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</si>
  <si>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</si>
  <si>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</si>
  <si>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</si>
  <si>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</si>
  <si>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</si>
  <si>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</si>
  <si>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</si>
  <si>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</si>
  <si>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</si>
  <si>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</si>
  <si>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</si>
  <si>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</si>
  <si>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</si>
  <si>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</si>
  <si>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</si>
  <si>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</si>
  <si>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</si>
  <si>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</si>
  <si>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</si>
  <si>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</si>
  <si>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</si>
  <si>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</si>
  <si>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</si>
  <si>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</si>
  <si>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</si>
  <si>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</si>
  <si>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</si>
  <si>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</si>
  <si>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</si>
  <si>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</si>
  <si>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</si>
  <si>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</si>
  <si>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</si>
  <si>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</si>
  <si>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</si>
  <si>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</si>
  <si>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</si>
  <si>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</si>
  <si>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</si>
  <si>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</si>
  <si>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</si>
  <si>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</si>
  <si>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</si>
  <si>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</si>
  <si>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</si>
  <si>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</si>
  <si>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</si>
  <si>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</si>
  <si>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</si>
  <si>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</si>
  <si>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</si>
  <si>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</si>
  <si>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</si>
  <si>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</si>
  <si>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</si>
  <si>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</si>
  <si>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</si>
  <si>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</si>
  <si>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</si>
  <si>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</si>
  <si>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</si>
  <si>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</si>
  <si>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</si>
  <si>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</si>
  <si>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</si>
  <si>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</si>
  <si>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</si>
  <si>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</si>
  <si>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</si>
  <si>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</si>
  <si>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</si>
  <si>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</si>
  <si>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</si>
  <si>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</si>
  <si>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</si>
  <si>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</si>
  <si>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</si>
  <si>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</si>
  <si>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</si>
  <si>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</si>
  <si>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</si>
  <si>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</si>
  <si>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</si>
  <si>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</si>
  <si>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</si>
  <si>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</si>
  <si>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</si>
  <si>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</si>
  <si>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</si>
  <si>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</si>
  <si>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</si>
  <si>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</si>
  <si>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</si>
  <si>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</si>
  <si>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</si>
  <si>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</si>
  <si>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</si>
  <si>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</si>
  <si>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</si>
  <si>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</si>
  <si>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2024-07-26</t>
  </si>
  <si>
    <t>2022-12-31</t>
  </si>
  <si>
    <t>2023-12-31</t>
  </si>
  <si>
    <t>AISA</t>
  </si>
  <si>
    <t>2024-06-30</t>
  </si>
  <si>
    <t>2024-01-01</t>
  </si>
  <si>
    <t>AA280</t>
  </si>
  <si>
    <t>PT FKS Food Sejahtera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</si>
  <si>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</si>
  <si>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</si>
  <si>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</si>
  <si>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</si>
  <si>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</si>
  <si>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</si>
  <si>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</si>
  <si>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</si>
  <si>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</si>
  <si>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</si>
  <si>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</si>
  <si>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</si>
  <si>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</si>
  <si>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</si>
  <si>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</si>
  <si>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</si>
  <si>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</si>
  <si>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</si>
  <si>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</si>
  <si>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</si>
  <si>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</si>
  <si>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</si>
  <si>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</si>
  <si>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</si>
  <si>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</si>
  <si>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</si>
  <si>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</si>
  <si>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</si>
  <si>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</si>
  <si>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</si>
  <si>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</si>
  <si>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</si>
  <si>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</si>
  <si>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</si>
  <si>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</si>
  <si>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</si>
  <si>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</si>
  <si>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</si>
  <si>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</si>
  <si>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</si>
  <si>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</si>
  <si>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</si>
  <si>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</si>
  <si>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</si>
  <si>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</si>
  <si>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</si>
  <si>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</si>
  <si>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</si>
  <si>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</si>
  <si>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</si>
  <si>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</si>
  <si>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</si>
  <si>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</si>
  <si>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</si>
  <si>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</si>
  <si>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</si>
  <si>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</si>
  <si>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</si>
  <si>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</si>
  <si>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</si>
  <si>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</si>
  <si>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</si>
  <si>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</si>
  <si>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</si>
  <si>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</si>
  <si>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</si>
  <si>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</si>
  <si>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</si>
  <si>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</si>
  <si>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</si>
  <si>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</si>
  <si>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</si>
  <si>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</si>
  <si>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</si>
  <si>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</si>
  <si>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</si>
  <si>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</si>
  <si>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</si>
  <si>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</si>
  <si>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</si>
  <si>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</si>
  <si>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</si>
  <si>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</si>
  <si>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</si>
  <si>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</si>
  <si>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</si>
  <si>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</si>
  <si>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</si>
  <si>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</si>
  <si>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</si>
  <si>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</si>
  <si>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</si>
  <si>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</si>
  <si>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</si>
  <si>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</si>
  <si>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</si>
  <si>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</si>
  <si>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</si>
  <si>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</si>
  <si>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</si>
  <si>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</si>
  <si>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</si>
  <si>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</si>
  <si>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</si>
  <si>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</si>
  <si>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</si>
  <si>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</si>
  <si>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</si>
  <si>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</si>
  <si>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</si>
  <si>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</si>
  <si>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</si>
  <si>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</si>
  <si>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</si>
  <si>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</si>
  <si>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</si>
  <si>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</si>
  <si>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</si>
  <si>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</si>
  <si>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</si>
  <si>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</si>
  <si>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</si>
  <si>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</si>
  <si>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</si>
  <si>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</si>
  <si>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</si>
  <si>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</si>
  <si>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</si>
  <si>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</si>
  <si>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</si>
  <si>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</si>
  <si>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</si>
  <si>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</si>
  <si>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</si>
  <si>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</si>
  <si>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</si>
  <si>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</si>
  <si>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</si>
  <si>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</si>
  <si>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</si>
  <si>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</si>
  <si>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</si>
  <si>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</si>
  <si>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</si>
  <si>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</si>
  <si>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</si>
  <si>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</si>
  <si>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</si>
  <si>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</si>
  <si>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</si>
  <si>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</si>
  <si>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</si>
  <si>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</si>
  <si>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</si>
  <si>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</si>
  <si>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</si>
  <si>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</si>
  <si>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</si>
  <si>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</si>
  <si>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</si>
  <si>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</si>
  <si>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</si>
  <si>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</si>
  <si>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</si>
  <si>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</si>
  <si>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</si>
  <si>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</si>
  <si>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</si>
  <si>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</si>
  <si>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</si>
  <si>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</si>
  <si>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</si>
  <si>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</si>
  <si>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</si>
  <si>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</si>
  <si>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</si>
  <si>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</si>
  <si>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</si>
  <si>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</si>
  <si>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</si>
  <si>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</si>
  <si>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</si>
  <si>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</si>
  <si>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</si>
  <si>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</si>
  <si>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</si>
  <si>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</si>
  <si>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</si>
  <si>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</si>
  <si>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</si>
  <si>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</si>
  <si>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</si>
  <si>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</si>
  <si>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</si>
  <si>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</si>
  <si>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</si>
  <si>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</si>
  <si>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</si>
  <si>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</si>
  <si>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</si>
  <si>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</si>
  <si>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</si>
  <si>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</si>
  <si>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</si>
  <si>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</si>
  <si>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</si>
  <si>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</si>
  <si>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</si>
  <si>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</si>
  <si>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</si>
  <si>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</si>
  <si>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</si>
  <si>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</si>
  <si>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</si>
  <si>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</si>
  <si>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</si>
  <si>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</si>
  <si>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</si>
  <si>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</si>
  <si>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</si>
  <si>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</si>
  <si>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</si>
  <si>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</si>
  <si>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</si>
  <si>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</si>
  <si>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</si>
  <si>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</si>
  <si>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</si>
  <si>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</si>
  <si>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</si>
  <si>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</si>
  <si>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</si>
  <si>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</si>
  <si>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</si>
  <si>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</si>
  <si>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</si>
  <si>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</si>
  <si>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</si>
  <si>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</si>
  <si>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</si>
  <si>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</si>
  <si>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</si>
  <si>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</si>
  <si>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</si>
  <si>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</si>
  <si>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</si>
  <si>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</si>
  <si>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</si>
  <si>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</si>
  <si>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</si>
  <si>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</si>
  <si>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</si>
  <si>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</si>
  <si>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</si>
  <si>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</si>
  <si>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</si>
  <si>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</si>
  <si>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</si>
  <si>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</si>
  <si>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</si>
  <si>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</si>
  <si>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</si>
  <si>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</si>
  <si>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</si>
  <si>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</si>
  <si>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</si>
  <si>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</si>
  <si>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</si>
  <si>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</si>
  <si>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</si>
  <si>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</si>
  <si>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</si>
  <si>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</si>
  <si>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</si>
  <si>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</si>
  <si>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</si>
  <si>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</si>
  <si>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</si>
  <si>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</si>
  <si>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</si>
  <si>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</si>
  <si>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</si>
  <si>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</si>
  <si>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</si>
  <si>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</si>
  <si>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</si>
  <si>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</si>
  <si>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</si>
  <si>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</si>
  <si>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</si>
  <si>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</si>
  <si>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</si>
  <si>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</si>
  <si>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</si>
  <si>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</si>
  <si>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</si>
  <si>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</si>
  <si>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</si>
  <si>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</si>
  <si>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</si>
  <si>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</si>
  <si>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</si>
  <si>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</si>
  <si>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</si>
  <si>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</si>
  <si>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</si>
  <si>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</si>
  <si>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</si>
  <si>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</si>
  <si>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</si>
  <si>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</si>
  <si>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</si>
  <si>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</si>
  <si>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</si>
  <si>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</si>
  <si>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</si>
  <si>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</si>
  <si>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</si>
  <si>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</si>
  <si>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</si>
  <si>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</si>
  <si>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</si>
  <si>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</si>
  <si>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</si>
  <si>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</si>
  <si>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</si>
  <si>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</si>
  <si>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</si>
  <si>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</si>
  <si>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</si>
  <si>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</si>
  <si>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</si>
  <si>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</si>
  <si>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</si>
  <si>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</si>
  <si>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</si>
  <si>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</si>
  <si>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</si>
  <si>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</si>
  <si>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</si>
  <si>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</si>
  <si>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</si>
  <si>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</si>
  <si>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</si>
  <si>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</si>
  <si>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</si>
  <si>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</si>
  <si>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</si>
  <si>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</si>
  <si>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</si>
  <si>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</si>
  <si>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</si>
  <si>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</si>
  <si>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</si>
  <si>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</si>
  <si>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</si>
  <si>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</si>
  <si>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</si>
  <si>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</si>
  <si>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</si>
  <si>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</si>
  <si>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</si>
  <si>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</si>
  <si>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</si>
  <si>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</si>
  <si>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</si>
  <si>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</si>
  <si>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</si>
  <si>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</si>
  <si>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</si>
  <si>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</si>
  <si>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</si>
  <si>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</si>
  <si>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</si>
  <si>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</si>
  <si>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</si>
  <si>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</si>
  <si>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</si>
  <si>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</si>
  <si>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</si>
  <si>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</si>
  <si>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</si>
  <si>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</si>
  <si>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</si>
  <si>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</si>
  <si>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</si>
  <si>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</si>
  <si>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</si>
  <si>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</si>
  <si>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</si>
  <si>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</si>
  <si>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</si>
  <si>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</si>
  <si>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</si>
  <si>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</si>
  <si>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</si>
  <si>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</si>
  <si>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</si>
  <si>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</si>
  <si>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</si>
  <si>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</si>
  <si>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</si>
  <si>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</si>
  <si>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</si>
  <si>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</si>
  <si>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</si>
  <si>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</si>
  <si>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</si>
  <si>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</si>
  <si>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</si>
  <si>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</si>
  <si>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</si>
  <si>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</si>
  <si>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</si>
  <si>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</si>
  <si>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</si>
  <si>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</si>
  <si>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</si>
  <si>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</si>
  <si>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</si>
  <si>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</si>
  <si>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</si>
  <si>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</si>
  <si>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</si>
  <si>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</si>
  <si>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</si>
  <si>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</si>
  <si>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</si>
  <si>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</si>
  <si>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</si>
  <si>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</si>
  <si>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</si>
  <si>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</si>
  <si>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</si>
  <si>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</si>
  <si>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</si>
  <si>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</si>
  <si>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</si>
  <si>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</si>
  <si>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</si>
  <si>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</si>
  <si>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</si>
  <si>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</si>
  <si>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</si>
  <si>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</si>
  <si>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</si>
  <si>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</si>
  <si>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</si>
  <si>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</si>
  <si>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</si>
  <si>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</si>
  <si>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</si>
  <si>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</si>
  <si>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</si>
  <si>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</si>
  <si>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</si>
  <si>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</si>
  <si>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</si>
  <si>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</si>
  <si>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</si>
  <si>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</si>
  <si>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</si>
  <si>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</si>
  <si>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</si>
  <si>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</si>
  <si>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</si>
  <si>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</si>
  <si>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</si>
  <si>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</si>
  <si>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</si>
  <si>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</si>
  <si>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</si>
  <si>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</si>
  <si>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</si>
  <si>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</si>
  <si>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</si>
  <si>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</si>
  <si>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</si>
  <si>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</si>
  <si>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</si>
  <si>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</si>
  <si>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</si>
  <si>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</si>
  <si>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</si>
  <si>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</si>
  <si>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</si>
  <si>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</si>
  <si>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</si>
  <si>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</si>
  <si>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</si>
  <si>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</si>
  <si>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</si>
  <si>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</si>
  <si>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</si>
  <si>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</si>
  <si>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</si>
  <si>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</si>
  <si>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</si>
  <si>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</si>
  <si>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</si>
  <si>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</si>
  <si>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</si>
  <si>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</si>
  <si>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</si>
  <si>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</si>
  <si>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</si>
  <si>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</si>
  <si>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</si>
  <si>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</si>
  <si>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</si>
  <si>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</si>
  <si>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</si>
  <si>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</si>
  <si>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</si>
  <si>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</si>
  <si>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</si>
  <si>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</si>
  <si>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</si>
  <si>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</si>
  <si>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</si>
  <si>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</si>
  <si>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</si>
  <si>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</si>
  <si>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</si>
  <si>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</si>
  <si>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</si>
  <si>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</si>
  <si>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</si>
  <si>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</si>
  <si>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</si>
  <si>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</si>
  <si>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</si>
  <si>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</si>
  <si>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</si>
  <si>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</si>
  <si>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</si>
  <si>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</si>
  <si>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</si>
  <si>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</si>
  <si>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</si>
  <si>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</si>
  <si>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</si>
  <si>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</si>
  <si>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</si>
  <si>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</si>
  <si>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</si>
  <si>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</si>
  <si>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</si>
  <si>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</si>
  <si>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</si>
  <si>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</si>
  <si>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</si>
  <si>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</si>
  <si>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</si>
  <si>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</si>
  <si>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</si>
  <si>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</si>
  <si>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</si>
  <si>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</si>
  <si>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</si>
  <si>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</si>
  <si>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</si>
  <si>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</si>
  <si>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</si>
  <si>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</si>
  <si>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</si>
  <si>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</si>
  <si>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</si>
  <si>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</si>
  <si>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</si>
  <si>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</si>
  <si>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</si>
  <si>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</si>
  <si>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</si>
  <si>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</si>
  <si>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</si>
  <si>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</si>
  <si>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</si>
  <si>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</si>
  <si>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</si>
  <si>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</si>
  <si>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</si>
  <si>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</si>
  <si>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</si>
  <si>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</si>
  <si>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</si>
  <si>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</si>
  <si>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</si>
  <si>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</si>
  <si>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</si>
  <si>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</si>
  <si>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</si>
  <si>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</si>
  <si>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</si>
  <si>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</si>
  <si>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</si>
  <si>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</si>
  <si>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</si>
  <si>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</si>
  <si>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</si>
  <si>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</si>
  <si>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</si>
  <si>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</si>
  <si>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</si>
  <si>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</si>
  <si>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</si>
  <si>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</si>
  <si>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</si>
  <si>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</si>
  <si>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</si>
  <si>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</si>
  <si>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</si>
  <si>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</si>
  <si>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</si>
  <si>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</si>
  <si>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</si>
  <si>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</si>
  <si>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</si>
  <si>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</si>
  <si>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</si>
  <si>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</si>
  <si>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</si>
  <si>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</si>
  <si>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</si>
  <si>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</si>
  <si>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</si>
  <si>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</si>
  <si>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</si>
  <si>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</si>
  <si>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</si>
  <si>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</si>
  <si>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</si>
  <si>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</si>
  <si>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</si>
  <si>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</si>
  <si>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</si>
  <si>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</si>
  <si>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</si>
  <si>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</si>
  <si>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</si>
  <si>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</si>
  <si>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</si>
  <si>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</si>
  <si>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</si>
  <si>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</si>
  <si>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</si>
  <si>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</si>
  <si>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</si>
  <si>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</si>
  <si>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</si>
  <si>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</si>
  <si>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</si>
  <si>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</si>
  <si>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</si>
  <si>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</si>
  <si>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</si>
  <si>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</si>
  <si>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</si>
  <si>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</si>
  <si>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</si>
  <si>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</si>
  <si>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</si>
  <si>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</si>
  <si>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</si>
  <si>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</si>
  <si>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</si>
  <si>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</si>
  <si>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</si>
  <si>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</si>
  <si>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</si>
  <si>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</si>
  <si>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</si>
  <si>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</si>
  <si>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</si>
  <si>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</si>
  <si>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</si>
  <si>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</si>
  <si>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</si>
  <si>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</si>
  <si>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</si>
  <si>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</si>
  <si>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</si>
  <si>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</si>
  <si>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</si>
  <si>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</si>
  <si>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</si>
  <si>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</si>
  <si>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</si>
  <si>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</si>
  <si>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</si>
  <si>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</si>
  <si>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</si>
  <si>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</si>
  <si>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</si>
  <si>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</si>
  <si>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</si>
  <si>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</si>
  <si>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</si>
  <si>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</si>
  <si>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</si>
  <si>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</si>
  <si>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</si>
  <si>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</si>
  <si>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</si>
  <si>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</si>
  <si>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</si>
  <si>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</si>
  <si>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</si>
  <si>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</si>
  <si>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</si>
  <si>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</si>
  <si>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</si>
  <si>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</si>
  <si>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</si>
  <si>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</si>
  <si>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</si>
  <si>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</si>
  <si>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</si>
  <si>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</si>
  <si>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</si>
  <si>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</si>
  <si>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</si>
  <si>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</si>
  <si>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</si>
  <si>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</si>
  <si>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</si>
  <si>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</si>
  <si>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</si>
  <si>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</si>
  <si>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</si>
  <si>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</si>
  <si>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</si>
  <si>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</si>
  <si>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</si>
  <si>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</si>
  <si>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</si>
  <si>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</si>
  <si>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</si>
  <si>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</si>
  <si>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</si>
  <si>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</si>
  <si>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</si>
  <si>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</si>
  <si>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</si>
  <si>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</si>
  <si>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</si>
  <si>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</si>
  <si>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</si>
  <si>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</si>
  <si>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</si>
  <si>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</si>
  <si>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</si>
  <si>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</si>
  <si>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</si>
  <si>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</si>
  <si>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</si>
  <si>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</si>
  <si>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</si>
  <si>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</si>
  <si>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</si>
  <si>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</si>
  <si>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</si>
  <si>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</si>
  <si>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</si>
  <si>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</si>
  <si>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</si>
  <si>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</si>
  <si>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</si>
  <si>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</si>
  <si>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</si>
  <si>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</si>
  <si>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</si>
  <si>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</si>
  <si>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</si>
  <si>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</si>
  <si>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</si>
  <si>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</si>
  <si>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</si>
  <si>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</si>
  <si>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</si>
  <si>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</si>
  <si>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</si>
  <si>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</si>
  <si>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</si>
  <si>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</si>
  <si>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</si>
  <si>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</si>
  <si>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</si>
  <si>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</si>
  <si>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</si>
  <si>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</si>
  <si>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</si>
  <si>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</si>
  <si>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</si>
  <si>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</si>
  <si>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</si>
  <si>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</si>
  <si>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</si>
  <si>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</si>
  <si>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</si>
  <si>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</si>
  <si>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</si>
  <si>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</si>
  <si>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</si>
  <si>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</si>
  <si>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</si>
  <si>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</si>
  <si>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</si>
  <si>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</si>
  <si>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</si>
  <si>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</si>
  <si>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</si>
  <si>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</si>
  <si>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</si>
  <si>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</si>
  <si>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</si>
  <si>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</si>
  <si>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</si>
  <si>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</si>
  <si>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</si>
  <si>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</si>
  <si>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</si>
  <si>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</si>
  <si>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</si>
  <si>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</si>
  <si>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</si>
  <si>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</si>
  <si>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</si>
  <si>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</si>
  <si>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</si>
  <si>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</si>
  <si>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</si>
  <si>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</si>
  <si>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</si>
  <si>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</si>
  <si>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</si>
  <si>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</si>
  <si>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</si>
  <si>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</si>
  <si>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</si>
  <si>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</si>
  <si>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</si>
  <si>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</si>
  <si>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</si>
  <si>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</si>
  <si>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</si>
  <si>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</si>
  <si>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</si>
  <si>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</si>
  <si>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</si>
  <si>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</si>
  <si>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</si>
  <si>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</si>
  <si>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</si>
  <si>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</si>
  <si>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</si>
  <si>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</si>
  <si>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</si>
  <si>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</si>
  <si>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</si>
  <si>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</si>
  <si>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</si>
  <si>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</si>
  <si>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</si>
  <si>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</si>
  <si>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</si>
  <si>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</si>
  <si>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</si>
  <si>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</si>
  <si>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</si>
  <si>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</si>
  <si>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</si>
  <si>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</si>
  <si>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</si>
  <si>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</si>
  <si>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</si>
  <si>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</si>
  <si>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</si>
  <si>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</si>
  <si>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</si>
  <si>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</si>
  <si>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</si>
  <si>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</si>
  <si>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</si>
  <si>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</si>
  <si>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</si>
  <si>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</si>
  <si>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</si>
  <si>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</si>
  <si>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</si>
  <si>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</si>
  <si>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</si>
  <si>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</si>
  <si>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</si>
  <si>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</si>
  <si>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</si>
  <si>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</si>
  <si>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</si>
  <si>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</si>
  <si>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</si>
  <si>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</si>
  <si>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</si>
  <si>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</si>
  <si>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</si>
  <si>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</si>
  <si>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</si>
  <si>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</si>
  <si>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</si>
  <si>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</si>
  <si>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</si>
  <si>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</si>
  <si>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</si>
  <si>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</si>
  <si>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</si>
  <si>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</si>
  <si>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</si>
  <si>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</si>
  <si>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</si>
  <si>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</si>
  <si>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</si>
  <si>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</si>
  <si>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</si>
  <si>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</si>
  <si>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</si>
  <si>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</si>
  <si>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</si>
  <si>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</si>
  <si>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</si>
  <si>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</si>
  <si>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</si>
  <si>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</si>
  <si>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</si>
  <si>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</si>
  <si>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</si>
  <si>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</si>
  <si>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</si>
  <si>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</si>
  <si>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</si>
  <si>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</si>
  <si>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</si>
  <si>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</si>
  <si>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</si>
  <si>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</si>
  <si>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</si>
  <si>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</si>
  <si>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</si>
  <si>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</si>
  <si>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</si>
  <si>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</si>
  <si>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</si>
  <si>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</si>
  <si>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</si>
  <si>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</si>
  <si>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</si>
  <si>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</si>
  <si>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</si>
  <si>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</si>
  <si>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</si>
  <si>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</si>
  <si>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</si>
  <si>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</si>
  <si>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</si>
  <si>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</si>
  <si>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</si>
  <si>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</si>
  <si>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</si>
  <si>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</si>
  <si>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</si>
  <si>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</si>
  <si>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</si>
  <si>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</si>
  <si>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</si>
  <si>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</si>
  <si>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</si>
  <si>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</si>
  <si>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</si>
  <si>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</si>
  <si>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</si>
  <si>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</si>
  <si>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</si>
  <si>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</si>
  <si>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</si>
  <si>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</si>
  <si>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</si>
  <si>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</si>
  <si>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</si>
  <si>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</si>
  <si>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</si>
  <si>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</si>
  <si>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</si>
  <si>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</si>
  <si>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</si>
  <si>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</si>
  <si>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</si>
  <si>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</si>
  <si>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</si>
  <si>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</si>
  <si>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</si>
  <si>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</si>
  <si>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</si>
  <si>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</si>
  <si>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</si>
  <si>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</si>
  <si>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</si>
  <si>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</si>
  <si>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</si>
  <si>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</si>
  <si>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</si>
  <si>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</si>
  <si>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</si>
  <si>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</si>
  <si>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</si>
  <si>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</si>
  <si>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</si>
  <si>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</si>
  <si>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</si>
  <si>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</si>
  <si>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</si>
  <si>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</si>
  <si>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</si>
  <si>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</si>
  <si>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</si>
  <si>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</si>
  <si>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</si>
  <si>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</si>
  <si>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</si>
  <si>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</si>
  <si>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</si>
  <si>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</si>
  <si>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</si>
  <si>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</si>
  <si>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</si>
  <si>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</si>
  <si>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</si>
  <si>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</si>
  <si>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</si>
  <si>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</si>
  <si>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</si>
  <si>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</si>
  <si>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</si>
  <si>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</si>
  <si>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</si>
  <si>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</si>
  <si>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</si>
  <si>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</si>
  <si>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</si>
  <si>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</si>
  <si>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</si>
  <si>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</si>
  <si>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</si>
  <si>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</si>
  <si>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</si>
  <si>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</si>
  <si>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</si>
  <si>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</si>
  <si>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</si>
  <si>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</si>
  <si>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</si>
  <si>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</si>
  <si>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</si>
  <si>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</si>
  <si>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</si>
  <si>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</si>
  <si>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</si>
  <si>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</si>
  <si>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</si>
  <si>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</si>
  <si>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</si>
  <si>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</si>
  <si>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</si>
  <si>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</si>
  <si>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</si>
  <si>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</si>
  <si>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</si>
  <si>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</si>
  <si>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</si>
  <si>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</si>
  <si>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</si>
  <si>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</si>
  <si>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</si>
  <si>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</si>
  <si>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</si>
  <si>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</si>
  <si>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</si>
  <si>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</si>
  <si>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</si>
  <si>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</si>
  <si>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</si>
  <si>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</si>
  <si>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</si>
  <si>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</si>
  <si>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</si>
  <si>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</si>
  <si>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</si>
  <si>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</si>
  <si>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</si>
  <si>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</si>
  <si>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</si>
  <si>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</si>
  <si>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</si>
  <si>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</si>
  <si>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</si>
  <si>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</si>
  <si>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</si>
  <si>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</si>
  <si>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</si>
  <si>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</si>
  <si>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</si>
  <si>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dengan Standar Akuntansi Keuangan di Indonesia (), yang mencakup Pernyataan dan Interpretasi yang dikeluarkan oleh Dewan Standar Akuntansi Keuangan Ikatan Akuntan Indonesia (DSAK IAI) dan Peraturan-Peraturan serta Pedoman Penyajian dan Pengungkapan Laporan Keuangan yang diterbitkan oleh Otoritas Jasa Keuangan (). Laporan keuangan konsolidasian disusun berdasarkan konsep akrual, kecuali laporan arus kas konsolidasian, dengan menggunakan konsep biaya historis, kecuali seperti yang disebutkan dalam Catatan atas laporan keuangan konsolidasian  yang relevan.Laporan arus kas konsolidasian yang disajikan dengan menggunakan metode langsung, menyajikan penerimaan dan pengeluaran kas dan setara kas yang diklasifikasikan ke dalam aktivitas operasi, investasi dan pendanaan.  Kebijakan akuntansi yang diterapkan oleh Grup adalah selaras bagi tahun yang dicakup oleh laporan keuangan konsolidasian, kecuali untuk standar akuntansi baru dan revisi seperti diungkapkan pada Catatan 2b di bawah ini. Grup telah menyusun laporan keuangan konsolidasian dengan dasar bahwa Grup akan terus beroperasi secara berkesinambungan.</t>
  </si>
  <si>
    <t>Basis of preparation of consolidated financial statements</t>
  </si>
  <si>
    <t>Prinsip-prinsip konsolidasi</t>
  </si>
  <si>
    <t>Laporan keuangan konsolidasian meliputi laporan keuangan Perusahaan dan entitas-entitas anak. Kendali diperoleh bila Grup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ini:i) Kekuasaan atas investee, yaitu hak yang ada saat ini yang memberi investor kemampuan kini untuk mengarahkan aktivitas relevan dari investee,ii) Eksposur atau hak atas imbal hasil variabel dari keterlibatannya dengan investee, daniii) Kemampuan untuk menggunakan kekuasaannya atas investee untuk mempengaruhi jumlah imbal hasil. Bila Grup tidak memiliki hak suara atau hak serupa secara mayoritas atas suatu investee,Grup mempertimbangkan semua fakta dan keadaan yang relevan dalam mengevaluasi apakah mereka memiliki kekuasaan atas investee, termasuk:i) Pengaturan kontraktual dengan pemilik hak suara lainnya dari investee,ii) Hak yang timbul atas pengaturan kontraktual lain, daniii) Hak suara dan hak suara potensial yang dimiliki Grup. Grup menilai kembali apakah mereka mengendalikan investee bila fakta dan keadaan mengindikasikan adanya perubahan terhadap satu atau lebih dari ketiga elemen dari pengendalian. Konsolidasi atas entitas-entitas anak dimulai sejak Grup memperoleh pengendalian atas entitas anak dan berakhir pada saat Grup kehilangan pengendalian atas entitas anak. Aset, liabilitas, penghasilan dan beban dari entitas anak yang diakuisisi pada tahun tertentu disertakan dalam laporan keuangan konsolidasian sejak tanggal Grup memperoleh kendali sampai tanggal Grup tidak lagi mengendalikan entitas anak tersebut.Seluruh laba rugi dan setiap komponen penghasilan komprehensif lain () diatribusikan pada pemilik entitas induk dan pada kepentingan nonpengendali (), walaupun hal ini akan menyebabkan saldo KNP yang defisit. Bila dipandang perlu, penyesuaian dilakukan terhadap laporan keuangan entitas anak untuk diselaraskan dengan kebijakan akuntansi Grup.Seluruh aset dan liabilitas, ekuitas, penghasilan dan beban dan arus kas atas transaksi antar anggota Grup dieliminasi sepenuhnya pada saat konsolidasi.Perubahan dalam bagian kepemilikan entitas induk pada entitas anak yang tidak mengakibatkan hilangnya pengendalian, dicatat sebagai transaksi ekuitas. Bila kehilangan pengendalian atas suatu entitas anak, maka Grup menghentikan pengakuan atas aset (termasuk goodwill), liabilitas dan komponen lain dari ekuitas terkait, dan selisihnya diakui pada laba rugi. Bagian dari investasi yang tersisa diakui pada nilai wajar.</t>
  </si>
  <si>
    <t>Principles of consolidation</t>
  </si>
  <si>
    <t>Kas dan setara kas dalam laporan posisi keuangan konsolidasian yang terdiri dari kas dan bank serta deposito jangka pendek yang jatuh tempo dalam waktu 3 bulan atau kurang, yang dapat segera dikonversikan menjadi kas dalam jumlah yang dapat ditentukan dan memiliki risiko perubahan nilai yang tidak signifikan.</t>
  </si>
  <si>
    <t>Piutang usaha dan piutang lain-lain</t>
  </si>
  <si>
    <t>Pada pengakuan awal, Grup mengukur aset keuangan pada nilai wajarnya ditambah biaya transaksi, dalam hal aset keuangan tidak diukur pada nilai wajar melalui laba rugi (). Piutang usaha yang tidak mengandung komponen pembiayaan yang signifikan, dimana Kelompok Usaha telah menerapkan cara praktis, yaitu diukur pada harga transaksi yang ditentukan sesuai PSAK 72, seperti diungkapkan pada Catatan 2r.Aset keuangan Grup yang diukur pada biaya perolehan diamortisasi termasuk piutang usaha, kas dan setara kas,  piutang lain-lain yang merupakan bagian dari aset keuangan lancar lainnya dan aset keuangan tidak lancar lainnya.Karena piutang usaha dan piutang lain-lain tidak memiliki komponen pembiayaan signifikan, Grup menerapkan pendekatan yang disederhanakan dalam perhitungan KKE. Oleh karena itu, Grup tidak menelusuri perubahan dalam risiko kredit, namun justru mengakui penyisihan kerugian berdasarkan KKE sepanjang umurnya pada setiap tanggal pelaporan. Grup membentuk matriks provisi berdasarkan pengalaman kerugian kredit masa lampau, disesuaikan dengan perkiraan masa depan (forward-looking) atas faktor yang spesifik untuk debitur dan lingkungan ekonomi. Grup menganggap aset keuangan dalam gagal bayar ketika pembayaran kontraktual telah lewat 1 tahun dari tanggal jatuh tempo. Namun, dalam kasus tertentu, Grup juga dapat mempertimbangkan aset keuangan menjadi gagal bayar ketika informasi internal atau eksternal menunjukkan bahwa besar kemungkinan Grup tidak menerima jumlah kontraktual terutang secara penuh sebelum memperhitungkan perbaikan kredit yang dimiliki oleh Grup. Aset keuangan dihapuskan jika tidak terdapat ekspektasi yang wajar untuk memulihkan arus kas kontraktual.</t>
  </si>
  <si>
    <t>Trade and other receivables</t>
  </si>
  <si>
    <t>Persediaan</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</si>
  <si>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penjualan.Biaya yang dikeluarkan untuk setiap produk agar berada pada lokasi dan kondisi siap untuk dijual dicatat sebagai berikut:i) Bahan baku, suku cadang, bahan pembungkus, bahan pembantu, bahan bakar dan pelumas dan lain lain-lain: harga pembelian;ii) Barang jadi dan persediaan dalam proses: biaya bahan baku dan tenaga kerja langsung dan bagian proporsional dari beban overhead berdasarkan kapasitas operasi normal namun tidak termasuk biaya pinjaman. Kelompok Usaha menetapkan penyisihan untuk nilai realisasi neto persediaan berdasarkan hasil penelaahan berkala atas kondisi fisik dan nilai realisasi neto persediaan.</t>
  </si>
  <si>
    <t>Inventories</t>
  </si>
  <si>
    <t>Tanaman produktif</t>
  </si>
  <si>
    <t>-</t>
  </si>
  <si>
    <t>Bearer plants</t>
  </si>
  <si>
    <t>Pada tahun 2019, Grup melakukan perubahan kebijakan akuntansi atas tanah, bangunan, dan mesin dari model biaya menjadi model revaluasi. Aset tetap pada awalnya diakui sebesar biaya perolehan yang meliputi harga perolehannya dan setiap biaya yang dapat diatribusikan langsung untuk membawa aset ke kondisi dan lokasi yang diinginkan agar aset siap digunakan sesuai intensi manajemen.Setelah pengakuan awal, tanah, bangunan, dan mesin dinyatakan sebesar nilai wajar, dikurangi akumulasi penyusutan untuk bangunan dan mesin dan akumulasi rugi penurunan nilai (jika ada).Jika aset tetap direvaluasi, maka akumulasi penyusutan pada tanggal revaluasi diperlakukan dengan salah satu cara dieliminasi terhadap jumlah tercatat bruto aset dan jumlah tercatat neto setelah eliminasi disajikan kembali sebesar jumlah revaluasiannya dari aset tersebut. Jumlah penyesuaian yang timbul dari penyajian kembali atau eliminasi akumulasi penyusutan tersebut membentuk bagian kenaikan atau penurunan dalam jumlah tercatat yang ditentukan sebagaimana dinyatakan dalam kebijakan berikut ini. Jika jumlah tercatat aset meningkat akibat revaluasi, maka kenaikan tersebut diakui dalam penghasilan komprehensif lain dan terakumulasi dalam ekuitas pada bagian surplus revaluasi. Akan tetapi, kenaikan tersebut diakui dalam laba rugi hingga sebesar jumlah penurunan nilai aset yang sama akibat revaluasi yang pernah diakui sebelumnya dalam laba rugi. Jika jumlah tercatat aset turun akibat revaluasi, 
maka penurunan tersebut diakui dalam laba rugi. Akan tetapi, penurunan nilai tersebut diakui dalam penghasilan komprehensif lain sepanjang tidak melebihi saldo surplus revaluasi untuk aset tersebut. Penurunan nilai yang diakui dalam penghasilan komprehensif lain tersebut mengurangi jumlah akumulasi dalam ekuitas pada bagian surplus revaluasi. Revaluasi dilakukan dengan keteraturan yang cukup regular untuk memastikan bahwa jumlah tercatat tidak berbeda secara material dengan jumlah yang ditentukan dengan menggunakan nilai wajar pada akhir periode pelaporan. Surplus revaluasi aset tetap yang dipindahkan secara berkala setiap periode ke saldo laba adalah sebesar perbedaan antara jumlah penyusutan berdasarkan nilai revaluasian aset dengan jumlah penyusutan berdasarkan biaya perolehan aset tersebut. Pada saat penghentian aset, surplus revaluasi untuk aset tetap yang dijual dipindahkan ke saldo laba. Setelah pengakuan awal, kendaraan, peralatan pabrik, perabot dan peralatan kantor dinyatakan sebesar biaya perolehan dikurangi akumulasi penyusutan dan akumulasi rugi penurunan nilai, jika ada. Dalam menentukan penurunan nilai, PSAK 48 diterapkan dalam bagaimana entitas menelaah jumlah tercatat aset, bagaimana menentukan jumlah terpulihkan aset, dan kapan mengakui atau membalik kerugian penurunan nilai. Tanah diakui sebesar nilai revaluasi dan tidak disusutkan. Penyusutan aset tetap dimulai pada saat aset tersebut siap untuk digunakan sesuai maksud penggunaannya dan dihitung dengan menggunakan metode garis lurus berdasarkan estimasi masa manfaat ekonomis aset sebagaimana terlampir di catatan atas laporan keuangan. Aset tetap dalam penyelesaian dicatat sebesar biaya perolehan, yang mencakup kapitalisasi beban pinjaman dan biaya-biaya lainnya yang terjadi sehubungan dengan pendanaan aset tetap dalam penyelesaian tersebut. Akumulasi biaya perolehan akan direklasifikasi ke akun  Tetap yang bersangkutan pada saat aset tetap tersebut telah selesai dikerjakan dan siap untuk digunakan. Aset tetap dalam penyelesaian tidak disusutkan sampai memenuhi syarat pengakuan sebagai aset tetap seperti diungkapkan di atas. Jumlah tercatat aset ini direviu atas penurunan nilai jika terdapat peristiwa atau perubahan keadaan yang mengindikasikan bahwa jumlah tercatat mungkin tidak dapat seluruhnya terealisasi. Jumlah tercatat dari suatu aset tetap dihentikan pengakuannya pada saat pelepasan atau ketika tidak terdapat lagi manfaat ekonomis masa depan yang diharapkan dari penggunaan atau pelepasannya. Keuntungan atau kerugian yang timbul dari penghentian pengakuan tersebut (yang ditentukan sebesar selisih antara jumlah hasil pelepasan neto, jika ada, dan jumlah tercatatnya) dimasukkan dalam laba rugi pada saat penghentian pengakuan tersebut dilakukan. Beban pemeliharaan dan perbaikan dibebankan pada laba rugi pada saat terjadinya. Beban pemugaran dan penambahan dalam jumlah besar dikapitalisasi kepada jumlah tercatat aset terkait bila besar kemungkinan bagi Grup manfaat ekonomi masa depan menjadi lebih besar dari standar kinerja awal yang ditetapkan sebelumnya dan disusutkan sepanjang sisa masa manfaat aset terkait. Nilai residu aset, umur manfaat dan metode penyusutan aset tetap dievaluasi setiap akhir tahun pelaporan dan disesuaikan secara prospektif jika dipandang perlu.</t>
  </si>
  <si>
    <t>Fixed assets</t>
  </si>
  <si>
    <t>Tanah belum dikembangkan</t>
  </si>
  <si>
    <t>Aset biologis</t>
  </si>
  <si>
    <t>Biological assets</t>
  </si>
  <si>
    <t>Penurunan nilai aset nonkeuangan</t>
  </si>
  <si>
    <t>Pada setiap akhir tahun pelaporan, Grup menilai apakah terdapat indikasi suatu aset mengalami penurunan nilai. Jika terdapat indikasi tersebut atau pada saat pengujian penurunan nilai aset (yaitu aset takberwujud dengan umur manfaat tidak terbatas, aset takberwujud yang belum dapat digunakan, atau goodwill yang diperoleh dalam suatu kombinasi bisnis) diperlukan, maka Grup membuat estimasi formal jumlah terpulihkan aset tersebut.Grup mendasarkan perhitungan penurunan nilai pada rincian perhitungan anggaran atau prakiraan yang disusun secara terpisah untuk masing-masing UPK Grup atas aset individual yang dialokasikan. Perhitungan anggaran dan prakiraan ini secara umum mencakup periode selama lima atau sepuluh tahun sesuai dengan stabilitas arus kas terkait. Setelah periode yang dianggarkan proyeksi arus kas diestimasi dengan melakukan ekstrapolasi proyeksi yang dianggarkan dengan menggunakan tingkat pertumbuhan jangka panjang yang tetap.Untuk aset selain goodwill, penilaian dilakukan pada akhir setiap tanggal pelaporan apakah terdapat indikasi bahwa rugi penurunan nilai yang telah diakui dalam tahun sebelumnya mungkin tidak ada lagi atau mungkin telah menurun. Jika indikasi dimaksud ditemukan, maka entitas mengestimasi jumlah terpulihkan aset atau UPK tersebut. Kerugian penurunan nilai yang telah diakui dalam tahun sebelumnya untuk aset selain goodwill dibalik hanya jika terdapat perubahan asumsi-asumsi yang digunakan untuk menentukan jumlah terpulihkan  aset tersebut sejak rugi penurunan nilai terakhir diakui. Dalam hal ini, jumlah tercatat aset dinaikkan ke jumlah terpulihkannya. Goodwill diuji untuk penurunan nilai setiap tahun dan ketika terdapat indikasi bahwa nilai tercatatnya mungkin mengalami penurunan nilai. Penurunan nilai bagi goodwill ditetapkan dengan menentukan jumlah tercatat tiap UPK (atau kelompok UPK) terkait dari goodwill tersebut. Jika jumlah terpulihkan UPK kurang dari jumlah tercatatnya, rugi penurunan nilai diakui. Rugi penurunan nilai terkait goodwill tidak dapat dibalik pada tahun berikutnya. Manajemen berpendapat bahwa tidak ada indikasi penurunan nilai pada aset tetap dan aset non-keuangan tidak lancar lainnya yang disajikan dalam laporan posisi keuangan konsolidasian pada tanggal 31 Desember 2023 dan 2022.</t>
  </si>
  <si>
    <t>Impairment of non-financial assets</t>
  </si>
  <si>
    <t>Utang usaha dan liabilitas lain-lain</t>
  </si>
  <si>
    <t>Liabilitas keuangan diklasifikasikan, pada pengakuan awal, sebagai liabilitas keuangan yang diukur pada NWLR, utang dan pinjaman atau derivatif ditetapkan sebagai instrumen lindung nilai pada lindung nilai yang efektif, sesuai dengan kondisinya. Semua liabilitas keuangan diakui pada nilai wajar saat pengakuan awal dan, dalam hal liabilitas keuangan dilklasifikasi sebagai utang dan pinjaman, diakui pada nilai wajar setelah dikurangi biaya transaksi yang dapat diatribusikan secara langsung. Grup menetapkan liabilitas keuangannya sebagai utang dan pinjaman, seperti utang usaha, beban akrual, liabilitas keuangan jangka pendek lainnya, utang bank, liabilitas sewa, utang obligasi dan sukuk ijarah dan utang pihak berelasi. Pengukuran selanjutnya dari liabilitas keuangan ditentukan oleh klasifikasinya sebagai berikut: Liabilitas keuangan pada NWLR Liabilitas keuangan yang diukur pada NWLR mencakup liabilitas keuangan yang dimiliki untuk diperdagangkan dan liabilitas keuangan yang diukur pada NWLR yang ditetapkan saat pengakuan awal.
Liabilitas keuangan diklasifikasikan sebagai dimiliki untuk diperdagangkan, jika liabilitas keuangan tersebut diperoleh untuk tujuan dibeli kembali dalam waktu dekat. Kategori ini juga mencakup instrumen keuangan derivatif yang dilakukan oleh Grup dimana instrumen derivatif tersebut tidak ditetapkan sebagai instrumen lindung nilai dalam hubungan lindung nilai sebagaimana didefinisikan dalam PSAK 71. Derivatif melekat yang dipisahkan juga diklasifikasikan sebagai dimiliki untuk diperdagangkan kecuali ditetapkan sebagai instrumen lindung nilai yang efektif. Keuntungan atau kerugian atas liabilitas yang dimiliki untuk diperdagangkan diakui dalam laporan laba rugi. Liabilitas keuangan yang diukur pada NWLR yang ditetapkan saat pengakuan awal harus memenuhi kriteria dalam PSAK 71 dan ditetapkan pada tanggal pengakuan awal. Grup tidak menetapkan liabilitas keuangan apapun sebagai liabilitas yang diukur pada NWLR. Liabilitas keuangan pada biaya perolehan diamortisasi (Utang dan pinjaman). (i)	Utang dan Pinjaman Jangka Panjang yang Dikenakan Bunga. Setelah pengakuan awal, utang dan pinjaman jangka panjang yang berbunga diukur pada biaya perolehan yang diamortisasi dengan menggunakan metode SBE. Pada tanggal pelaporan, biaya bunga yang masih harus dibayar dicatat secara terpisah, dari pokok pinjaman terkait, dalam bagian liabilitas jangka pendek. Keuntungan dan kerugian diakui pada laba rugi ketika liabilitas dihentikan pengakuannya maupun melalui proses amortisasi menggunakan metode SBE. Biaya amortisasi dihitung dengan mempertimbangkan setiap diskonto atau premium atas akuisisi dan komisi atau biaya yang merupakan bagian tidak terpisahkan dari SBE. Amortisasi SBE dicatat sebagai beban keuangan pada laba rugi. Utang dan Akrual. Liabilitas untuk utang usaha, utang pihak berelasi, liabilitas keuangan jangka pendek lainnya, dan beban akrual dinyatakan sebesar jumlah tercatat (jumlah nosional), yang kurang lebih sebesar nilai wajarnya. Penghentian pengakuan. Suatu liabilitas keuangan dihentikan pengakuannya pada saat kewajiban yang ditetapkan dalam kontrak berakhir atau dibatalkan atau kedaluwarsa.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awal dan pengakuan liabilitas keuangan baru, dan selisih antara nilai tercatat masing-masing liabilitas keuangan tersebut diakui pada laba rugi.Saling hapus instrumen keuangan. Aset keuangan dan liabilitas keuangan disalinghapuskan dan nilai netonya disajikan dalam laporan posisi keuangan konsolidasian jika, dan hanya jika, terdapat hak secara hukum untuk melakukan saling hapus atas jumlah tercatat dari aset keuangan dan liabilitas keuangan tersebut dan terdapat intensi untuk menyelesaikan secara neto, atau untuk merealisasikan aset dan menyelesaikan liabilitas secara bersamaan.</t>
  </si>
  <si>
    <t>Trade payables and other liabilities</t>
  </si>
  <si>
    <t>Pengakuan pendapatan dan beban</t>
  </si>
  <si>
    <t>Pendapatan dari kontrak dengan pelanggan diakui ketika pengendalian atas barang dialihkan kepada pelanggan pada suatu jumlah yang mencerminkan imbalan yang diharapkan Grup sebagai imbalan atas barang tersebut. Secara umum, Grup menyimpulkan bahwa mereka bertindak sebagai prinsipal dalam pengaturan pendapatannya. Kontrak-kontrak dengan pelanggan-pelanggan tertentu dalam segmen bisnisnya mensyaratkan imbalan variabel.  Grup menawarkan imbalan variabel berupa hak retur dan penyesuaian harga sehubungan dengan klaim kualitas, perubahan harga komoditas dan volume penjualan. Dalam menetapkan estimasi tersebut, manajemen menggunakan metode nilai ekspektasian yang dikembangkan berdasarkan pengalaman historis, atau metode jumlah yang paling mungkin yang dikembangkan berdasarkan pengalaman historis dengan mempertimbangkan juga pola pembelian saat ini. Manajemen menetapkan metode estimasi untuk memastikan imbalan variabel yang kemungkinan terjadinya sangat tinggi sebagai salah satu faktor yang diperhitungkan dalam estimasi sehingga pembalikan signifikan atas jumlah pendapatan kumulatif yang telah diakui tidak akan terjadi pada saat ketidakpastian yang terkait dengan imbalan variabel tersebut terselesaikan di kemudian waktu. Sedangkan pengakuan dilakukan pada saat dokumen-dokumen pendukung telah diterima dari pelanggan-pelanggan atau pada saat besar kemungkinan bahwa penyesuaian harga akan diberikan. Piutang usaha merupakan hak Grup atas sejumlah imbalan yang tidak bersyarat (yaitu, hanya berlalunya waktu yang perlu terjadi sebelum pembayaran imbalan tersebut jatuh tempo). Lihat kebijakan akuntansi aset keuangan di bagian Instrumen Keuangan mengenai pengakuan awal dan pengukuran selanjutnya. Jika pelanggan membayar imbalan sebelum Grup mengalihkan barang atau jasa kepada pelanggan, liabilitas kontrak diakui pada saat pembayaran dilakukan atau pembayaran imbalan jatuh tempo (mana yang lebih awal). Liabilitas kontrak diakui sebagai pendapatan pada saat Grup telah memenuhi apa yang harus dilaksanakan sesuai kontrak. Uang muka penjualan disajikan sebagai  kontrak dalam laporan posisi keuangan konsolidasian.</t>
  </si>
  <si>
    <t>Revenue and expense recognition</t>
  </si>
  <si>
    <t>Penjabaran mata uang asing</t>
  </si>
  <si>
    <t>Foreign currency translation</t>
  </si>
  <si>
    <t>Transaksi dengan pihak berelasi</t>
  </si>
  <si>
    <t>Perusahaan dan entitas anaknya melakukan transaksi dengan pihak berelasi sesuai dengan definisi yang diuraikan pada PSAK 7.Transaksi ini dilakukan berdasarkan persyaratan yang disetujui oleh kedua belah pihak, yang mungkin tidak sama dengan transaksi lain yang dilakukan dengan pihak-pihak yang tidak berelasi.</t>
  </si>
  <si>
    <t>Transactions with related parties</t>
  </si>
  <si>
    <t>Pajak penghasilan</t>
  </si>
  <si>
    <t>Aset dan liabilitas pajak kini untuk tahun berjalan diukur sebesar jumlah yang diharapkan dapat direstitusi dari atau dibayarkan kepada otoritas perpajakan. Tarif pajak dan peraturan pajak yang digunakan untuk menghitung jumlah tersebut adalah yang berlaku atau secara substantif telah berlaku pada tanggal pelaporan di negara tempat Kelompok Usaha beroperasi dan menghasilkan pendapatan kena pajak.Bunga dan denda disajikan sebagai bagian dari penghasilan atau beban operasi lain karena tidak dianggap sebagai bagian dari beban pajak penghasilan.  Pajak penghasilan kini terkait dengan pos-pos yang diakui secara langsung di ekuitas diakui dalam ekuitas dan bukan dalam laporan laba rugi. Pajak tangguhan diakui dengan menggunakan metode liabilitas atas perbedaan temporer pada tanggal pelaporan antara dasar pengenaan pajak dari aset dan liabilitas dan jumlah tercatatnya untuk tujuan pelaporan keuangan pada tanggal pelaporan.</t>
  </si>
  <si>
    <t>Income taxes</t>
  </si>
  <si>
    <t>Pinjaman</t>
  </si>
  <si>
    <t>Liabilitas keuangan pada biaya perolehan diamortisasi (Utang dan pinjaman).Setelah pengakuan awal, utang dan pinjaman jangka panjang yang berbunga diukur pada biaya perolehan yang diamortisasi dengan menggunakan metode SBE. Pada tanggal pelaporan, biaya bunga yang masih harus dibayar dicatat secara terpisah, dari pokok pinjaman terkait, dalam bagian liabilitas jangka pendek. Keuntungan dan kerugian diakui pada laba rugi ketika liabilitas dihentikan pengakuannya maupun melalui proses amortisasi menggunakan metode SBE.Biaya amortisasi dihitung dengan mempertimbangkan setiap diskonto atau premium atas akuisisi dan komisi atau biaya yang merupakan bagian tidak terpisahkan dari SBE. Amortisasi SBE dicatat sebagai beban keuangan pada laba rugi. Liabilitas pajak tangguhan diakui untuk semua perbedaan temporer yang kena pajak, kecuali:
i.	liabilitas pajak tangguhan yang terjadi dari pengakuan awal goodwill atau dari aset atau liabilitas dari transaksi yang bukan transaksi kombinasi bisnis, dan pada waktu transaksi tidak mempengaruhi laba akuntansi dan laba kena pajak/rugi pajak;
ii.	dari perbedaan temporer kena pajak atas investasi pada entitas anak, yang saat pembalikannya dapat dikendalikan dan besar kemungkinannya bahwa beda temporer itu tidak akan dibalik dalam waktu dekat. Aset pajak tangguhan diakui untuk seluruh perbedaan temporer yang dapat dikurangkan dan akumulasi rugi pajak belum dikompensasi, bila kemungkinan besar laba kena pajak akan tersedia sehingga perbedaan temporer dapat dikurangkan tersebut, dan rugi pajak belum dikompensasi, dapat dimanfaatkan, kecuali:
i)	jika aset pajak tangguhan timbul dari pengakuan awal aset atau liabilitas dalam transaksi yang bukan transaksi kombinasi bisnis dan tidak mempengaruhi laba akuntansi maupun laba kena pajak/rugi pajak; atau ii)	dari perbedaan temporer yang dapat dikurangkan atas investasi pada entitas anak, aset pajak tangguhan hanya diakui bila besar kemungkinannya bahwa beda temporer itu tidak akan dibalik dalam waktu dekat dan laba kena pajak dapat dikompensasi dengan beda temporer tersebut. Jumlah tercatat aset pajak tangguhan ditelaah pada setiap tanggal pelaporan dan diturunkan apabila laba fiskal mungkin tidak memadai untuk mengkompensasi sebagian atau semua manfaat aset pajak tangguhan. Aset pajak tangguhan yang tidak diakui ditinjau ulang pada setiap tanggal pelaporan dan akan diakui apabila besar kemungkinan bahwa laba fiskal pada masa yang akan datang akan tersedia untuk pemulihannya. Aset dan liabilitas pajak tangguhan diukur dengan menggunakan tarif pajak yang diharapkan akan berlaku pada tahun saat aset dipulihkan atau liabilitas diselesaikan berdasarkan tarif pajak dan peraturan pajak yang berlaku atau yang secara substantif telah berlaku pada tanggal pelaporan.
Pajak tangguhan terkait dengan pos-pos yang diakui di luar laba rugi diakui di luar laba rugi. Pos pajak tangguhan diakui sesuai dengan transaksi yang mendasarinya baik di penghasilan komprehensif lain maupun secara langsung di ekuitas. Manfaat pajak yang diperoleh sebagai bagian dari kombinasi bisnis, tetapi tidak memenuhi kriteria untuk pengakuan terpisah pada tanggal tersebut, diakui selanjutnya jika informasi baru tentang fakta dan keadaan berubah. Penyesuaian tersebut diperlakukan sebagai pengurangan goodwill (selama tidak melebihi goodwill) jika terjadi selama periode pengukuran atau diakui dalam laba rugi.
Grup melakukan saling hapus aset pajak tangguhan dan liabilitas pajak tangguhan jika dan hanya jika memiliki hak yang berkekuatan hukum untuk saling hapus aset pajak kini dan liabilitas pajak kini dan aset pajak tangguhan dan liabilitas pajak tangguhan terkait dengan pajak penghasilan yang dikenakan oleh otoritas perpajakan yang sama, baik entitas kena pajak yang sama atau entitas kena pajak yang berbeda yang bermaksud untuk menyelesaikan liabilitas dan aset pajak kini secara neto, atau untuk merealisasikan aset dan menyelesaikan liabilitas secara bersamaan, pada setiap periode masa depan di mana jumlah liabilitas atau aset pajak tangguhan yang signifikan diharapkan untuk diselesaikan atau dipulihkan. Pendapatan, beban-beban dan aset-aset diakui neto atas jumlah PPN kecuali:
	PPN yang muncul dari pembelian aset atau jasa yang tidak dapat dikreditkan, yang dalam hal ini PPN diakui sebagai bagian dari biaya perolehan aset atau sebagai bagian dari pos beban-beban yang terkait; dan
	Piutang dan utang yang disajikan termasuk dengan jumlah PPN.  Jumlah PPN neto yang diajukan untuk direstitusi, atau terutang kepada, kantor pajak termasuk sebagai bagian dari aset atau liabilitas pada laporan posisi keuangan konsolidasian. Sesuai peraturan perpajakan di Indonesia, pajak final dikenakan atas nilai bruto transaksi, dan tetap dikenakan walaupun atas transaksi tersebut pelaku transaksi mengalami kerugian. Pajak final tidak termasuk dalam lingkup yang diatur oleh PSAK 46: Pajak Penghasilan.</t>
  </si>
  <si>
    <t>Borrowings</t>
  </si>
  <si>
    <t>Provisi</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</si>
  <si>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dibuat.Provisi ditelaah pada setiap tanggal pelaporan dan disesuaikan untuk mencerminkan estimasi terbaik yang paling kini. Jika arus keluar sumber daya untuk menyelesaikan kewajiban kemungkinan besar tidak terjadi, maka provisi dibatalkan.</t>
  </si>
  <si>
    <t>Provisions</t>
  </si>
  <si>
    <t>Imbalan kerja karyawan</t>
  </si>
  <si>
    <t>Grup mencatat penyisihan manfaat untuk memenuhi dan menutup imbalan minimum yang harus dibayar kepada karyawan-karyawan sesuai dengan Perjanjian Kerja Bersama dan Undang-undang Penciptaan Lapangan Kerja No. 11/2020 ( Cipta Kerja (UUCK)). Penyisihan tambahan tersebut diestimasi dengan menggunakan perhitungan aktuarial metode  Unit Credit. Pengukuran kembali, terdiri atas keuntungan dan kerugian aktuarial, segera diakui pada laporan posisi keuangan konsolidasian   dengan pengaruh langsung didebit atau dikreditkan kepada saldo laba melalui PKL pada periode terjadinya. Pengukuran kembali tidak direklasifikasi ke laba rugi pada periode berikutnya. Biaya jasa lalu harus diakui sebagai beban pada saat yang lebih awal antara: 
i)	ketika program amandemen atau kurtailmen terjadi; dan 
ii)	ketika entitas mengakui biaya restrukturisasi atau imbalan terminasi terkait. Bunga neto dihitung dengan menerapkan tingkat diskonto yang digunakan terhadap liabilitas imbalan kerja. Grup mengakui perubahan pada kewajiban obligasi neto didalam laporan laba rugi dan penghasilan komprehensif lain konsolidasian:
i)	Biaya jasa terdiri atas biaya jasa kini, biaya jasa lalu, keuntungan atau kerugian atas penyelesaian (curtailment) tidak rutin, dan
ii)	Beban atau penghasilan bunga neto.</t>
  </si>
  <si>
    <t>Employee benefits</t>
  </si>
  <si>
    <t>Laba per saham</t>
  </si>
  <si>
    <t>tertimbang jumlah saham yang beredar selama periode yang bersangkutan.
Perusahaan tidak mempunyai efek berpotensi saham biasa yang bersifat dilutif pada tanggal     31 Desember 2023.</t>
  </si>
  <si>
    <t>Earnings per share</t>
  </si>
  <si>
    <t>Dividen</t>
  </si>
  <si>
    <t>Dividends</t>
  </si>
  <si>
    <t>Pelaporan segmen</t>
  </si>
  <si>
    <t>Untuk tujuan manajemen, Grup menggolongkan segmen berdasarkan industri makanan dan lain-lain yang dikelola secara independen oleh masing-masing pengelola segmen yang bertanggung jawab atas kinerja dari masing-masing segmen. Para pengelola segmen melaporkan secara langsung kepada manajemen Perusahaan yang secara teratur mengkaji laba segmen sebagai dasar untuk mengalokasikan sumber daya ke masing-masing segmen dan untuk menilai kinerja segmen.</t>
  </si>
  <si>
    <t>Segment reporting</t>
  </si>
  <si>
    <t>Instrumen keuangan derivatif</t>
  </si>
  <si>
    <t>Derivative financial instruments</t>
  </si>
  <si>
    <t>Penerapan standar akutansi baru</t>
  </si>
  <si>
    <t>Grup menerapkan pertama kali seluruh standar baru dan/atau yang direvisi yang berlaku efektif untuk periode yang dimulai pada atau setelah 
1 Januari 2024, termasuk standar yang direvisi berikut ini yang mempengaruhi laporan keuangan konsolidasian Grup:
Pilar Standar Akuntansi Keuangan - Standar ini memberikan persyaratan dan pedoman bagi entitas untuk menerapkan standar akuntansi keuangan yang benar dalam menyusun laporan keuangan bertujuan umum. Akan ada 4 (empat) standar akuntansi keuangan yang saat ini diterapkan di Indonesia, yaitu:
1.	Pilar 1 Standar Akuntansi Keuangan Internasional,
2.	Pilar 2 Standar Akuntansi Keuangan Indonesia (PSAK),
3.	Pilar 3 Standar Akuntansi Keuangan Indonesia untuk Entitas Swasta/Standar Akuntansi Keuangan Indonesia untuk Entitas Tanpa Akuntabilitas Publik, dan
4.	Pilar 4 Standar Akuntansi Keuangan Indonesia untuk Entitas Mikro Kecil dan Menengah.
Standar Akuntansi Keuangan Internasional - Standar ini merupakan adopsi penuh dari International Financial Reporting Standards () yang diterjemahkan kata demi kata dan tidak ada modifikasi dari Standar IFRS, termasuk tanggal efektifnya. Entitas yang memenuhi persyaratan dapat menerapkan standar ini, sejak tanggal efektif.
Nomenklatur Standar Akuntansi Keuangan - Standar ini ini mengatur penomoran baru untuk standar akuntansi keuangan yang berlaku di Indonesia yang diterbitkan oleh DSAK IAI. 
Amandemen PSAK 1: Liabilitas Jangka Panjang dengan Kovenan - Amandemen ini menentukan persyaratan untuk mengklasifikasikan suatu liabilitas sebagai jangka pendek atau jangka panjang dan menjelaskan:
	hal yang dimaksud sebagai hak untuk menangguhkan pelunasan,
	hak untuk menangguhkan pelunasan harus ada pada akhir periode pelaporan,
	klasifikasi tersebut tidak dipengaruhi oleh kemungkinan entitas akan menggunakan haknya untuk menangguhkan liabilitas, dan
	hanya jika derivatif melekat pada liabilitas konversi tersebut adalah suatu instrumen ekuitas, maka syarat dan ketentuan dari suatu liabilitas konversi tidak akan berdampak pada klasifikasinya.
Selain itu, persyaratan telah diperkenalkan untuk mewajibkan pengungkapan ketika suatu kewajiban timbul dari pinjaman perjanjian diklasifikasikan sebagai tidak lancar dan hak entitas untuk menunda penyelesaian bergantung pada kepatuhan terhadap persyaratan di masa depan dalam waktu dua belas bulan. Amandemen ini tidak memiliki dampak terhadap laporan keuangan konsolidasian Grup.
Amandemen PSAK 73: Liabilitas Sewa dalam Jual Beli dan Sewa-balik - Amandemen PSAK 73 Sewa menetapkan persyaratan yang digunakan penjual-penyewa dalam mengukur kewajiban sewa yang timbul dalam transaksi jual beli dan sewa-balik, untuk memastikan penjual-penyewa tidak mengakui jumlah setiap keuntungan atau kerugian yang terkait dengan hak guna yang dipertahankan. Amandemen ini tidak memiliki dampak terhadap laporan keuangan konsolidasian Grup. 
Amandemen PSAK 2 dan PSAK 60: Pengaturan Pembiayaan Pemasok - Amandemen PSAK 2 dan PSAK 60 mengklarifikasi karakteristik pengaturan pembiayaan pemasok dan mensyaratkan pengungkapan tambahan atas pengaturan pembiayaan pemasok tersebut. Persyaratan pengungkapan dalam amandemen ini dimaksudkan untuk membantu pengguna laporan keuangan dalam memahami dampak pengaturan pembiayaan pemasok terhadap liabilitas, arus kas, dan eksposur terhadap risiko likuiditas suatu entitas. Amandemen ini tidak memiliki dampak terhadap laporan keuangan konsolidasian Grup.</t>
  </si>
  <si>
    <t>The implementation of new statements of accounting standards</t>
  </si>
  <si>
    <t>Kombinasi bisnis</t>
  </si>
  <si>
    <t>Kombinasi bisnis entitas sepengendali dicatat dengan menggunakan metode penyatuan kepentingan, dimana selisih antara jumlah imbalan yang dialihkan dengan jumlah tercatat aset neto entitas yang diakuisisi diakui sebagai bagian dari akun  Modal Disetor pada laporan posisi keuangan konsolidasian.</t>
  </si>
  <si>
    <t>Business combination</t>
  </si>
  <si>
    <t>Penentuan nilai wajar</t>
  </si>
  <si>
    <t>Grup mengukur pada pengakuan awal instrumen keuangan, dan aset dan liabilitas yang diperoleh melalui kombinasi bisnis pada nilai wajar. Grup juga mengukur jumlah terpulihkan dari unit penghasil kas () tertentu berdasarkan nilai wajar dikurangi biaya pelepasan, dan aset keuangan tertentu pada nilai wajar melalui penghasilan komprehensif lain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terjadi:i) Di pasar utama untuk aset atau liabilitas tersebut, atauii) Jika tidak terdapat pasar utama, di pasar yang paling menguntungkan untuk aset atau liabilitas tersebut.Nilai wajar dari aset atau liabilitas diukur dengan menggunakan asumsi yang akan digunakan pelaku pasar ketika menentukan harga aset atau liabilitas tersebut, dengan asumsi bahwa pelaku pasar bertindak dalam kepentingan ekonomi terbaiknya.Pengukuran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 Grup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konsolidasian   dikategorikan dalam hierarki nilai wajar berdasarkan level masukan (input)  paling rendah yang signifikan terhadap pengukuran nilai wajar secara keseluruhan sebagai berikut: i)	Level 1 - Harga kuotasian (tanpa penyesuaian) di pasar aktif untuk aset atau liabilitas yang identik yang dapat diakses entitas pada tanggal pengukuran.
ii)	Level 2 - Teknik penilaian yang menggunakan tingkat masukan (input)  yang paling rendah yang signifikan terhadap pengukuran nilai wajar yang dapat diamati (observable) baik secara langsung atau tidak langsung.
iii)	Level 3 - Teknik penilaian yang menggunakan tingkat masukan (input) yang paling rendah yang signifikan terhadap pengukuran nilai wajar yang tidak dapat diamati (unobservable). Untuk aset dan liabilitas yang diakui pada laporan keuangan konsolidasian secara berulang, Grup menentukan apakah terdapat perpindahan antara level dalam hierarki dengan melakukan evaluasi ulang atas penetapan kategori (berdasarkan level masukan (input) paling rendah yang signifikan terhadap pengukuran nilai wajar secara keseluruhan) pada tiap akhir periode pelaporan. Tim pelaporan keuangan Grup bertanggung jawab atas penilaian dalam menentukan kebijakan dan prosedur untuk pengukuran nilai wajar berulang, seperti nilai wajar (dikurangi biaya untuk menjual) UPK (untuk uji penurunan nilai), dan aset keuangan pada NWPKL. Penilai eksternal terlibat dalam penilaian aset signifikan. Keterlibatan penilai eksternal ditentukan setiap tahun setelah dibahas dan disetujui oleh Direksi Perusahaan. Kriteria pemilihan termasuk pengetahuan pasar, reputasi, independensi dan kemampuan mematuhi standar profesi.  Metode penilaian dan input yang digunakan dibahas dan diputuskan bersama oleh Grup dan penilai eksternal. Untuk tujuan pengungkapan nilai wajar, Grup menentukan klasifikasi aset dan liabilitas berdasarkan sifat, karakteristik dan risikonya dan level pada hierarki nilai wajar sebagaimana dijelaskan di atas.</t>
  </si>
  <si>
    <t>Determination of fair value</t>
  </si>
  <si>
    <t>Transaksi dan saldo dalam mata uang asing</t>
  </si>
  <si>
    <t>Mata uang pelaporan yang digunakan pada laporan keuangan konsolidasian adalah Rupiah, yang juga merupakan mata uang fungsional setiap entitas dalam Grup. Tiap entitas dalam Grup menentukan mata uang fungsionalnya masing-masing dan laporan keuangannya masing-masing diukur menggunakan mata uang fungsional tersebut.Transaksi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operasi tahun yang bersangkutan.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</si>
  <si>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</si>
  <si>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</si>
  <si>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</si>
  <si>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</si>
  <si>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</si>
  <si>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</si>
  <si>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</si>
  <si>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</si>
  <si>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mengakui aset hak-guna pada tanggal permulaan sewa (yaitu tanggal aset pendasar tersedia untuk digunakan). Aset hak-guna diukur pada harga perolehan, dikurangi akumulasi penyusutan dan penurunan nilai, serta disesuaikan dengan pengukuran kembali liabilitas sewa. Biaya perolehan aset hak-guna mencakup jumlah liabilitas sewa yang diakui, biaya langsung awal yang terjadi, dan pembayaran sewa yang dilakukan pada atau sebelum tanggal permulaan dikurangi setiap insentif sewa yang diterima. Aset hak-guna disusutkan dengan metode garis lurus selama masa sewa.Jika kepemilikan aset pendasar sewa beralih ke Grup pada akhir masa sewa atau biaya perolehan aset hak-guna merefleksikan Grup akan mengeksekusi opsi beli, maka penyusutan aset hak-guna dihitung menggunakan estimasi masa manfaat aset. Aset hak-guna juga dievaluasi untuk penurunan nilai (Catatan 11).</t>
  </si>
  <si>
    <t>Properti investasi Grup terdiri dari tanah dan bangunan yang dikuasai Grup untuk menghasilkan sewa atau untuk kenaikan nilai atau keduanya, dan bukan untuk digunakan dalam kegiatan produksi atau penyediaan barang atau jasa atau untuk tujuan administratif atau dijual dalam kegiatan usaha sehari-hari.Properti investasi dinyatakan sebesar biaya perolehan termasuk biaya transaksi dikurangi akumulasi penyusutan dan rugi penurunan nilai, jika ada, kecuali untuk tanah tidak disusutkan. Nilai tercatat termasuk biaya penggantian bagian dari properti investasi, jika kriteria pengakuan terpenuhi, dan tidak termasuk biaya harian penggunaan properti investasi.Penyusutan bangunan dihitung dengan menggunakan metode garis lurus atas taksiran masa manfaat ekonomis selama 20 tahun.Properti investasi dihentikan pengakuannya pada saat pelepasan atau ketika properti investasi tersebut tidak digunakan lagi secara permanen dan tidak memiliki manfaat ekonomis di masa depan yang dapat diharapkan pada saat pelepasannya. Keuntungan atau kerugian yang timbul dari penghentian atau pelepasan properti investasi dikreditkan atau dibebankan dalam laporan laba rugi dan PKL konsolidasian pada tahun terjadinya penghentian atau pelepasan tersebut. Transfer ke properti investasi dilakukan jika, dan hanya jika, terdapat perubahan penggunaan yang ditunjukkan dengan berakhirnya pemakaian oleh pemilik, dimulainya sewa operasi ke pihak lain atau selesainya pembangunan atau pengembangan. Transfer dari properti nvestasi dilakukan jika, dan hanya jika, terdapat perubahan penggunaan yang ditunjukkan dengan dimulainya penggunaan oleh pemilik atau dimulainya pengembangan untuk dijual.  Untuk transfer dari properti investasi ke properti yang digunakan sendiri, Grup menggunakan metode biaya pada tanggal perubahan penggunaan. Jika properti yang digunakan sendiri menjadi properti investasi, Grup mencatat properti tersebut sesuai dengan kebijakan aset tetap sampai dengan saat tanggal terakhir perubahan penggunaannya.</t>
  </si>
  <si>
    <t>Investasi pada entitas anak dan lainnya sebagaimana disebutkan dalam laporan keuangan Entitas Induk dicatat menggunakan metode biaya perolehan.</t>
  </si>
  <si>
    <t>Investment in associates</t>
  </si>
  <si>
    <t>Aset takberwujud</t>
  </si>
  <si>
    <t>Aset takberwujud yang diperoleh secara terpisah diukur pada pengakuan awal sebesar biaya perolehan. Biaya perolehan aset takberwujud yang diperoleh dalam kombinasi bisnis adalah nilai wajarnya pada tanggal akuisisi. Setelah pengakuan awal, aset takberwujud dicatat sebesar biaya perolehan dikurangi akumulasi amortisasi dan akumulasi kerugian penurunan nilai. Aset takberwujud yang dihasilkan secara internal, tidak termasuk biaya pengembangan yang dikapitalisasi, tidak dikapitalisasi dan pengeluaran terkait tercermin dalam laba rugi pada periode pengeluaran tersebut terjadi. Masa manfaat aset takberwujud dinilai sebagai terbatas atau tidak terbatas. Aset takberwujud dengan umur yang terbatas diamortisasi selama masa manfaat ekonomi dan dinilai penurunan nilainya setiap kali terdapat indikasi bahwa aset takberwujud mungkin mengalami penurunan nilai. Periode amortisasi dan metode amortisasi untuk aset takberwujud dengan masa manfaat terbatas ditelaah setidaknya pada setiap akhir periode pelaporan. Perubahan masa manfaat yang diharapkan atau pola konsumsi yang diharapkan dari manfaat ekonomi masa depan yang terkandung dalam aset dianggap memodifikasi periode atau metode amortisasi, jika sesuai, dan diperlakukan sebagai perubahan estimasi akuntansi. Beban amortisasi atas aset takberwujud dengan umur terbatas diakui dalam laporan laba rugi dalam kategori beban yang sesuai dengan fungsi aset takberwujud tersebut.Piranti lunak diamortisasi dengan metode garis lurus berdasarkan taksiran masa manfaat ekonomis selama 4 tahun. Aset takberwujud dengan masa manfaat tidak terbatas (merek dagang) tidak diamortisasi, tetapi diuji penurunan nilainya setiap tahun, baik secara individual maupun pada tingkat unit penghasil kas. Penilaian masa manfaat tidak terbatas ditinjau setiap tahun untuk menentukan apakah masa manfaat tidak terbatas terus dapat didukung. Jika tidak, perubahan masa manfaat dari tidak terbatas menjadi terbatas dilakukan secara prospektif. Aset takberwujud dihentikan pengakuannya pada saat pelepasan (yaitu, pada tanggal penerima memperoleh kendali) atau ketika tidak ada manfaat ekonomi masa depan yang diharapkan dari penggunaan atau pelepasannya. Keuntungan atau kerugian yang timbul dari penghentian pengakuan aset (dihitung sebagai perbedaan antara hasil pelepasan neto dan jumlah tercatat aset) dimasukkan dalam laporan laba rugi.</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</si>
  <si>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</si>
  <si>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</si>
  <si>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</si>
  <si>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</si>
  <si>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</si>
  <si>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</si>
  <si>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</si>
  <si>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</si>
  <si>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</si>
  <si>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</si>
  <si>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</si>
  <si>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</si>
  <si>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</si>
  <si>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</si>
  <si>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</si>
  <si>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</si>
  <si>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</si>
  <si>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</si>
  <si>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</si>
  <si>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</si>
  <si>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</si>
  <si>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</si>
  <si>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</si>
  <si>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</si>
  <si>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</si>
  <si>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</si>
  <si>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Biaya yang terjadi sehubungan dengan penerbitan modal saham Perusahaan kepada publik dikurangkan langsung dengan hasil emisi dan disajikan sebagai pengurang akun tambahan modal disetor dalam laporan posisi keuangan konsolidasian.</t>
  </si>
  <si>
    <t>Stock issuance cost</t>
  </si>
  <si>
    <t>Instrumen keuangan</t>
  </si>
  <si>
    <t>Instrumen keuangan adalah setiap kontrak yang menambah nilai aset keuangan bagi satu entitas dan liabilitas keuangan atau ekuitas bagi entitas lain.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</si>
  <si>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</si>
  <si>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</si>
  <si>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</si>
  <si>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</si>
  <si>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</si>
  <si>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</si>
  <si>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</si>
  <si>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</si>
  <si>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</si>
  <si>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</si>
  <si>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</si>
  <si>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</si>
  <si>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</si>
  <si>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</si>
  <si>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</si>
  <si>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</si>
  <si>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</si>
  <si>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</si>
  <si>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</si>
  <si>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</si>
  <si>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</si>
  <si>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</si>
  <si>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</si>
  <si>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</si>
  <si>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</si>
  <si>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</si>
  <si>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</si>
  <si>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</si>
  <si>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</si>
  <si>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</si>
  <si>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</si>
  <si>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</si>
  <si>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</si>
  <si>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</si>
  <si>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</si>
  <si>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</si>
  <si>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</si>
  <si>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</si>
  <si>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</si>
  <si>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</si>
  <si>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</si>
  <si>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</si>
  <si>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</si>
  <si>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</si>
  <si>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</si>
  <si>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</si>
  <si>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</si>
  <si>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</si>
  <si>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</si>
  <si>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</si>
  <si>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</si>
  <si>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</si>
  <si>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</si>
  <si>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</si>
  <si>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</si>
  <si>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</si>
  <si>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</si>
  <si>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</si>
  <si>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</si>
  <si>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</si>
  <si>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</si>
  <si>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</si>
  <si>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</si>
  <si>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</si>
  <si>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</si>
  <si>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</si>
  <si>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</si>
  <si>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</si>
  <si>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</si>
  <si>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</si>
  <si>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</si>
  <si>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</si>
  <si>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</si>
  <si>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</si>
  <si>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</si>
  <si>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</si>
  <si>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</si>
  <si>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</si>
  <si>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</si>
  <si>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</si>
  <si>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</si>
  <si>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</si>
  <si>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</si>
  <si>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</si>
  <si>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</si>
  <si>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</si>
  <si>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</si>
  <si>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</si>
  <si>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</si>
  <si>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</si>
  <si>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</si>
  <si>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</si>
  <si>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</si>
  <si>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</si>
  <si>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</si>
  <si>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</si>
  <si>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</si>
  <si>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</si>
  <si>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</si>
  <si>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</si>
  <si>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</si>
  <si>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</si>
  <si>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</si>
  <si>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Jenis kepemilikan hak atas tanah Grup, berupa Hak Guna Bangunan (HGB) yang akan jatuh tempo dari 2025 sampai dengan 2044, dimana manajemen berpendapat, hak tersebut dapat diperpanjang. Pada tanggal 31 Desember 2023, Grup melakukan penilaian kembali untuk seluruh aset tanah, bangunan, dan mesin. Berdasarkan laporan penilai independen tanggal 19 Maret 2024 oleh KJPP Susan Widjojo dan Rekan, nilai wajar dari aset tersebut per 31 Desember 2023 adalah sebesar Rp1.052.174 yang sebelumnya Rp865.136 sehingga terdapat peningkatan nilai sebesar Rp187.038 yang dicatat dalam laporan laba rugi dan penghasilan komprehensif lain konsolidasian. Aset tetap Grup, kecuali tanah, telah diasuransikan terhadap risiko kebakaran, gempa bumi dan risiko lainnya dengan jumlah pertanggungan sebesar Rp947.812 masing-masing pada tanggal 30 Juni 2024 dan 31 Desember 2023. Manajemen Grup berpendapat bahwa nilai pertanggungan tersebut memadai untuk menutup kemungkinan kerugian atas risiko-risiko tersebut. Sebidang tanah milik BBP dan PTP dijadikan jaminan atas pinjaman dari PT Bank Mayapada Internasional Tbk (Catatan 17a). Mesin, tanah dan bangunan TPS, PMI, dan PTP dijadikan jaminan atas pinjaman sindikasi 
(Catatan 17b). Manajemen berpendapat tidak ada indikasi atas perubahan-perubahan kondisi yang mengakibatkan penurunan nilai aset tetap pada tanggal 
30 Juni 2024 dan 31 Desember 2023.</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</si>
  <si>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</si>
  <si>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</si>
  <si>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</si>
  <si>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</si>
  <si>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</si>
  <si>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</si>
  <si>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</si>
  <si>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</si>
  <si>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</si>
  <si>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</si>
  <si>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</si>
  <si>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</si>
  <si>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</si>
  <si>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</si>
  <si>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</si>
  <si>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</si>
  <si>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</si>
  <si>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</si>
  <si>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</si>
  <si>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</si>
  <si>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</si>
  <si>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</si>
  <si>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</si>
  <si>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</si>
  <si>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</si>
  <si>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</si>
  <si>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</si>
  <si>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</si>
  <si>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</si>
  <si>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</si>
  <si>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</si>
  <si>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</si>
  <si>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</si>
  <si>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</si>
  <si>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</si>
  <si>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</si>
  <si>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</si>
  <si>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</si>
  <si>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</si>
  <si>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</si>
  <si>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</si>
  <si>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Makanan Ringan</t>
  </si>
  <si>
    <t>Product revenue 1</t>
  </si>
  <si>
    <t>Pendapatan dari produk 2</t>
  </si>
  <si>
    <t>Makanan Pokok</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</si>
  <si>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</si>
  <si>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</si>
  <si>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</si>
  <si>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</si>
  <si>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</si>
  <si>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</si>
  <si>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</si>
  <si>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</si>
  <si>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</si>
  <si>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</si>
  <si>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</si>
  <si>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</si>
  <si>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</si>
  <si>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</si>
  <si>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</si>
  <si>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</si>
  <si>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</si>
  <si>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</si>
  <si>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</si>
  <si>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</si>
  <si>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</si>
  <si>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</si>
  <si>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</si>
  <si>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</si>
  <si>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</si>
  <si>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</si>
  <si>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</si>
  <si>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</si>
  <si>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</si>
  <si>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</si>
  <si>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</si>
  <si>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</si>
  <si>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</si>
  <si>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</si>
  <si>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</si>
  <si>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</si>
  <si>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</si>
  <si>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</si>
  <si>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</si>
  <si>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</si>
  <si>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</si>
  <si>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</si>
  <si>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</si>
  <si>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</si>
  <si>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</si>
  <si>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</si>
  <si>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</si>
  <si>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</si>
  <si>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</si>
  <si>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</si>
  <si>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</si>
  <si>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</si>
  <si>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</si>
  <si>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</si>
  <si>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</si>
  <si>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</si>
  <si>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</si>
  <si>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</si>
  <si>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</si>
  <si>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</si>
  <si>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</si>
  <si>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</si>
  <si>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</si>
  <si>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</si>
  <si>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</si>
  <si>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</si>
  <si>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</si>
  <si>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</si>
  <si>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</si>
  <si>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</si>
  <si>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</si>
  <si>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</si>
  <si>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</si>
  <si>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</si>
  <si>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</si>
  <si>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</si>
  <si>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</si>
  <si>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</si>
  <si>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</si>
  <si>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</si>
  <si>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</si>
  <si>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</si>
  <si>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</si>
  <si>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</si>
  <si>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</si>
  <si>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</si>
  <si>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</si>
  <si>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</si>
  <si>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</si>
  <si>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</si>
  <si>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</si>
  <si>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</si>
  <si>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</si>
  <si>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</si>
  <si>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</si>
  <si>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</si>
  <si>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</si>
  <si>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</si>
  <si>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</si>
  <si>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</si>
  <si>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</si>
  <si>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</si>
  <si>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</si>
  <si>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</si>
  <si>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</si>
  <si>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</si>
  <si>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</si>
  <si>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</si>
  <si>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</si>
  <si>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</si>
  <si>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</si>
  <si>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</si>
  <si>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</si>
  <si>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</si>
  <si>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</si>
  <si>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</si>
  <si>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</si>
  <si>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</si>
  <si>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</si>
  <si>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</si>
  <si>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</si>
  <si>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</si>
  <si>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</si>
  <si>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</si>
  <si>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</si>
  <si>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</si>
  <si>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</si>
  <si>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</si>
  <si>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</si>
  <si>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</si>
  <si>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</si>
  <si>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</si>
  <si>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</si>
  <si>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</si>
  <si>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</si>
  <si>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</si>
  <si>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</si>
  <si>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</si>
  <si>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</si>
  <si>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</si>
  <si>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</si>
  <si>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</si>
  <si>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</si>
  <si>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</si>
  <si>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</si>
  <si>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</si>
  <si>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</si>
  <si>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</si>
  <si>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</si>
  <si>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</si>
  <si>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</si>
  <si>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</si>
  <si>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</si>
  <si>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</si>
  <si>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</si>
  <si>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</si>
  <si>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</si>
  <si>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</si>
  <si>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</si>
  <si>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</si>
  <si>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</si>
  <si>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</si>
  <si>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</si>
  <si>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</si>
  <si>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</si>
  <si>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</si>
  <si>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</si>
  <si>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</si>
  <si>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</si>
  <si>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</si>
  <si>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</si>
  <si>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</si>
  <si>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</si>
  <si>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</si>
  <si>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</si>
  <si>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</si>
  <si>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</si>
  <si>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</si>
  <si>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</si>
  <si>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</si>
  <si>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</si>
  <si>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</si>
  <si>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</si>
  <si>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</si>
  <si>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</si>
  <si>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</si>
  <si>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</si>
  <si>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</si>
  <si>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</si>
  <si>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</si>
  <si>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</si>
  <si>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</si>
  <si>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</si>
  <si>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</si>
  <si>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</si>
  <si>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</si>
  <si>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</si>
  <si>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</si>
  <si>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</si>
  <si>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</si>
  <si>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</si>
  <si>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</si>
  <si>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</si>
  <si>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</si>
  <si>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</si>
  <si>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</si>
  <si>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</si>
  <si>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</si>
  <si>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</si>
  <si>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</si>
  <si>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</si>
  <si>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</si>
  <si>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</si>
  <si>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</si>
  <si>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</si>
  <si>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</si>
  <si>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</si>
  <si>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</si>
  <si>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</si>
  <si>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</si>
  <si>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</si>
  <si>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</si>
  <si>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</si>
  <si>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</si>
  <si>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</si>
  <si>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</si>
  <si>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</si>
  <si>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</si>
  <si>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</si>
  <si>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</si>
  <si>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</si>
  <si>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</si>
  <si>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</si>
  <si>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</si>
  <si>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</si>
  <si>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</si>
  <si>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</si>
  <si>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</si>
  <si>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</si>
  <si>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</si>
  <si>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</si>
  <si>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</si>
  <si>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</si>
  <si>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</si>
  <si>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</si>
  <si>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</si>
  <si>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</si>
  <si>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</si>
  <si>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</si>
  <si>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</si>
  <si>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</si>
  <si>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</si>
  <si>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</si>
  <si>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</si>
  <si>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</si>
  <si>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</si>
  <si>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</si>
  <si>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</si>
  <si>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</si>
  <si>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</si>
  <si>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</si>
  <si>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hasil penelaahan terhadap harga pasar dan kondisi fisik dari persediaan pada tanggal pelaporan, manajemen berkeyakinan bahwa penyisihan tersebut di atas cukup untuk menutup kemungkinan kerugian dari keusangan dan penurunan nilai pasar persediaan. Pada tanggal 30 Juni 2024 dan 31 Desember 2023, persediaan entitas anak tertentu, dijadikan jaminan atas fasilitas pinjaman yang diperoleh dari bank (Catatan 17a). Pada tanggal 30 Juni 2024 dan 31 Desember 2023, persediaan telah diasuransikan terhadap risiko kebakaran, gempa bumi dan risiko lainnya dengan jumlah pertanggungan masing-masing sebesar Rp106.650. Manajemen berpendapat bahwa nilai pertanggungan asuransi tersebut cukup memadai untuk menutup kemungkinan kerugian atas risiko yang mungkin dialami.</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</si>
  <si>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</si>
  <si>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</si>
  <si>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</si>
  <si>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</si>
  <si>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</si>
  <si>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</si>
  <si>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</si>
  <si>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</si>
  <si>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</si>
  <si>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</si>
  <si>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</si>
  <si>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</si>
  <si>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</si>
  <si>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</si>
  <si>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</si>
  <si>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</si>
  <si>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</si>
  <si>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</si>
  <si>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</si>
  <si>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</si>
  <si>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</si>
  <si>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</si>
  <si>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</si>
  <si>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</si>
  <si>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</si>
  <si>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</si>
  <si>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</si>
  <si>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</si>
  <si>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</si>
  <si>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</si>
  <si>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</si>
  <si>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</si>
  <si>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</si>
  <si>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</si>
  <si>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</si>
  <si>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</si>
  <si>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</si>
  <si>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</si>
  <si>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</si>
  <si>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</si>
  <si>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</si>
  <si>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</si>
  <si>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</si>
  <si>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</si>
  <si>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</si>
  <si>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</si>
  <si>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</si>
  <si>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</si>
  <si>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</si>
  <si>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</si>
  <si>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</si>
  <si>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</si>
  <si>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</si>
  <si>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</si>
  <si>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</si>
  <si>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</si>
  <si>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</si>
  <si>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</si>
  <si>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</si>
  <si>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</si>
  <si>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</si>
  <si>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</si>
  <si>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</si>
  <si>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</si>
  <si>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</si>
  <si>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</si>
  <si>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</si>
  <si>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</si>
  <si>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</si>
  <si>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</si>
  <si>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</si>
  <si>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</si>
  <si>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</si>
  <si>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</si>
  <si>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</si>
  <si>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</si>
  <si>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</si>
  <si>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</si>
  <si>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</si>
  <si>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terdapat pembelian dengan nilai beli melebihi 10% dari total penjualan neto untuk tahun-tahun yang berakhir pada tanggal-tanggal 30 Juni 2024 dan 2023.</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</si>
  <si>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</si>
  <si>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</si>
  <si>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</si>
  <si>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</si>
  <si>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</si>
  <si>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</si>
  <si>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</si>
  <si>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</si>
  <si>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</si>
  <si>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</si>
  <si>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</si>
  <si>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</si>
  <si>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</si>
  <si>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</si>
  <si>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</si>
  <si>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</si>
  <si>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</si>
  <si>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</si>
  <si>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</si>
  <si>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</si>
  <si>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</si>
  <si>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</si>
  <si>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</si>
  <si>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</si>
  <si>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</si>
  <si>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</si>
  <si>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</si>
  <si>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</si>
  <si>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</si>
  <si>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</si>
  <si>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</si>
  <si>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</si>
  <si>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</si>
  <si>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</si>
  <si>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</si>
  <si>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</si>
  <si>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</si>
  <si>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</si>
  <si>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</si>
  <si>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</si>
  <si>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</si>
  <si>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</si>
  <si>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Pada bulan September 2022, Perusahaan menandatangani Akta ( Aksesi) terkait dengan keputusan Perusahaan untuk menjadi penerima dan penjamin pinjaman, bersama-sama dengan perusahaan berelasi, dalam perjanjian fasilitas pinjaman sebesar US$190.000.000 dan Rp1.901.000 (dengan opsi untuk mengajukan peningkatan nilai fasilitas sebesar US$100.000.000) yang ditandatangani pada tanggal 2 September 2022. Keputusan Perusahaan untuk berpartisipasi dalam transaksi ini telah disetujui oleh para pemegang saham dalam Rapat Umum Pemegang Saham Luar Biasa Perusahaan pada tanggal 27 Juli 2022. Pada pinjaman ini terdapat grace periode selama 
3 tahun setelah penandatanganan perjanjian. Pinjaman ini bertujuan untuk keperluan modal kerja dan belanja modal. Pemberi pinjaman dalam pinjaman sindikasi ini adalah PT Bank Central Asia Tbk dan PT Bank Negara Indonesia (Persero) Tbk. Penerima pinjaman atas fasilitas ini adalah Perusahaan dan entitas berelasi yaitu, FKS Food and Agri Pte. Ltd, PT FKS Food and Ingredients, PT FKS Multi Agro Tbk, PT Tene Capital. Penjamin atas fasilitas ini adalah Enerfo Sugar do Brasil Ltda, PT FKS Corporindo Indonesia, PT FKS Food and Ingredients, PT FKS Multi Agro Tbk, PT FKS Pangan Nusantara, 
PT Makassar Tene, PT Padi Flour Nusantara, PT Permata Dunia Sukses Utama, PT Permata Food Indonesia, PT Sentral Grain Terminal, 
PT Tene Capital, PT Terminal Bangsa Mandiri, Enerfo Malaysia Sdn. Bhd., Enerfo Pte. Ltd., Energo Sugar Pte. Ltd., FKS Food and Agri Pte. Ltd., Omegra Shipping Pte. Ltd., TPS, PMI, PTP, PPN dan Perusahaan. Pada tanggal 27 April 2023, berdasarkan surat FKS - interest rate notification tingkat suku bunga tahunan atas utang bank jangka panjang menjadi sebesar 3,25%+JIBOR. Jaminan atas fasilitas pinjaman ini adalah sebagai berikut: 
	Jaminan fidusia tanah, bangunan, mesin atas nama TPS;
	Jaminan fidusia tanah, bangunan, mesin atas nama PMI;
	Jaminan fidusia tanah, bangunan, mesin atas nama PTP. Perjanjian pinjaman mencakup pembatasan dan persyaratan tertentu, antara lain, mempertahankan rasio keuangan tertentu, pembatasan pembayaran dividen, mempertahankan status tercatat di Bursa Efek Indonesia, penjaminan aset tetap, pemberian atau penerimaan pinjaman, perubahan atas anggaran dasar, struktur permodalan, pemegang saham dan perubahan bentuk hukum atau likuidasi atas Perusahaan. Perjanjian utang bank jangka panjang juga mencakup klausul pelanggaran silang (cross default) antara fasilitas pinjaman Perusahaan dan para penerima pinjaman. Pada tanggal 31 Desember 2023, Perusahaan dan entitas berelasi telah memenuhi semua persyaratan sehubungan dengan pinjaman tersebut di atas.</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</si>
  <si>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</si>
  <si>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</si>
  <si>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</si>
  <si>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</si>
  <si>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</si>
  <si>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2030-09-01</t>
  </si>
  <si>
    <t>3,25% + JIBOR</t>
  </si>
  <si>
    <t>Floating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</si>
  <si>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</si>
  <si>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</si>
  <si>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</si>
  <si>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</si>
  <si>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</si>
  <si>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</si>
  <si>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</si>
  <si>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Perusahaan dan Entitas Anak (TPS, PMI, SPJ, dan PTP) memperoleh Uncommitted Omnibus Facility dari PT Bank DBS Indonesia pada tanggal 7 Agustus 2023 dengan batas maksimum pinjaman Rp225.000 yang tersedia untuk: i)	Perusahaan maksimum hingga sebesar Rp225.000.
ii)	TPS maksimum hingga sebesar Rp175.000.
iii)	PMI maksimum hingga sebesar Rp15.000.
iv)	SPJ maksimum hingga sebesar Rp25.000.
v)	PTP maksimum hingga sebesar Rp150.000. Fasilitas omnibus termasuk sub-fasilitas Surat Kredit Berdokumen Dalam Negeri (), uncommitted account payables financing facility (), uncommitted account receivable financing facility () dan uncommitted revolving credit facility (). Batas jangka waktu fasilitas ini sampai dengan bulan Agustus 2024. Pinjaman dikenakan suku bunga tahunan sebesar 8,50% dan 9,00% masing-masing per tanggal 30 Juni 2024 dan 31 Desember 2023. Fasilitas ini dijamin dengan piutang usaha dengan nilai minimal Rp165.000 (Catatan 5) dan persediaan dengan nilai minimal Rp60.000 (Catatan 7) yang dimiliki oleh TPS, PMI, SPJ, dan PTP, serta jaminan korporasi dari Perusahaan, TPS, PMI, SPJ, dan PTP. Berdasarkan persyaratan-persyaratan dalam perjanjian pinjaman-pinjaman tersebut, Grup diharuskan untuk memperoleh persetujuan tertulis sebelumnya dari bank sehubungan dengan, antara lain, terjadi cidera janji, proses perkara hukum berhubungan dengan pajak, arbitrase dan administrasi yang dapat mempengaruhi usaha Grup; perubahan anggaran dasar; dan perubahan secara material yang dapat mempengaruhi kemampuan Grup melakukan kewajiban pembayaran kepada bank dan melakukan penyertaan saham baru jika melebihi batasan tertentu. Selain itu, Grup juga diharuskan untuk mempertahankan beberapa rasio keuangan tertentu pada setiap akhir tahun. Pada tanggal 30 Juni 2024 dan 31 Desember 2023, Grup telah memenuhi semua persyaratan pinjaman-pinjaman jangka pendek tersebut di atas seperti disebutkan dalam perjanjian kredit terkait. Berdasarkan Akta Perjanjian Kredit No. 94 tertanggal 19 Agustus 2022, yang dibuat di hadapan Jimmy Tanal, SH, M.Kn notaris di Jakarta, PTP memperoleh fasilitas kredit dari PT Bank Mayapada Internasional Tbk berupa Pinjaman Tetap On Demand dan Pinjaman Rekening Koran dengan pagu kredit masing-masing sebesar Rp80.000 dan Rp20.000. Jangka waktu pinjaman adalah 1 (satu) tahun dan telah diperpanjang sampai dengan 
7 September 2024. Pinjaman dikenakan suku bunga tahunan berkisar 9,25%-9,50% dan 9,75%-10% untuk masing-masing periode yang berakhir pada tanggal 30 Juni 2024 dan 31 Desember 2023. Jaminan atas fasilitas pinjaman ini adalah sebagai berikut: 
	Aset tetap yang dimiliki oleh PTP dan BBP (Catatan 11).
	Jaminan fidusia piutang usaha dan persediaan dengan nilai minimal masing masing sebesar Rp 80.000 dan Rp 20.000 (Catatan 5 dan 7). PTP diharuskan untuk mempertahankan beberapa rasio keuangan tertentu pada setiap akhir tahun. Pada tanggal 30 Juni 2024 dan 31 Desember 2023, PTP telah memenuhi semua persyaratan pinjaman-pinjaman jangka pendek tersebut di atas seperti disebutkan dalam perjanjian kredit terkait. Pada tanggal 30 Juni 2024 dan 31 Desember 2023, saldo terutang atas fasilitas ini adalah sebesar nihil dan Rp538. Berdasarkan Akta Perjanjian Kredit No. 95 tertanggal 19 Agustus 2022, yang dibuat di hadapan Jimmy Tanal, SH, M.Kn notaris di Jakarta, TPS memperoleh fasilitas kredit dari PT Bank Mayapada Internasional Tbk berupa Pinjaman Tetap On Demand dan Pinjaman Rekening Koran dengan pagu kredit masing-masing sebesar Rp170.000 dan Rp30.000. Jangka waktu pinjaman adalah 1 (satu) tahun dan telah diperpanjang sampai dengan 
25 Agustus 2024. Pinjaman dikenakan suku bunga tahunan berkisar 9,25-9,50% dan 9,75%-10% untuk masing-masing periode yang berakhir pada tanggal 30 Juni 2024 dan 31 Desember 2023. Jaminan atas fasilitas pinjaman ini adalah sebagai berikut: 
	Aset tetap yang dimiliki oleh PTP dan BBP (Catatan 11).
	Jaminan fidusia piutang usaha dan persediaan dengan nilai minimal masing masing sebesar Rp 65.000 dan Rp 35.000 (Catatan 5 dan 7). TPS diharuskan untuk mempertahankan beberapa rasio keuangan tertentu pada setiap akhir tahun. Pada tanggal 30 Juni 2024 dan 31 Desember 2023, TPS telah memenuhi semua persyaratan pinjaman-pinjaman jangka pendek tersebut di atas seperti disebutkan dalam perjanjian kredit terkait. Pada tanggal 30 Juni 2024 dan 31 Desember 2023, saldo terutang atas fasilitas ini adalah masing-masing sebesar Rp27.546 dan Rp66.490.</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</si>
  <si>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</si>
  <si>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</si>
  <si>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</si>
  <si>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</si>
  <si>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</si>
  <si>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2024-09-07</t>
  </si>
  <si>
    <t>9,25% - 9,50%</t>
  </si>
  <si>
    <t>2024-04-07</t>
  </si>
  <si>
    <t>9,75% - 10%</t>
  </si>
  <si>
    <t>2024-08-07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</si>
</sst>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46">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6" fillId="0" borderId="3" xfId="2" applyFont="1" applyBorder="1" applyAlignment="1">
      <alignment horizontal="left" vertical="top" wrapText="1"/>
    </xf>
    <xf numFmtId="0" fontId="34" fillId="4"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6"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6" fillId="0" borderId="3" xfId="3" applyFont="1" applyBorder="1" applyAlignment="1">
      <alignment horizontal="left" vertical="top" wrapText="1"/>
    </xf>
    <xf numFmtId="0" fontId="34" fillId="4" borderId="4" xfId="3" applyFont="1" applyFill="1" applyBorder="1" applyAlignment="1">
      <alignment horizontal="center" vertical="top" wrapText="1"/>
    </xf>
    <xf numFmtId="0" fontId="36"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167" fontId="37" fillId="6"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6" fillId="0" borderId="3" xfId="3" applyFont="1" applyBorder="1" applyAlignment="1">
      <alignment horizontal="left" vertical="top" wrapText="1" indent="4"/>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6" fillId="0" borderId="3" xfId="4" applyFont="1" applyBorder="1" applyAlignment="1">
      <alignment horizontal="left" vertical="top" wrapText="1"/>
    </xf>
    <xf numFmtId="0" fontId="34" fillId="4" borderId="4" xfId="4" applyFont="1" applyFill="1" applyBorder="1" applyAlignment="1">
      <alignment horizontal="center" vertical="top" wrapText="1"/>
    </xf>
    <xf numFmtId="0" fontId="36" fillId="0" borderId="3" xfId="4" applyFont="1" applyBorder="1" applyAlignment="1">
      <alignment horizontal="right" vertical="top" wrapText="1"/>
    </xf>
    <xf numFmtId="0" fontId="36" fillId="0" borderId="3" xfId="4" applyFont="1" applyBorder="1" applyAlignment="1">
      <alignment horizontal="left" vertical="top" wrapText="1" indent="1"/>
    </xf>
    <xf numFmtId="0" fontId="36" fillId="0" borderId="3" xfId="4" applyFont="1" applyBorder="1" applyAlignment="1">
      <alignment horizontal="left" vertical="top" wrapText="1" indent="3"/>
    </xf>
    <xf numFmtId="166" fontId="37" fillId="5"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left" vertical="top" wrapText="1" indent="4"/>
    </xf>
    <xf numFmtId="167" fontId="37" fillId="6"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6" fillId="0" borderId="3" xfId="5" applyFont="1" applyBorder="1" applyAlignment="1">
      <alignment horizontal="left" vertical="top" wrapText="1"/>
    </xf>
    <xf numFmtId="0" fontId="34" fillId="4" borderId="4" xfId="5" applyFont="1" applyFill="1" applyBorder="1" applyAlignment="1">
      <alignment horizontal="center" vertical="top" wrapText="1"/>
    </xf>
    <xf numFmtId="0" fontId="36" fillId="0" borderId="3" xfId="5" applyFont="1" applyBorder="1" applyAlignment="1">
      <alignment horizontal="right" vertical="top" wrapText="1"/>
    </xf>
    <xf numFmtId="0" fontId="36" fillId="0" borderId="3" xfId="5" applyFont="1" applyBorder="1" applyAlignment="1">
      <alignment horizontal="left" vertical="top" wrapText="1" indent="1"/>
    </xf>
    <xf numFmtId="0" fontId="36" fillId="0" borderId="3" xfId="5" applyFont="1" applyBorder="1" applyAlignment="1">
      <alignment horizontal="left" vertical="top" wrapText="1" indent="3"/>
    </xf>
    <xf numFmtId="166" fontId="37" fillId="5"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left" vertical="top" wrapText="1" indent="4"/>
    </xf>
    <xf numFmtId="167" fontId="37" fillId="6"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6" fillId="0" borderId="3" xfId="6" applyFont="1" applyBorder="1" applyAlignment="1">
      <alignment horizontal="left" vertical="top" wrapText="1"/>
    </xf>
    <xf numFmtId="0" fontId="34" fillId="4"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167" fontId="37" fillId="6" borderId="4" xfId="6" applyNumberFormat="1" applyFont="1" applyFill="1" applyBorder="1" applyAlignment="1" applyProtection="1">
      <alignment horizontal="center" vertical="top" wrapText="1"/>
      <protection locked="0"/>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6" fillId="0" borderId="3" xfId="7" applyFont="1" applyBorder="1" applyAlignment="1">
      <alignment horizontal="left" vertical="top" wrapText="1"/>
    </xf>
    <xf numFmtId="0" fontId="34" fillId="4" borderId="4" xfId="7" applyFont="1" applyFill="1" applyBorder="1" applyAlignment="1">
      <alignment horizontal="center" vertical="top" wrapText="1"/>
    </xf>
    <xf numFmtId="0" fontId="36"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wrapText="1"/>
    </xf>
    <xf numFmtId="166" fontId="37" fillId="5" borderId="4" xfId="8" applyNumberFormat="1" applyFont="1" applyFill="1" applyBorder="1" applyAlignment="1" applyProtection="1">
      <alignment horizontal="center" vertical="top" wrapText="1"/>
      <protection locked="0"/>
    </xf>
    <xf numFmtId="167" fontId="37" fillId="6"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wrapText="1"/>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wrapText="1"/>
    </xf>
    <xf numFmtId="166" fontId="37" fillId="5" borderId="4" xfId="9" applyNumberFormat="1" applyFont="1" applyFill="1" applyBorder="1" applyAlignment="1" applyProtection="1">
      <alignment horizontal="center" vertical="top" wrapText="1"/>
      <protection locked="0"/>
    </xf>
    <xf numFmtId="167" fontId="37" fillId="6"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wrapText="1"/>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6" fillId="0" borderId="3" xfId="10" applyFont="1" applyBorder="1" applyAlignment="1">
      <alignment horizontal="left" vertical="top" wrapText="1"/>
    </xf>
    <xf numFmtId="0" fontId="34" fillId="4" borderId="4" xfId="10" applyFont="1" applyFill="1" applyBorder="1" applyAlignment="1">
      <alignment horizontal="center" vertical="top" wrapText="1"/>
    </xf>
    <xf numFmtId="0" fontId="36"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6" fillId="0" borderId="3" xfId="11" applyFont="1" applyBorder="1" applyAlignment="1">
      <alignment horizontal="left" vertical="top" wrapText="1"/>
    </xf>
    <xf numFmtId="166" fontId="37" fillId="5" borderId="4" xfId="11" applyNumberFormat="1" applyFont="1" applyFill="1" applyBorder="1" applyAlignment="1" applyProtection="1">
      <alignment horizontal="center" vertical="top" wrapText="1"/>
      <protection locked="0"/>
    </xf>
    <xf numFmtId="167" fontId="37" fillId="6"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wrapText="1"/>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6" fillId="0" borderId="3" xfId="12" applyFont="1" applyBorder="1" applyAlignment="1">
      <alignment horizontal="left" vertical="top" wrapText="1"/>
    </xf>
    <xf numFmtId="166" fontId="37" fillId="5" borderId="4" xfId="12" applyNumberFormat="1" applyFont="1" applyFill="1" applyBorder="1" applyAlignment="1" applyProtection="1">
      <alignment horizontal="center" vertical="top" wrapText="1"/>
      <protection locked="0"/>
    </xf>
    <xf numFmtId="167" fontId="37" fillId="6"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wrapText="1"/>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4" fillId="3" borderId="0" xfId="13" applyFont="1" applyFill="1" applyAlignment="1">
      <alignment horizontal="left" wrapText="1" indent="1"/>
    </xf>
    <xf numFmtId="0" fontId="36" fillId="0" borderId="3" xfId="13" applyFont="1" applyBorder="1" applyAlignment="1">
      <alignment horizontal="left" vertical="top" wrapText="1"/>
    </xf>
    <xf numFmtId="0" fontId="37" fillId="5" borderId="4" xfId="13" applyFont="1" applyFill="1" applyBorder="1" applyAlignment="1" applyProtection="1">
      <alignment horizontal="center" vertical="top" wrapText="1"/>
      <protection locked="0"/>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6" fillId="0" borderId="3" xfId="14" applyFont="1" applyBorder="1" applyAlignment="1">
      <alignment horizontal="left" vertical="top" wrapText="1"/>
    </xf>
    <xf numFmtId="166" fontId="37" fillId="5"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wrapText="1"/>
    </xf>
    <xf numFmtId="167" fontId="37" fillId="6" borderId="4" xfId="14" applyNumberFormat="1" applyFont="1" applyFill="1" applyBorder="1" applyAlignment="1" applyProtection="1">
      <alignment horizontal="center" vertical="top" wrapText="1"/>
      <protection locked="0"/>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wrapText="1"/>
    </xf>
    <xf numFmtId="166" fontId="37" fillId="5"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wrapText="1"/>
    </xf>
    <xf numFmtId="0" fontId="13" fillId="0" borderId="0" xfId="16"/>
    <xf numFmtId="0" fontId="34" fillId="0" borderId="0" xfId="16" applyFont="1" applyAlignment="1">
      <alignment wrapText="1"/>
    </xf>
    <xf numFmtId="0" fontId="35" fillId="3" borderId="0" xfId="16" applyFont="1" applyFill="1" applyAlignment="1">
      <alignment horizontal="center" wrapText="1"/>
    </xf>
    <xf numFmtId="0" fontId="36" fillId="0" borderId="3" xfId="16" applyFont="1" applyBorder="1" applyAlignment="1">
      <alignment horizontal="left" vertical="top" wrapText="1"/>
    </xf>
    <xf numFmtId="0" fontId="34" fillId="4" borderId="4" xfId="16" applyFont="1" applyFill="1" applyBorder="1" applyAlignment="1">
      <alignment horizontal="center" vertical="top" wrapText="1"/>
    </xf>
    <xf numFmtId="0" fontId="36" fillId="0" borderId="3" xfId="16" applyFont="1" applyBorder="1" applyAlignment="1">
      <alignment horizontal="right" vertical="top" wrapText="1"/>
    </xf>
    <xf numFmtId="0" fontId="36" fillId="0" borderId="3" xfId="16" applyFont="1" applyBorder="1" applyAlignment="1">
      <alignment horizontal="left" vertical="top" wrapText="1" indent="1"/>
    </xf>
    <xf numFmtId="166" fontId="37" fillId="5" borderId="4" xfId="16" applyNumberFormat="1" applyFont="1" applyFill="1" applyBorder="1" applyAlignment="1" applyProtection="1">
      <alignment horizontal="center" vertical="top" wrapText="1"/>
      <protection locked="0"/>
    </xf>
    <xf numFmtId="167" fontId="37" fillId="6" borderId="4" xfId="16" applyNumberFormat="1" applyFont="1" applyFill="1" applyBorder="1" applyAlignment="1" applyProtection="1">
      <alignment horizontal="center" vertical="top" wrapText="1"/>
      <protection locked="0"/>
    </xf>
    <xf numFmtId="0" fontId="33" fillId="0" borderId="0" xfId="17" applyFont="1" applyAlignment="1">
      <alignment horizontal="left" vertical="top"/>
    </xf>
    <xf numFmtId="0" fontId="12" fillId="0" borderId="0" xfId="17"/>
    <xf numFmtId="0" fontId="34" fillId="0" borderId="0" xfId="17" applyFont="1" applyAlignment="1">
      <alignment wrapText="1"/>
    </xf>
    <xf numFmtId="0" fontId="35" fillId="3" borderId="0" xfId="17" applyFont="1" applyFill="1" applyAlignment="1">
      <alignment horizontal="center" wrapText="1"/>
    </xf>
    <xf numFmtId="0" fontId="36" fillId="0" borderId="3" xfId="17" applyFont="1" applyBorder="1" applyAlignment="1">
      <alignment horizontal="left" vertical="top" wrapText="1"/>
    </xf>
    <xf numFmtId="0" fontId="34" fillId="4" borderId="4" xfId="17" applyFont="1" applyFill="1" applyBorder="1" applyAlignment="1">
      <alignment horizontal="center" vertical="top" wrapText="1"/>
    </xf>
    <xf numFmtId="0" fontId="36" fillId="0" borderId="3" xfId="17" applyFont="1" applyBorder="1" applyAlignment="1">
      <alignment horizontal="right" vertical="top" wrapText="1"/>
    </xf>
    <xf numFmtId="0" fontId="36" fillId="0" borderId="3" xfId="17" applyFont="1" applyBorder="1" applyAlignment="1">
      <alignment horizontal="left" vertical="top" wrapText="1" indent="1"/>
    </xf>
    <xf numFmtId="0" fontId="36" fillId="0" borderId="3" xfId="17" applyFont="1" applyBorder="1" applyAlignment="1">
      <alignment horizontal="left" vertical="top" wrapText="1" indent="3"/>
    </xf>
    <xf numFmtId="0" fontId="36" fillId="0" borderId="3" xfId="17" applyFont="1" applyBorder="1" applyAlignment="1">
      <alignment horizontal="left" vertical="top" wrapText="1" indent="4"/>
    </xf>
    <xf numFmtId="166" fontId="37" fillId="5" borderId="4" xfId="17" applyNumberFormat="1" applyFont="1" applyFill="1" applyBorder="1" applyAlignment="1" applyProtection="1">
      <alignment horizontal="center" vertical="top" wrapText="1"/>
      <protection locked="0"/>
    </xf>
    <xf numFmtId="167" fontId="37" fillId="6" borderId="4" xfId="17" applyNumberFormat="1" applyFont="1" applyFill="1" applyBorder="1" applyAlignment="1" applyProtection="1">
      <alignment horizontal="center" vertical="top" wrapText="1"/>
      <protection locked="0"/>
    </xf>
    <xf numFmtId="0" fontId="11" fillId="0" borderId="0" xfId="18"/>
    <xf numFmtId="0" fontId="33" fillId="0" borderId="0" xfId="18" applyFont="1" applyAlignment="1">
      <alignment horizontal="left" vertical="top" wrapText="1"/>
    </xf>
    <xf numFmtId="0" fontId="34" fillId="0" borderId="0" xfId="18" applyFont="1" applyAlignment="1">
      <alignment wrapText="1"/>
    </xf>
    <xf numFmtId="0" fontId="35" fillId="3" borderId="0" xfId="18" applyFont="1" applyFill="1" applyAlignment="1">
      <alignment horizontal="center" wrapText="1"/>
    </xf>
    <xf numFmtId="0" fontId="36" fillId="0" borderId="3" xfId="18" applyFont="1" applyBorder="1" applyAlignment="1">
      <alignment horizontal="left" vertical="top" wrapText="1"/>
    </xf>
    <xf numFmtId="0" fontId="34" fillId="4" borderId="4" xfId="18" applyFont="1" applyFill="1" applyBorder="1" applyAlignment="1">
      <alignment horizontal="center" vertical="top" wrapText="1"/>
    </xf>
    <xf numFmtId="0" fontId="36" fillId="0" borderId="3" xfId="18" applyFont="1" applyBorder="1" applyAlignment="1">
      <alignment horizontal="right" vertical="top" wrapText="1"/>
    </xf>
    <xf numFmtId="0" fontId="36" fillId="0" borderId="3" xfId="18" applyFont="1" applyBorder="1" applyAlignment="1">
      <alignment horizontal="left" vertical="top" wrapText="1" indent="1"/>
    </xf>
    <xf numFmtId="0" fontId="37" fillId="5" borderId="4" xfId="18" applyFont="1" applyFill="1" applyBorder="1" applyAlignment="1" applyProtection="1">
      <alignment horizontal="right" vertical="top" wrapText="1"/>
      <protection locked="0"/>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wrapText="1"/>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wrapText="1"/>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wrapText="1"/>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wrapText="1"/>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6" fillId="0" borderId="3" xfId="21" applyFont="1" applyBorder="1" applyAlignment="1">
      <alignment horizontal="left" vertical="top" wrapText="1"/>
    </xf>
    <xf numFmtId="0" fontId="34" fillId="4" borderId="4" xfId="21" applyFont="1" applyFill="1" applyBorder="1" applyAlignment="1">
      <alignment horizontal="center" vertical="top" wrapText="1"/>
    </xf>
    <xf numFmtId="0" fontId="36"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6" borderId="4" xfId="21" applyNumberFormat="1" applyFont="1" applyFill="1" applyBorder="1" applyAlignment="1" applyProtection="1">
      <alignment horizontal="center" vertical="top" wrapText="1"/>
      <protection locked="0"/>
    </xf>
    <xf numFmtId="166" fontId="37" fillId="5" borderId="4" xfId="21" applyNumberFormat="1" applyFont="1" applyFill="1" applyBorder="1" applyAlignment="1" applyProtection="1">
      <alignment horizontal="center" vertical="top" wrapText="1"/>
      <protection locked="0"/>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6" fillId="0" borderId="3" xfId="22" applyFont="1" applyBorder="1" applyAlignment="1">
      <alignment horizontal="left" vertical="top" wrapText="1"/>
    </xf>
    <xf numFmtId="0" fontId="34" fillId="4" borderId="4" xfId="22" applyFont="1" applyFill="1" applyBorder="1" applyAlignment="1">
      <alignment horizontal="center" vertical="top" wrapText="1"/>
    </xf>
    <xf numFmtId="0" fontId="36"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wrapText="1"/>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4" fillId="0" borderId="0" xfId="23" applyFont="1" applyAlignment="1">
      <alignment wrapText="1"/>
    </xf>
    <xf numFmtId="0" fontId="34" fillId="4" borderId="4" xfId="23" applyFont="1" applyFill="1" applyBorder="1" applyAlignment="1">
      <alignment horizontal="center" vertical="top" wrapText="1"/>
    </xf>
    <xf numFmtId="0" fontId="36"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6" fillId="0" borderId="3" xfId="24" applyFont="1" applyBorder="1" applyAlignment="1">
      <alignment horizontal="left" vertical="top" wrapText="1"/>
    </xf>
    <xf numFmtId="0" fontId="34" fillId="4" borderId="4" xfId="24" applyFont="1" applyFill="1" applyBorder="1" applyAlignment="1">
      <alignment horizontal="center" vertical="top" wrapText="1"/>
    </xf>
    <xf numFmtId="0" fontId="36"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wrapText="1"/>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wrapText="1"/>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wrapText="1"/>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6" fillId="0" borderId="3" xfId="27" applyFont="1" applyBorder="1" applyAlignment="1">
      <alignment horizontal="left" vertical="top" wrapText="1"/>
    </xf>
    <xf numFmtId="0" fontId="34" fillId="4" borderId="4" xfId="27" applyFont="1" applyFill="1" applyBorder="1" applyAlignment="1">
      <alignment horizontal="center" vertical="top" wrapText="1"/>
    </xf>
    <xf numFmtId="0" fontId="36"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wrapText="1"/>
    </xf>
    <xf numFmtId="0" fontId="36" fillId="0" borderId="3" xfId="8" applyFont="1" applyBorder="1" applyAlignment="1">
      <alignment horizontal="left" vertical="top" wrapText="1"/>
    </xf>
    <xf numFmtId="0" fontId="36" fillId="0" borderId="0" xfId="8" applyFont="1" applyAlignment="1">
      <alignment horizontal="right" vertical="top" wrapText="1"/>
    </xf>
    <xf numFmtId="0" fontId="36" fillId="0" borderId="3" xfId="8" applyFont="1" applyBorder="1" applyAlignment="1">
      <alignment horizontal="right" vertical="top" wrapText="1"/>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wrapText="1"/>
    </xf>
    <xf numFmtId="0" fontId="36" fillId="0" borderId="0" xfId="9" applyFont="1" applyAlignment="1">
      <alignment horizontal="left" vertical="top" wrapText="1"/>
    </xf>
    <xf numFmtId="0" fontId="36" fillId="0" borderId="3" xfId="9" applyFont="1" applyBorder="1" applyAlignment="1">
      <alignment horizontal="left" vertical="top" wrapText="1"/>
    </xf>
    <xf numFmtId="0" fontId="36" fillId="0" borderId="5" xfId="9" applyFont="1" applyBorder="1" applyAlignment="1">
      <alignment horizontal="right" vertical="top" wrapText="1"/>
    </xf>
    <xf numFmtId="0" fontId="36" fillId="0" borderId="0" xfId="9" applyFont="1" applyAlignment="1">
      <alignment horizontal="right" vertical="top" wrapText="1"/>
    </xf>
    <xf numFmtId="0" fontId="36" fillId="0" borderId="3" xfId="9" applyFont="1" applyBorder="1" applyAlignment="1">
      <alignment horizontal="right" vertical="top"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left" vertical="top" wrapText="1"/>
    </xf>
    <xf numFmtId="0" fontId="19" fillId="0" borderId="0" xfId="10"/>
    <xf numFmtId="0" fontId="33" fillId="0" borderId="0" xfId="10" applyFont="1" applyAlignment="1">
      <alignment horizontal="right" vertical="top" wrapText="1"/>
    </xf>
    <xf numFmtId="0" fontId="36" fillId="0" borderId="5" xfId="11" applyFont="1" applyBorder="1" applyAlignment="1">
      <alignment horizontal="left" vertical="top" wrapText="1"/>
    </xf>
    <xf numFmtId="0" fontId="36" fillId="0" borderId="0" xfId="11" applyFont="1" applyAlignment="1">
      <alignment horizontal="left" vertical="top" wrapText="1"/>
    </xf>
    <xf numFmtId="0" fontId="36" fillId="0" borderId="3" xfId="11" applyFont="1" applyBorder="1" applyAlignment="1">
      <alignment horizontal="left" vertical="top" wrapText="1"/>
    </xf>
    <xf numFmtId="0" fontId="36" fillId="0" borderId="5" xfId="11" applyFont="1" applyBorder="1" applyAlignment="1">
      <alignment horizontal="right" vertical="top" wrapText="1"/>
    </xf>
    <xf numFmtId="0" fontId="36" fillId="0" borderId="0" xfId="11" applyFont="1" applyAlignment="1">
      <alignment horizontal="right" vertical="top" wrapText="1"/>
    </xf>
    <xf numFmtId="0" fontId="36" fillId="0" borderId="3" xfId="11" applyFont="1" applyBorder="1" applyAlignment="1">
      <alignment horizontal="right" vertical="top" wrapText="1"/>
    </xf>
    <xf numFmtId="0" fontId="33" fillId="0" borderId="5" xfId="11" applyFont="1" applyBorder="1" applyAlignment="1">
      <alignment horizontal="left" vertical="top" wrapText="1"/>
    </xf>
    <xf numFmtId="0" fontId="33" fillId="0" borderId="5" xfId="11" applyFont="1" applyBorder="1" applyAlignment="1">
      <alignment horizontal="right" vertical="top" wrapText="1"/>
    </xf>
    <xf numFmtId="0" fontId="34" fillId="0" borderId="0" xfId="11" applyFont="1" applyAlignment="1">
      <alignment wrapText="1"/>
    </xf>
    <xf numFmtId="0" fontId="35" fillId="3" borderId="0" xfId="11" applyFont="1" applyFill="1" applyAlignment="1">
      <alignment horizontal="center"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6" fillId="0" borderId="0" xfId="12" applyFont="1" applyAlignment="1">
      <alignment horizontal="left" vertical="top" wrapText="1"/>
    </xf>
    <xf numFmtId="0" fontId="36" fillId="0" borderId="3" xfId="12" applyFont="1" applyBorder="1" applyAlignment="1">
      <alignment horizontal="left" vertical="top" wrapText="1"/>
    </xf>
    <xf numFmtId="0" fontId="36" fillId="0" borderId="0" xfId="12" applyFont="1" applyAlignment="1">
      <alignment horizontal="right" vertical="top" wrapText="1"/>
    </xf>
    <xf numFmtId="0" fontId="36" fillId="0" borderId="3" xfId="12" applyFont="1" applyBorder="1" applyAlignment="1">
      <alignment horizontal="right" vertical="top" wrapText="1"/>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2" applyFont="1" applyAlignment="1">
      <alignment wrapText="1"/>
    </xf>
    <xf numFmtId="0" fontId="35" fillId="3" borderId="0" xfId="12" applyFont="1" applyFill="1" applyAlignment="1">
      <alignment horizontal="center" wrapText="1"/>
    </xf>
    <xf numFmtId="0" fontId="36" fillId="0" borderId="5" xfId="12" applyFont="1" applyBorder="1" applyAlignment="1">
      <alignment horizontal="left" vertical="top" wrapText="1"/>
    </xf>
    <xf numFmtId="0" fontId="36" fillId="0" borderId="5" xfId="12" applyFont="1" applyBorder="1" applyAlignment="1">
      <alignment horizontal="right" vertical="top" wrapText="1"/>
    </xf>
    <xf numFmtId="0" fontId="33" fillId="0" borderId="5" xfId="12" applyFont="1" applyBorder="1" applyAlignment="1">
      <alignment horizontal="left" vertical="top" wrapText="1"/>
    </xf>
    <xf numFmtId="0" fontId="33" fillId="0" borderId="5" xfId="12" applyFont="1" applyBorder="1" applyAlignment="1">
      <alignment horizontal="right" vertical="top" wrapText="1"/>
    </xf>
    <xf numFmtId="0" fontId="34" fillId="0" borderId="0" xfId="13" applyFont="1" applyAlignment="1">
      <alignment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4" applyFont="1" applyAlignment="1">
      <alignment wrapText="1"/>
    </xf>
    <xf numFmtId="0" fontId="36" fillId="0" borderId="0" xfId="14" applyFont="1" applyAlignment="1">
      <alignment horizontal="left" vertical="top" wrapText="1"/>
    </xf>
    <xf numFmtId="0" fontId="36" fillId="0" borderId="3" xfId="14" applyFont="1" applyBorder="1" applyAlignment="1">
      <alignment horizontal="left" vertical="top" wrapText="1"/>
    </xf>
    <xf numFmtId="0" fontId="36" fillId="0" borderId="0" xfId="14" applyFont="1" applyAlignment="1">
      <alignment horizontal="right" vertical="top" wrapText="1"/>
    </xf>
    <xf numFmtId="0" fontId="36" fillId="0" borderId="3" xfId="14" applyFont="1" applyBorder="1" applyAlignment="1">
      <alignment horizontal="right" vertical="top" wrapText="1"/>
    </xf>
    <xf numFmtId="0" fontId="36" fillId="0" borderId="5" xfId="14" applyFont="1" applyBorder="1" applyAlignment="1">
      <alignment horizontal="left" vertical="top" wrapText="1"/>
    </xf>
    <xf numFmtId="0" fontId="36" fillId="0" borderId="5" xfId="14" applyFont="1" applyBorder="1" applyAlignment="1">
      <alignment horizontal="right" vertical="top" wrapText="1"/>
    </xf>
    <xf numFmtId="0" fontId="33" fillId="0" borderId="5" xfId="14" applyFont="1" applyBorder="1" applyAlignment="1">
      <alignment horizontal="left" vertical="top" wrapText="1"/>
    </xf>
    <xf numFmtId="0" fontId="35" fillId="3" borderId="0" xfId="14" applyFont="1" applyFill="1" applyAlignment="1">
      <alignment horizontal="center" wrapText="1"/>
    </xf>
    <xf numFmtId="0" fontId="33" fillId="0" borderId="5" xfId="14"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4" fillId="0" borderId="0" xfId="15" applyFont="1" applyAlignment="1">
      <alignment wrapText="1"/>
    </xf>
    <xf numFmtId="0" fontId="35" fillId="3" borderId="0" xfId="15" applyFont="1" applyFill="1" applyAlignment="1">
      <alignment horizontal="center" wrapText="1"/>
    </xf>
    <xf numFmtId="0" fontId="36" fillId="0" borderId="0" xfId="15" applyFont="1" applyAlignment="1">
      <alignment horizontal="left" vertical="top" wrapText="1"/>
    </xf>
    <xf numFmtId="0" fontId="36" fillId="0" borderId="3" xfId="15" applyFont="1" applyBorder="1" applyAlignment="1">
      <alignment horizontal="left" vertical="top" wrapText="1"/>
    </xf>
    <xf numFmtId="0" fontId="36" fillId="0" borderId="0" xfId="15" applyFont="1" applyAlignment="1">
      <alignment horizontal="right" vertical="top" wrapText="1"/>
    </xf>
    <xf numFmtId="0" fontId="36" fillId="0" borderId="3" xfId="15" applyFont="1" applyBorder="1" applyAlignment="1">
      <alignment horizontal="right" vertical="top" wrapText="1"/>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3" fillId="0" borderId="0" xfId="16" applyFont="1" applyAlignment="1">
      <alignment horizontal="left" vertical="top" wrapText="1"/>
    </xf>
    <xf numFmtId="0" fontId="13" fillId="0" borderId="0" xfId="16"/>
    <xf numFmtId="0" fontId="33" fillId="0" borderId="0" xfId="16" applyFont="1" applyAlignment="1">
      <alignment horizontal="right" vertical="top" wrapText="1"/>
    </xf>
    <xf numFmtId="0" fontId="33" fillId="0" borderId="0" xfId="17" applyFont="1" applyAlignment="1">
      <alignment horizontal="left" vertical="top" wrapText="1"/>
    </xf>
    <xf numFmtId="0" fontId="33" fillId="0" borderId="0" xfId="17" applyFont="1" applyAlignment="1">
      <alignment horizontal="right" vertical="top" wrapText="1"/>
    </xf>
    <xf numFmtId="0" fontId="33" fillId="0" borderId="5"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8" applyFont="1" applyAlignment="1">
      <alignment horizontal="left" vertical="top" wrapText="1"/>
    </xf>
    <xf numFmtId="0" fontId="11" fillId="0" borderId="0" xfId="18"/>
    <xf numFmtId="0" fontId="33" fillId="0" borderId="0" xfId="18" applyFont="1" applyAlignment="1">
      <alignment horizontal="right" vertical="top" wrapText="1"/>
    </xf>
    <xf numFmtId="0" fontId="36" fillId="0" borderId="5" xfId="19" applyFont="1" applyBorder="1" applyAlignment="1">
      <alignment horizontal="left" vertical="top" wrapText="1"/>
    </xf>
    <xf numFmtId="0" fontId="36" fillId="0" borderId="0" xfId="19" applyFont="1" applyAlignment="1">
      <alignment horizontal="left" vertical="top" wrapText="1"/>
    </xf>
    <xf numFmtId="0" fontId="36" fillId="0" borderId="3" xfId="19" applyFont="1" applyBorder="1" applyAlignment="1">
      <alignment horizontal="left" vertical="top" wrapText="1"/>
    </xf>
    <xf numFmtId="0" fontId="36" fillId="0" borderId="5" xfId="19" applyFont="1" applyBorder="1" applyAlignment="1">
      <alignment horizontal="right" vertical="top" wrapText="1"/>
    </xf>
    <xf numFmtId="0" fontId="36" fillId="0" borderId="0" xfId="19" applyFont="1" applyAlignment="1">
      <alignment horizontal="right" vertical="top" wrapText="1"/>
    </xf>
    <xf numFmtId="0" fontId="36" fillId="0" borderId="3" xfId="19" applyFont="1" applyBorder="1" applyAlignment="1">
      <alignment horizontal="right" vertical="top" wrapText="1"/>
    </xf>
    <xf numFmtId="0" fontId="34" fillId="0" borderId="0" xfId="19" applyFont="1" applyAlignment="1">
      <alignment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4" fillId="0" borderId="0" xfId="20" applyFont="1" applyAlignment="1">
      <alignment wrapText="1"/>
    </xf>
    <xf numFmtId="0" fontId="36" fillId="0" borderId="0" xfId="20" applyFont="1" applyAlignment="1">
      <alignment horizontal="left" vertical="top" wrapText="1"/>
    </xf>
    <xf numFmtId="0" fontId="36" fillId="0" borderId="3" xfId="20" applyFont="1" applyBorder="1" applyAlignment="1">
      <alignment horizontal="left" vertical="top" wrapText="1"/>
    </xf>
    <xf numFmtId="0" fontId="36" fillId="0" borderId="0" xfId="20" applyFont="1" applyAlignment="1">
      <alignment horizontal="right" vertical="top" wrapText="1"/>
    </xf>
    <xf numFmtId="0" fontId="36" fillId="0" borderId="3" xfId="20" applyFont="1" applyBorder="1" applyAlignment="1">
      <alignment horizontal="right" vertical="top" wrapText="1"/>
    </xf>
    <xf numFmtId="0" fontId="33" fillId="0" borderId="5" xfId="20" applyFont="1" applyBorder="1" applyAlignment="1">
      <alignment horizontal="left" vertical="top" wrapText="1"/>
    </xf>
    <xf numFmtId="0" fontId="33" fillId="0" borderId="5" xfId="20" applyFont="1" applyBorder="1" applyAlignment="1">
      <alignment horizontal="right" vertical="top" wrapText="1"/>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left" vertical="top" wrapText="1"/>
    </xf>
    <xf numFmtId="0" fontId="7" fillId="0" borderId="0" xfId="22"/>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wrapText="1"/>
    </xf>
    <xf numFmtId="0" fontId="36" fillId="0" borderId="0" xfId="23" applyFont="1" applyAlignment="1">
      <alignment horizontal="left" vertical="top" wrapText="1"/>
    </xf>
    <xf numFmtId="0" fontId="36" fillId="0" borderId="3" xfId="23" applyFont="1" applyBorder="1" applyAlignment="1">
      <alignment horizontal="left" vertical="top" wrapText="1"/>
    </xf>
    <xf numFmtId="0" fontId="36" fillId="0" borderId="8" xfId="23" applyFont="1" applyBorder="1" applyAlignment="1">
      <alignment horizontal="right" vertical="top" wrapText="1"/>
    </xf>
    <xf numFmtId="0" fontId="36" fillId="0" borderId="6" xfId="23" applyFont="1" applyBorder="1" applyAlignment="1">
      <alignment horizontal="right" vertical="top" wrapText="1"/>
    </xf>
    <xf numFmtId="0" fontId="36" fillId="0" borderId="7" xfId="23" applyFont="1" applyBorder="1" applyAlignment="1">
      <alignment horizontal="right" vertical="top" wrapText="1"/>
    </xf>
    <xf numFmtId="0" fontId="33" fillId="0" borderId="0" xfId="24" applyFont="1" applyAlignment="1">
      <alignment horizontal="left" vertical="top" wrapText="1"/>
    </xf>
    <xf numFmtId="0" fontId="5" fillId="0" borderId="0" xfId="24"/>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wrapText="1"/>
    </xf>
    <xf numFmtId="0" fontId="36" fillId="0" borderId="0" xfId="25" applyFont="1" applyAlignment="1">
      <alignment horizontal="left" vertical="top" wrapText="1"/>
    </xf>
    <xf numFmtId="0" fontId="36" fillId="0" borderId="3" xfId="25" applyFont="1" applyBorder="1" applyAlignment="1">
      <alignment horizontal="left" vertical="top" wrapText="1"/>
    </xf>
    <xf numFmtId="0" fontId="36" fillId="0" borderId="8" xfId="25" applyFont="1" applyBorder="1" applyAlignment="1">
      <alignment horizontal="right" vertical="top" wrapText="1"/>
    </xf>
    <xf numFmtId="0" fontId="36" fillId="0" borderId="6" xfId="25" applyFont="1" applyBorder="1" applyAlignment="1">
      <alignment horizontal="right" vertical="top" wrapText="1"/>
    </xf>
    <xf numFmtId="0" fontId="36"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wrapText="1"/>
    </xf>
    <xf numFmtId="0" fontId="36" fillId="0" borderId="0" xfId="26" applyFont="1" applyAlignment="1">
      <alignment horizontal="left" vertical="top" wrapText="1"/>
    </xf>
    <xf numFmtId="0" fontId="36" fillId="0" borderId="3" xfId="26" applyFont="1" applyBorder="1" applyAlignment="1">
      <alignment horizontal="left" vertical="top" wrapText="1"/>
    </xf>
    <xf numFmtId="0" fontId="36" fillId="0" borderId="8" xfId="26" applyFont="1" applyBorder="1" applyAlignment="1">
      <alignment horizontal="right" vertical="top" wrapText="1"/>
    </xf>
    <xf numFmtId="0" fontId="36" fillId="0" borderId="6" xfId="26" applyFont="1" applyBorder="1" applyAlignment="1">
      <alignment horizontal="right" vertical="top" wrapText="1"/>
    </xf>
    <xf numFmtId="0" fontId="36" fillId="0" borderId="7" xfId="26" applyFont="1" applyBorder="1" applyAlignment="1">
      <alignment horizontal="right" vertical="top" wrapText="1"/>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left" vertical="top" wrapText="1"/>
    </xf>
    <xf numFmtId="0" fontId="2" fillId="0" borderId="0" xfId="27"/>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wrapText="1"/>
    </xf>
    <xf numFmtId="0" fontId="36" fillId="0" borderId="3" xfId="28" applyFont="1" applyBorder="1" applyAlignment="1">
      <alignment horizontal="left" vertical="top" wrapText="1"/>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wrapText="1"/>
    </xf>
    <xf numFmtId="0" fontId="36" fillId="0" borderId="3" xfId="28" applyFont="1" applyBorder="1" applyAlignment="1">
      <alignment horizontal="right" vertical="top" wrapText="1"/>
    </xf>
    <xf numFmtId="0" fontId="36" fillId="0" borderId="3" xfId="28" applyFont="1" applyBorder="1" applyAlignment="1">
      <alignment horizontal="left" vertical="top" wrapText="1"/>
    </xf>
    <xf numFmtId="0" fontId="36"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8" xfId="28" applyFont="1" applyBorder="1" applyAlignment="1">
      <alignment horizontal="right" vertical="top" wrapText="1"/>
    </xf>
    <xf numFmtId="0" fontId="33" fillId="0" borderId="5" xfId="28" applyFont="1" applyBorder="1" applyAlignment="1">
      <alignment horizontal="left" vertical="top" wrapText="1"/>
    </xf>
    <xf numFmtId="0" fontId="33" fillId="0" borderId="5" xfId="28" applyFont="1" applyBorder="1" applyAlignment="1">
      <alignment horizontal="right" vertical="top" wrapText="1"/>
    </xf>
  </cellXfs>
  <cellStyles count="29">
    <cellStyle name="Normal" xfId="0" builtinId="0"/>
    <cellStyle name="Normal 2" xfId="1" xr:uid="{00000000-0005-0000-0000-000001000000}"/>
    <cellStyle name="Normal 2 10" xfId="10" xr:uid="{1E81C5C3-E95E-4C12-A65A-0211CE7EFCB7}"/>
    <cellStyle name="Normal 2 11" xfId="11" xr:uid="{F3859B7C-7C63-4E99-91C1-4CA574F9F0B9}"/>
    <cellStyle name="Normal 2 12" xfId="12" xr:uid="{19B3F040-3CBE-4B63-A5D1-69CF787D9C72}"/>
    <cellStyle name="Normal 2 13" xfId="13" xr:uid="{402AD309-C9DF-4D80-8DD1-8EC6D6330003}"/>
    <cellStyle name="Normal 2 14" xfId="14" xr:uid="{88BF1598-AC62-461E-9046-886D21CFEE06}"/>
    <cellStyle name="Normal 2 15" xfId="15" xr:uid="{4EC846F0-DC1D-4946-AD45-CFFF58551660}"/>
    <cellStyle name="Normal 2 16" xfId="16" xr:uid="{9347AF3F-9FCB-4F35-87AC-F278EECCCF28}"/>
    <cellStyle name="Normal 2 17" xfId="17" xr:uid="{807634BA-7BDC-44C7-BBB9-67090FC9CD20}"/>
    <cellStyle name="Normal 2 18" xfId="18" xr:uid="{B4E17005-148A-41FD-8A31-0659586CFFEF}"/>
    <cellStyle name="Normal 2 19" xfId="19" xr:uid="{AB335914-A375-452B-A796-8EE99EB393C7}"/>
    <cellStyle name="Normal 2 2" xfId="2" xr:uid="{6AA37317-1AD5-4FCE-8269-15024CFAEDF0}"/>
    <cellStyle name="Normal 2 20" xfId="20" xr:uid="{05E13DFB-2626-4FDF-AEAB-F7EEE1FC0574}"/>
    <cellStyle name="Normal 2 21" xfId="21" xr:uid="{DBD5B810-787E-4C61-80A9-45E8F067400F}"/>
    <cellStyle name="Normal 2 22" xfId="22" xr:uid="{5A6F5528-922F-4350-A751-97B18E188654}"/>
    <cellStyle name="Normal 2 23" xfId="23" xr:uid="{AD75460B-07D5-464B-B3C1-035B366B76F2}"/>
    <cellStyle name="Normal 2 24" xfId="24" xr:uid="{8D921B7E-7DC9-46FB-AD73-32D922EE112D}"/>
    <cellStyle name="Normal 2 25" xfId="25" xr:uid="{9FF594D3-3D3A-4926-8B74-8EA4E6FA67EC}"/>
    <cellStyle name="Normal 2 26" xfId="26" xr:uid="{DE8CEB2F-FF53-431A-AD5E-BFE6D228FC15}"/>
    <cellStyle name="Normal 2 27" xfId="27" xr:uid="{015A3042-93EB-4540-85A5-2FBA7AB6D82C}"/>
    <cellStyle name="Normal 2 28" xfId="28" xr:uid="{79CB14C3-BA43-420A-AA63-E32C1AB1BB1F}"/>
    <cellStyle name="Normal 2 3" xfId="3" xr:uid="{A82E09D1-F40B-4666-861B-CA9089F8AB33}"/>
    <cellStyle name="Normal 2 4" xfId="4" xr:uid="{C7ACAEE3-E6FD-4F3B-9ED1-FDC5FA57708B}"/>
    <cellStyle name="Normal 2 5" xfId="5" xr:uid="{638E8253-7223-473D-94BC-3E24872CC1B6}"/>
    <cellStyle name="Normal 2 6" xfId="6" xr:uid="{0142B029-6A74-42A1-8EA3-5DBFC2CF5ACF}"/>
    <cellStyle name="Normal 2 7" xfId="7" xr:uid="{7968211E-AA14-46D7-A3BF-9B99F02B23F6}"/>
    <cellStyle name="Normal 2 8" xfId="8" xr:uid="{50A480C9-DD9E-4F24-A723-5006EE2FDE2F}"/>
    <cellStyle name="Normal 2 9" xfId="9" xr:uid="{C7666535-FEC2-4ADC-89EF-6301B541636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isa_maker2_0112_2024_0_153_1722240695102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isa_maker2_0112_2024_0_153_1722240695102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aisa_maker2_0112_2024_0_153_1722240695102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aisa_maker2_0112_2024_0_153_1722240695102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aisa_maker2_0112_2024_0_153_1722240695102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aisa_maker2_0112_2024_0_153_1722240695102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aisa_maker2_0112_2024_0_153_1722240695102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aisa_maker2_0112_2024_0_153_1722240695102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aisa_maker2_0112_2024_0_153_1722240695102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aisa_maker2_0112_2024_0_153_1722240695102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aisa_maker2_0112_2024_0_153_1722240695102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aisa_maker2_0112_2024_0_153_1722240695102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aisa_maker2_0112_2024_0_153_1722240695102_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aisa_maker2_0112_2024_0_153_1722240695102_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aisa_maker2_0112_2024_0_153_1722240695102_16205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aisa_maker2_0112_2024_0_153_1722240695102_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aisa_maker2_0112_2024_0_153_1722240695102_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aisa_maker2_0112_2024_0_153_1722240695102_1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aisa_maker2_0112_2024_0_153_1722240695102_16402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aisa_maker2_0112_2024_0_153_1722240695102_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aisa_maker2_0112_2024_0_153_1722240695102_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aisa_maker2_0112_2024_0_153_1722240695102_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aisa_maker2_0112_2024_0_153_1722240695102_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aisa_maker2_0112_2024_0_153_1722240695102_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aisa_maker2_0112_2024_0_153_1722240695102_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aisa_maker2_0112_2024_0_153_1722240695102_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aisa_maker2_0112_2024_0_153_1722240695102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102</v>
      </c>
    </row>
    <row r="5" spans="1:2" ht="12.75" thickBot="1">
      <c r="A5" s="8" t="s">
        <v>3</v>
      </c>
      <c r="B5" s="7" t="s">
        <v>103</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104</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10</v>
      </c>
      <c r="B25" s="10">
        <f>rap.date.2</f>
        <v>40816</v>
      </c>
    </row>
    <row r="26" spans="1:2">
      <c r="B26" s="11"/>
    </row>
    <row r="27" spans="1:2" ht="12.75" thickBot="1">
      <c r="A27" s="4" t="s">
        <v>19</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11</v>
      </c>
      <c r="B32" s="10">
        <f>rap.date.3</f>
        <v>40816</v>
      </c>
    </row>
    <row r="34" spans="1:2" ht="12.75" thickBot="1">
      <c r="A34" s="4" t="s">
        <v>105</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10</v>
      </c>
      <c r="B40" s="10">
        <f>rap.date.5</f>
        <v>40543</v>
      </c>
    </row>
    <row r="41" spans="1:2">
      <c r="B41" s="11"/>
    </row>
    <row r="42" spans="1:2" ht="12.75" thickBot="1">
      <c r="A42" s="4" t="s">
        <v>106</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11</v>
      </c>
      <c r="B47" s="10">
        <f>rap.date.6</f>
        <v>40543</v>
      </c>
    </row>
    <row r="49" spans="1:2" ht="12.75" thickBot="1">
      <c r="A49" s="4" t="s">
        <v>107</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10</v>
      </c>
      <c r="B55" s="10">
        <f>rap.date.8</f>
        <v>40451</v>
      </c>
    </row>
    <row r="56" spans="1:2">
      <c r="B56" s="11"/>
    </row>
    <row r="57" spans="1:2" ht="12.75" thickBot="1">
      <c r="A57" s="4" t="s">
        <v>108</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11</v>
      </c>
      <c r="B62" s="10">
        <f>rap.date.9</f>
        <v>40451</v>
      </c>
    </row>
    <row r="64" spans="1:2" ht="12.75" thickBot="1">
      <c r="A64" s="4" t="s">
        <v>109</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11</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12</v>
      </c>
      <c r="B1" s="13" t="s">
        <v>13</v>
      </c>
    </row>
    <row r="2" spans="1:2">
      <c r="A2" s="15" t="s">
        <v>14</v>
      </c>
      <c r="B2" s="15" t="s">
        <v>15</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16</v>
      </c>
    </row>
    <row r="3" spans="1:3" ht="17.25" customHeight="1">
      <c r="A3" s="19" t="s">
        <v>17</v>
      </c>
      <c r="B3" s="261" t="s">
        <v>18</v>
      </c>
      <c r="C3" s="261"/>
    </row>
    <row r="4" spans="1:3">
      <c r="A4" s="20"/>
      <c r="B4" s="21" t="s">
        <v>19</v>
      </c>
    </row>
    <row r="5" spans="1:3" ht="15.75" thickBot="1">
      <c r="A5" s="22" t="s">
        <v>17</v>
      </c>
      <c r="B5" s="23"/>
      <c r="C5" s="24" t="s">
        <v>18</v>
      </c>
    </row>
    <row r="6" spans="1:3" ht="15.75" thickBot="1">
      <c r="A6" s="25" t="s">
        <v>20</v>
      </c>
      <c r="B6" s="26" t="s">
        <v>424</v>
      </c>
      <c r="C6" s="24" t="s">
        <v>21</v>
      </c>
    </row>
    <row r="7" spans="1:3" ht="26.25" thickBot="1">
      <c r="A7" s="25" t="s">
        <v>22</v>
      </c>
      <c r="B7" s="26"/>
      <c r="C7" s="24" t="s">
        <v>23</v>
      </c>
    </row>
    <row r="8" spans="1:3" ht="15.75" thickBot="1">
      <c r="A8" s="25" t="s">
        <v>24</v>
      </c>
      <c r="B8" s="26" t="s">
        <v>420</v>
      </c>
      <c r="C8" s="24" t="s">
        <v>25</v>
      </c>
    </row>
    <row r="9" spans="1:3" ht="15.75" thickBot="1">
      <c r="A9" s="25" t="s">
        <v>26</v>
      </c>
      <c r="B9" s="26" t="s">
        <v>423</v>
      </c>
      <c r="C9" s="24" t="s">
        <v>27</v>
      </c>
    </row>
    <row r="10" spans="1:3" ht="15.75" thickBot="1">
      <c r="A10" s="25" t="s">
        <v>28</v>
      </c>
      <c r="B10" s="26" t="s">
        <v>404</v>
      </c>
      <c r="C10" s="24" t="s">
        <v>29</v>
      </c>
    </row>
    <row r="11" spans="1:3" ht="15.75" thickBot="1">
      <c r="A11" s="25" t="s">
        <v>30</v>
      </c>
      <c r="B11" s="26" t="s">
        <v>137</v>
      </c>
      <c r="C11" s="24" t="s">
        <v>31</v>
      </c>
    </row>
    <row r="12" spans="1:3" ht="15.75" thickBot="1">
      <c r="A12" s="25" t="s">
        <v>32</v>
      </c>
      <c r="B12" s="26" t="s">
        <v>380</v>
      </c>
      <c r="C12" s="24" t="s">
        <v>33</v>
      </c>
    </row>
    <row r="13" spans="1:3" ht="15.75" thickBot="1">
      <c r="A13" s="25" t="s">
        <v>34</v>
      </c>
      <c r="B13" s="26" t="s">
        <v>349</v>
      </c>
      <c r="C13" s="24" t="s">
        <v>35</v>
      </c>
    </row>
    <row r="14" spans="1:3" ht="15.75" thickBot="1">
      <c r="A14" s="25" t="s">
        <v>36</v>
      </c>
      <c r="B14" s="26" t="s">
        <v>293</v>
      </c>
      <c r="C14" s="24" t="s">
        <v>37</v>
      </c>
    </row>
    <row r="15" spans="1:3" ht="15.75" thickBot="1">
      <c r="A15" s="25" t="s">
        <v>38</v>
      </c>
      <c r="B15" s="26" t="s">
        <v>188</v>
      </c>
      <c r="C15" s="24" t="s">
        <v>39</v>
      </c>
    </row>
    <row r="16" spans="1:3" ht="15.75" thickBot="1">
      <c r="A16" s="25" t="s">
        <v>40</v>
      </c>
      <c r="B16" s="26" t="s">
        <v>411</v>
      </c>
      <c r="C16" s="24" t="s">
        <v>41</v>
      </c>
    </row>
    <row r="17" spans="1:3" ht="24.75" thickBot="1">
      <c r="A17" s="25" t="s">
        <v>42</v>
      </c>
      <c r="B17" s="26" t="s">
        <v>123</v>
      </c>
      <c r="C17" s="24" t="s">
        <v>43</v>
      </c>
    </row>
    <row r="18" spans="1:3" ht="24.75" thickBot="1">
      <c r="A18" s="25" t="s">
        <v>44</v>
      </c>
      <c r="B18" s="26" t="s">
        <v>119</v>
      </c>
      <c r="C18" s="24" t="s">
        <v>45</v>
      </c>
    </row>
    <row r="19" spans="1:3" ht="26.25" thickBot="1">
      <c r="A19" s="25" t="s">
        <v>46</v>
      </c>
      <c r="B19" s="26" t="s">
        <v>127</v>
      </c>
      <c r="C19" s="24" t="s">
        <v>47</v>
      </c>
    </row>
    <row r="20" spans="1:3" ht="39" thickBot="1">
      <c r="A20" s="25" t="s">
        <v>48</v>
      </c>
      <c r="B20" s="26" t="s">
        <v>111</v>
      </c>
      <c r="C20" s="24" t="s">
        <v>49</v>
      </c>
    </row>
    <row r="21" spans="1:3" ht="26.25" thickBot="1">
      <c r="A21" s="25" t="s">
        <v>50</v>
      </c>
      <c r="B21" s="26" t="s">
        <v>390</v>
      </c>
      <c r="C21" s="24" t="s">
        <v>51</v>
      </c>
    </row>
    <row r="22" spans="1:3" ht="26.25" thickBot="1">
      <c r="A22" s="25" t="s">
        <v>52</v>
      </c>
      <c r="B22" s="26" t="s">
        <v>417</v>
      </c>
      <c r="C22" s="24" t="s">
        <v>53</v>
      </c>
    </row>
    <row r="23" spans="1:3" ht="15.75" thickBot="1">
      <c r="A23" s="25" t="s">
        <v>54</v>
      </c>
      <c r="B23" s="26" t="s">
        <v>422</v>
      </c>
      <c r="C23" s="24" t="s">
        <v>55</v>
      </c>
    </row>
    <row r="24" spans="1:3" ht="15.75" thickBot="1">
      <c r="A24" s="25" t="s">
        <v>56</v>
      </c>
      <c r="B24" s="26" t="s">
        <v>421</v>
      </c>
      <c r="C24" s="24" t="s">
        <v>57</v>
      </c>
    </row>
    <row r="25" spans="1:3" ht="15.75" thickBot="1">
      <c r="A25" s="25" t="s">
        <v>58</v>
      </c>
      <c r="B25" s="26" t="s">
        <v>419</v>
      </c>
      <c r="C25" s="24" t="s">
        <v>59</v>
      </c>
    </row>
    <row r="26" spans="1:3" ht="15.75" thickBot="1">
      <c r="A26" s="25" t="s">
        <v>60</v>
      </c>
      <c r="B26" s="26" t="s">
        <v>416</v>
      </c>
      <c r="C26" s="24" t="s">
        <v>61</v>
      </c>
    </row>
    <row r="27" spans="1:3" ht="15.75" thickBot="1">
      <c r="A27" s="25" t="s">
        <v>62</v>
      </c>
      <c r="B27" s="26" t="s">
        <v>425</v>
      </c>
      <c r="C27" s="24" t="s">
        <v>63</v>
      </c>
    </row>
    <row r="28" spans="1:3" ht="15.75" thickBot="1">
      <c r="A28" s="25" t="s">
        <v>64</v>
      </c>
      <c r="B28" s="26" t="s">
        <v>418</v>
      </c>
      <c r="C28" s="24" t="s">
        <v>65</v>
      </c>
    </row>
    <row r="29" spans="1:3" ht="15.75" thickBot="1">
      <c r="A29" s="25" t="s">
        <v>66</v>
      </c>
      <c r="B29" s="26" t="s">
        <v>405</v>
      </c>
      <c r="C29" s="24" t="s">
        <v>67</v>
      </c>
    </row>
    <row r="30" spans="1:3" ht="26.25" thickBot="1">
      <c r="A30" s="25" t="s">
        <v>68</v>
      </c>
      <c r="B30" s="27"/>
      <c r="C30" s="24" t="s">
        <v>69</v>
      </c>
    </row>
    <row r="31" spans="1:3" ht="39" thickBot="1">
      <c r="A31" s="25" t="s">
        <v>70</v>
      </c>
      <c r="B31" s="26" t="s">
        <v>395</v>
      </c>
      <c r="C31" s="24" t="s">
        <v>71</v>
      </c>
    </row>
    <row r="32" spans="1:3" ht="15.75" thickBot="1">
      <c r="A32" s="25" t="s">
        <v>72</v>
      </c>
      <c r="B32" s="26" t="s">
        <v>114</v>
      </c>
      <c r="C32" s="24" t="s">
        <v>73</v>
      </c>
    </row>
    <row r="33" spans="1:3" ht="15.75" thickBot="1">
      <c r="A33" s="25" t="s">
        <v>74</v>
      </c>
      <c r="B33" s="26"/>
      <c r="C33" s="24" t="s">
        <v>75</v>
      </c>
    </row>
    <row r="34" spans="1:3" ht="51.75" thickBot="1">
      <c r="A34" s="25" t="s">
        <v>76</v>
      </c>
      <c r="B34" s="26"/>
      <c r="C34" s="24" t="s">
        <v>77</v>
      </c>
    </row>
    <row r="35" spans="1:3" ht="15.75" thickBot="1">
      <c r="A35" s="25" t="s">
        <v>78</v>
      </c>
      <c r="B35" s="26"/>
      <c r="C35" s="24" t="s">
        <v>79</v>
      </c>
    </row>
    <row r="36" spans="1:3" ht="15.75" thickBot="1">
      <c r="A36" s="25" t="s">
        <v>80</v>
      </c>
      <c r="B36" s="26"/>
      <c r="C36" s="24" t="s">
        <v>81</v>
      </c>
    </row>
    <row r="37" spans="1:3" ht="15.75" thickBot="1">
      <c r="A37" s="25" t="s">
        <v>82</v>
      </c>
      <c r="B37" s="26"/>
      <c r="C37" s="24" t="s">
        <v>83</v>
      </c>
    </row>
    <row r="38" spans="1:3" ht="15.75" thickBot="1">
      <c r="A38" s="25" t="s">
        <v>84</v>
      </c>
      <c r="B38" s="26"/>
      <c r="C38" s="24" t="s">
        <v>85</v>
      </c>
    </row>
    <row r="39" spans="1:3" ht="26.25" thickBot="1">
      <c r="A39" s="25" t="s">
        <v>86</v>
      </c>
      <c r="B39" s="26"/>
      <c r="C39" s="24" t="s">
        <v>87</v>
      </c>
    </row>
    <row r="40" spans="1:3" ht="15.75" thickBot="1">
      <c r="A40" s="25" t="s">
        <v>88</v>
      </c>
      <c r="B40" s="26"/>
      <c r="C40" s="24" t="s">
        <v>89</v>
      </c>
    </row>
    <row r="41" spans="1:3" ht="26.25" thickBot="1">
      <c r="A41" s="25" t="s">
        <v>90</v>
      </c>
      <c r="B41" s="26"/>
      <c r="C41" s="24" t="s">
        <v>91</v>
      </c>
    </row>
    <row r="42" spans="1:3" ht="26.25" thickBot="1">
      <c r="A42" s="25" t="s">
        <v>92</v>
      </c>
      <c r="B42" s="26"/>
      <c r="C42" s="24" t="s">
        <v>93</v>
      </c>
    </row>
    <row r="43" spans="1:3" ht="15.75" thickBot="1">
      <c r="A43" s="25" t="s">
        <v>94</v>
      </c>
      <c r="B43" s="26"/>
      <c r="C43" s="24" t="s">
        <v>95</v>
      </c>
    </row>
    <row r="44" spans="1:3" ht="15.75" thickBot="1">
      <c r="A44" s="25" t="s">
        <v>96</v>
      </c>
      <c r="B44" s="26"/>
      <c r="C44" s="24" t="s">
        <v>97</v>
      </c>
    </row>
    <row r="45" spans="1:3" ht="51.75" thickBot="1">
      <c r="A45" s="25" t="s">
        <v>98</v>
      </c>
      <c r="B45" s="26" t="s">
        <v>112</v>
      </c>
      <c r="C45" s="24" t="s">
        <v>99</v>
      </c>
    </row>
    <row r="46" spans="1:3" ht="77.25" thickBot="1">
      <c r="A46" s="25" t="s">
        <v>100</v>
      </c>
      <c r="B46" s="26"/>
      <c r="C46" s="24" t="s">
        <v>101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orientation="portrait" r:id="rId1"/>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71B5C-B241-4715-9717-111351DCD998}">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426</v>
      </c>
    </row>
    <row r="3" spans="1:4" ht="17.25" customHeight="1">
      <c r="A3" s="262" t="s">
        <v>427</v>
      </c>
      <c r="B3" s="262"/>
      <c r="C3" s="263" t="s">
        <v>428</v>
      </c>
      <c r="D3" s="263"/>
    </row>
    <row r="4" spans="1:4">
      <c r="A4" s="30"/>
      <c r="B4" s="31" t="s">
        <v>19</v>
      </c>
      <c r="C4" s="31" t="s">
        <v>106</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49022</v>
      </c>
      <c r="C8" s="38">
        <v>62526</v>
      </c>
      <c r="D8" s="34" t="s">
        <v>434</v>
      </c>
    </row>
    <row r="9" spans="1:4" ht="15.75" thickBot="1">
      <c r="A9" s="37" t="s">
        <v>435</v>
      </c>
      <c r="B9" s="38"/>
      <c r="C9" s="38"/>
      <c r="D9" s="34" t="s">
        <v>436</v>
      </c>
    </row>
    <row r="10" spans="1:4" ht="15.75" thickBot="1">
      <c r="A10" s="37" t="s">
        <v>437</v>
      </c>
      <c r="B10" s="38"/>
      <c r="C10" s="38"/>
      <c r="D10" s="34" t="s">
        <v>438</v>
      </c>
    </row>
    <row r="11" spans="1:4" ht="26.25" thickBot="1">
      <c r="A11" s="37" t="s">
        <v>439</v>
      </c>
      <c r="B11" s="38"/>
      <c r="C11" s="38"/>
      <c r="D11" s="34" t="s">
        <v>440</v>
      </c>
    </row>
    <row r="12" spans="1:4" ht="15.75" thickBot="1">
      <c r="A12" s="37" t="s">
        <v>441</v>
      </c>
      <c r="B12" s="33"/>
      <c r="C12" s="33"/>
      <c r="D12" s="34" t="s">
        <v>442</v>
      </c>
    </row>
    <row r="13" spans="1:4" ht="39" thickBot="1">
      <c r="A13" s="39" t="s">
        <v>443</v>
      </c>
      <c r="B13" s="38"/>
      <c r="C13" s="38"/>
      <c r="D13" s="34" t="s">
        <v>444</v>
      </c>
    </row>
    <row r="14" spans="1:4" ht="39" thickBot="1">
      <c r="A14" s="39" t="s">
        <v>445</v>
      </c>
      <c r="B14" s="38"/>
      <c r="C14" s="38"/>
      <c r="D14" s="34" t="s">
        <v>446</v>
      </c>
    </row>
    <row r="15" spans="1:4" ht="26.25" thickBot="1">
      <c r="A15" s="39" t="s">
        <v>447</v>
      </c>
      <c r="B15" s="38"/>
      <c r="C15" s="38"/>
      <c r="D15" s="34" t="s">
        <v>448</v>
      </c>
    </row>
    <row r="16" spans="1:4" ht="15.75" thickBot="1">
      <c r="A16" s="39" t="s">
        <v>449</v>
      </c>
      <c r="B16" s="38">
        <v>4466</v>
      </c>
      <c r="C16" s="38">
        <v>2909</v>
      </c>
      <c r="D16" s="34" t="s">
        <v>450</v>
      </c>
    </row>
    <row r="17" spans="1:4" ht="15.75" thickBot="1">
      <c r="A17" s="37" t="s">
        <v>451</v>
      </c>
      <c r="B17" s="38"/>
      <c r="C17" s="38"/>
      <c r="D17" s="34" t="s">
        <v>452</v>
      </c>
    </row>
    <row r="18" spans="1:4" ht="15.75" thickBot="1">
      <c r="A18" s="37" t="s">
        <v>453</v>
      </c>
      <c r="B18" s="33"/>
      <c r="C18" s="33"/>
      <c r="D18" s="34" t="s">
        <v>454</v>
      </c>
    </row>
    <row r="19" spans="1:4" ht="15.75" thickBot="1">
      <c r="A19" s="39" t="s">
        <v>455</v>
      </c>
      <c r="B19" s="38">
        <v>61987</v>
      </c>
      <c r="C19" s="38">
        <v>7759</v>
      </c>
      <c r="D19" s="34" t="s">
        <v>456</v>
      </c>
    </row>
    <row r="20" spans="1:4" ht="15.75" thickBot="1">
      <c r="A20" s="39" t="s">
        <v>457</v>
      </c>
      <c r="B20" s="38">
        <v>286840</v>
      </c>
      <c r="C20" s="38">
        <v>291748</v>
      </c>
      <c r="D20" s="34" t="s">
        <v>458</v>
      </c>
    </row>
    <row r="21" spans="1:4" ht="15.75" thickBot="1">
      <c r="A21" s="37" t="s">
        <v>459</v>
      </c>
      <c r="B21" s="38"/>
      <c r="C21" s="38"/>
      <c r="D21" s="34" t="s">
        <v>460</v>
      </c>
    </row>
    <row r="22" spans="1:4" ht="15.75" thickBot="1">
      <c r="A22" s="37" t="s">
        <v>461</v>
      </c>
      <c r="B22" s="33"/>
      <c r="C22" s="33"/>
      <c r="D22" s="34" t="s">
        <v>462</v>
      </c>
    </row>
    <row r="23" spans="1:4" ht="15.75" thickBot="1">
      <c r="A23" s="39" t="s">
        <v>463</v>
      </c>
      <c r="B23" s="38"/>
      <c r="C23" s="38"/>
      <c r="D23" s="34" t="s">
        <v>464</v>
      </c>
    </row>
    <row r="24" spans="1:4" ht="15.75" thickBot="1">
      <c r="A24" s="39" t="s">
        <v>465</v>
      </c>
      <c r="B24" s="38"/>
      <c r="C24" s="38"/>
      <c r="D24" s="34" t="s">
        <v>466</v>
      </c>
    </row>
    <row r="25" spans="1:4" ht="15.75" thickBot="1">
      <c r="A25" s="37" t="s">
        <v>467</v>
      </c>
      <c r="B25" s="33"/>
      <c r="C25" s="33"/>
      <c r="D25" s="34" t="s">
        <v>468</v>
      </c>
    </row>
    <row r="26" spans="1:4" ht="26.25" thickBot="1">
      <c r="A26" s="39" t="s">
        <v>469</v>
      </c>
      <c r="B26" s="38"/>
      <c r="C26" s="38"/>
      <c r="D26" s="34" t="s">
        <v>470</v>
      </c>
    </row>
    <row r="27" spans="1:4" ht="26.25" thickBot="1">
      <c r="A27" s="39" t="s">
        <v>471</v>
      </c>
      <c r="B27" s="38"/>
      <c r="C27" s="38"/>
      <c r="D27" s="34" t="s">
        <v>472</v>
      </c>
    </row>
    <row r="28" spans="1:4" ht="15.75" thickBot="1">
      <c r="A28" s="37" t="s">
        <v>473</v>
      </c>
      <c r="B28" s="38"/>
      <c r="C28" s="38"/>
      <c r="D28" s="34" t="s">
        <v>474</v>
      </c>
    </row>
    <row r="29" spans="1:4" ht="15.75" thickBot="1">
      <c r="A29" s="37" t="s">
        <v>475</v>
      </c>
      <c r="B29" s="33"/>
      <c r="C29" s="33"/>
      <c r="D29" s="34" t="s">
        <v>476</v>
      </c>
    </row>
    <row r="30" spans="1:4" ht="26.25" thickBot="1">
      <c r="A30" s="39" t="s">
        <v>477</v>
      </c>
      <c r="B30" s="38"/>
      <c r="C30" s="38"/>
      <c r="D30" s="34" t="s">
        <v>478</v>
      </c>
    </row>
    <row r="31" spans="1:4" ht="26.25" thickBot="1">
      <c r="A31" s="39" t="s">
        <v>479</v>
      </c>
      <c r="B31" s="38"/>
      <c r="C31" s="38"/>
      <c r="D31" s="34" t="s">
        <v>480</v>
      </c>
    </row>
    <row r="32" spans="1:4" ht="15.75" thickBot="1">
      <c r="A32" s="37" t="s">
        <v>481</v>
      </c>
      <c r="B32" s="38"/>
      <c r="C32" s="38"/>
      <c r="D32" s="34" t="s">
        <v>482</v>
      </c>
    </row>
    <row r="33" spans="1:4" ht="26.25" thickBot="1">
      <c r="A33" s="37" t="s">
        <v>483</v>
      </c>
      <c r="B33" s="38"/>
      <c r="C33" s="38"/>
      <c r="D33" s="34" t="s">
        <v>484</v>
      </c>
    </row>
    <row r="34" spans="1:4" ht="15.75" thickBot="1">
      <c r="A34" s="37" t="s">
        <v>485</v>
      </c>
      <c r="B34" s="38"/>
      <c r="C34" s="38"/>
      <c r="D34" s="34" t="s">
        <v>486</v>
      </c>
    </row>
    <row r="35" spans="1:4" ht="15.75" thickBot="1">
      <c r="A35" s="37" t="s">
        <v>487</v>
      </c>
      <c r="B35" s="38"/>
      <c r="C35" s="38"/>
      <c r="D35" s="34" t="s">
        <v>488</v>
      </c>
    </row>
    <row r="36" spans="1:4" ht="15.75" thickBot="1">
      <c r="A36" s="37" t="s">
        <v>489</v>
      </c>
      <c r="B36" s="33"/>
      <c r="C36" s="33"/>
      <c r="D36" s="34" t="s">
        <v>490</v>
      </c>
    </row>
    <row r="37" spans="1:4" ht="15.75" thickBot="1">
      <c r="A37" s="39" t="s">
        <v>491</v>
      </c>
      <c r="B37" s="38"/>
      <c r="C37" s="38"/>
      <c r="D37" s="34" t="s">
        <v>492</v>
      </c>
    </row>
    <row r="38" spans="1:4" ht="15.75" thickBot="1">
      <c r="A38" s="39" t="s">
        <v>493</v>
      </c>
      <c r="B38" s="38"/>
      <c r="C38" s="38"/>
      <c r="D38" s="34" t="s">
        <v>494</v>
      </c>
    </row>
    <row r="39" spans="1:4" ht="15.75" thickBot="1">
      <c r="A39" s="37" t="s">
        <v>495</v>
      </c>
      <c r="B39" s="33"/>
      <c r="C39" s="33"/>
      <c r="D39" s="34" t="s">
        <v>496</v>
      </c>
    </row>
    <row r="40" spans="1:4" ht="15.75" thickBot="1">
      <c r="A40" s="39" t="s">
        <v>497</v>
      </c>
      <c r="B40" s="38"/>
      <c r="C40" s="38"/>
      <c r="D40" s="34" t="s">
        <v>498</v>
      </c>
    </row>
    <row r="41" spans="1:4" ht="15.75" thickBot="1">
      <c r="A41" s="39" t="s">
        <v>499</v>
      </c>
      <c r="B41" s="38"/>
      <c r="C41" s="38"/>
      <c r="D41" s="34" t="s">
        <v>500</v>
      </c>
    </row>
    <row r="42" spans="1:4" ht="15.75" thickBot="1">
      <c r="A42" s="39" t="s">
        <v>495</v>
      </c>
      <c r="B42" s="38">
        <v>100329</v>
      </c>
      <c r="C42" s="38">
        <v>94558</v>
      </c>
      <c r="D42" s="34" t="s">
        <v>496</v>
      </c>
    </row>
    <row r="43" spans="1:4" ht="15.75" thickBot="1">
      <c r="A43" s="37" t="s">
        <v>501</v>
      </c>
      <c r="B43" s="38"/>
      <c r="C43" s="38"/>
      <c r="D43" s="34" t="s">
        <v>502</v>
      </c>
    </row>
    <row r="44" spans="1:4" ht="15.75" thickBot="1">
      <c r="A44" s="37" t="s">
        <v>503</v>
      </c>
      <c r="B44" s="38">
        <v>6381</v>
      </c>
      <c r="C44" s="38">
        <v>3766</v>
      </c>
      <c r="D44" s="34" t="s">
        <v>504</v>
      </c>
    </row>
    <row r="45" spans="1:4" ht="15.75" thickBot="1">
      <c r="A45" s="37" t="s">
        <v>505</v>
      </c>
      <c r="B45" s="38"/>
      <c r="C45" s="38"/>
      <c r="D45" s="34" t="s">
        <v>506</v>
      </c>
    </row>
    <row r="46" spans="1:4" ht="15.75" thickBot="1">
      <c r="A46" s="37" t="s">
        <v>507</v>
      </c>
      <c r="B46" s="33"/>
      <c r="C46" s="33"/>
      <c r="D46" s="34" t="s">
        <v>508</v>
      </c>
    </row>
    <row r="47" spans="1:4" ht="15.75" thickBot="1">
      <c r="A47" s="39" t="s">
        <v>509</v>
      </c>
      <c r="B47" s="38"/>
      <c r="C47" s="38"/>
      <c r="D47" s="34" t="s">
        <v>510</v>
      </c>
    </row>
    <row r="48" spans="1:4" ht="26.25" thickBot="1">
      <c r="A48" s="39" t="s">
        <v>511</v>
      </c>
      <c r="B48" s="38"/>
      <c r="C48" s="38"/>
      <c r="D48" s="34" t="s">
        <v>512</v>
      </c>
    </row>
    <row r="49" spans="1:4" ht="15.75" thickBot="1">
      <c r="A49" s="39" t="s">
        <v>513</v>
      </c>
      <c r="B49" s="38">
        <v>34965</v>
      </c>
      <c r="C49" s="38">
        <v>15579</v>
      </c>
      <c r="D49" s="34" t="s">
        <v>514</v>
      </c>
    </row>
    <row r="50" spans="1:4" ht="15.75" thickBot="1">
      <c r="A50" s="37" t="s">
        <v>515</v>
      </c>
      <c r="B50" s="38">
        <v>14297</v>
      </c>
      <c r="C50" s="38">
        <v>14913</v>
      </c>
      <c r="D50" s="34" t="s">
        <v>516</v>
      </c>
    </row>
    <row r="51" spans="1:4" ht="26.25" thickBot="1">
      <c r="A51" s="37" t="s">
        <v>517</v>
      </c>
      <c r="B51" s="38"/>
      <c r="C51" s="38"/>
      <c r="D51" s="34" t="s">
        <v>518</v>
      </c>
    </row>
    <row r="52" spans="1:4" ht="26.25" thickBot="1">
      <c r="A52" s="37" t="s">
        <v>519</v>
      </c>
      <c r="B52" s="38"/>
      <c r="C52" s="38"/>
      <c r="D52" s="34" t="s">
        <v>520</v>
      </c>
    </row>
    <row r="53" spans="1:4" ht="26.25" thickBot="1">
      <c r="A53" s="37" t="s">
        <v>521</v>
      </c>
      <c r="B53" s="38"/>
      <c r="C53" s="38"/>
      <c r="D53" s="34" t="s">
        <v>522</v>
      </c>
    </row>
    <row r="54" spans="1:4" ht="15.75" thickBot="1">
      <c r="A54" s="37" t="s">
        <v>523</v>
      </c>
      <c r="B54" s="38"/>
      <c r="C54" s="38"/>
      <c r="D54" s="34" t="s">
        <v>524</v>
      </c>
    </row>
    <row r="55" spans="1:4" ht="15.75" thickBot="1">
      <c r="A55" s="37" t="s">
        <v>525</v>
      </c>
      <c r="B55" s="38">
        <v>0</v>
      </c>
      <c r="C55" s="38">
        <v>2911</v>
      </c>
      <c r="D55" s="34" t="s">
        <v>526</v>
      </c>
    </row>
    <row r="56" spans="1:4" ht="39" thickBot="1">
      <c r="A56" s="37" t="s">
        <v>527</v>
      </c>
      <c r="B56" s="38"/>
      <c r="C56" s="38"/>
      <c r="D56" s="34" t="s">
        <v>528</v>
      </c>
    </row>
    <row r="57" spans="1:4" ht="51.75" thickBot="1">
      <c r="A57" s="37" t="s">
        <v>529</v>
      </c>
      <c r="B57" s="38"/>
      <c r="C57" s="38"/>
      <c r="D57" s="34" t="s">
        <v>530</v>
      </c>
    </row>
    <row r="58" spans="1:4" ht="15.75" thickBot="1">
      <c r="A58" s="37" t="s">
        <v>531</v>
      </c>
      <c r="B58" s="38">
        <v>558287</v>
      </c>
      <c r="C58" s="38">
        <v>496669</v>
      </c>
      <c r="D58" s="34" t="s">
        <v>532</v>
      </c>
    </row>
    <row r="59" spans="1:4" ht="15.75" thickBot="1">
      <c r="A59" s="36" t="s">
        <v>533</v>
      </c>
      <c r="B59" s="33"/>
      <c r="C59" s="33"/>
      <c r="D59" s="34" t="s">
        <v>534</v>
      </c>
    </row>
    <row r="60" spans="1:4" ht="26.25" thickBot="1">
      <c r="A60" s="37" t="s">
        <v>535</v>
      </c>
      <c r="B60" s="38"/>
      <c r="C60" s="38"/>
      <c r="D60" s="34" t="s">
        <v>536</v>
      </c>
    </row>
    <row r="61" spans="1:4" ht="26.25" thickBot="1">
      <c r="A61" s="37" t="s">
        <v>537</v>
      </c>
      <c r="B61" s="38"/>
      <c r="C61" s="38"/>
      <c r="D61" s="34" t="s">
        <v>538</v>
      </c>
    </row>
    <row r="62" spans="1:4" ht="15.75" thickBot="1">
      <c r="A62" s="37" t="s">
        <v>539</v>
      </c>
      <c r="B62" s="38"/>
      <c r="C62" s="38"/>
      <c r="D62" s="34" t="s">
        <v>540</v>
      </c>
    </row>
    <row r="63" spans="1:4" ht="15.75" thickBot="1">
      <c r="A63" s="37" t="s">
        <v>541</v>
      </c>
      <c r="B63" s="38"/>
      <c r="C63" s="38"/>
      <c r="D63" s="34" t="s">
        <v>542</v>
      </c>
    </row>
    <row r="64" spans="1:4" ht="15.75" thickBot="1">
      <c r="A64" s="37" t="s">
        <v>543</v>
      </c>
      <c r="B64" s="38"/>
      <c r="C64" s="38"/>
      <c r="D64" s="34" t="s">
        <v>544</v>
      </c>
    </row>
    <row r="65" spans="1:4" ht="15.75" thickBot="1">
      <c r="A65" s="37" t="s">
        <v>545</v>
      </c>
      <c r="B65" s="33"/>
      <c r="C65" s="33"/>
      <c r="D65" s="34" t="s">
        <v>546</v>
      </c>
    </row>
    <row r="66" spans="1:4" ht="26.25" thickBot="1">
      <c r="A66" s="39" t="s">
        <v>547</v>
      </c>
      <c r="B66" s="38"/>
      <c r="C66" s="38"/>
      <c r="D66" s="34" t="s">
        <v>548</v>
      </c>
    </row>
    <row r="67" spans="1:4" ht="26.25" thickBot="1">
      <c r="A67" s="39" t="s">
        <v>549</v>
      </c>
      <c r="B67" s="38"/>
      <c r="C67" s="38"/>
      <c r="D67" s="34" t="s">
        <v>550</v>
      </c>
    </row>
    <row r="68" spans="1:4" ht="15.75" thickBot="1">
      <c r="A68" s="37" t="s">
        <v>551</v>
      </c>
      <c r="B68" s="33"/>
      <c r="C68" s="33"/>
      <c r="D68" s="34" t="s">
        <v>552</v>
      </c>
    </row>
    <row r="69" spans="1:4" ht="26.25" thickBot="1">
      <c r="A69" s="39" t="s">
        <v>553</v>
      </c>
      <c r="B69" s="38"/>
      <c r="C69" s="38"/>
      <c r="D69" s="34" t="s">
        <v>554</v>
      </c>
    </row>
    <row r="70" spans="1:4" ht="26.25" thickBot="1">
      <c r="A70" s="39" t="s">
        <v>555</v>
      </c>
      <c r="B70" s="38"/>
      <c r="C70" s="38"/>
      <c r="D70" s="34" t="s">
        <v>556</v>
      </c>
    </row>
    <row r="71" spans="1:4" ht="26.25" thickBot="1">
      <c r="A71" s="37" t="s">
        <v>557</v>
      </c>
      <c r="B71" s="38"/>
      <c r="C71" s="38"/>
      <c r="D71" s="34" t="s">
        <v>558</v>
      </c>
    </row>
    <row r="72" spans="1:4" ht="26.25" thickBot="1">
      <c r="A72" s="37" t="s">
        <v>559</v>
      </c>
      <c r="B72" s="33"/>
      <c r="C72" s="33"/>
      <c r="D72" s="34" t="s">
        <v>560</v>
      </c>
    </row>
    <row r="73" spans="1:4" ht="26.25" thickBot="1">
      <c r="A73" s="39" t="s">
        <v>561</v>
      </c>
      <c r="B73" s="38"/>
      <c r="C73" s="38"/>
      <c r="D73" s="34" t="s">
        <v>562</v>
      </c>
    </row>
    <row r="74" spans="1:4" ht="15.75" thickBot="1">
      <c r="A74" s="39" t="s">
        <v>563</v>
      </c>
      <c r="B74" s="38"/>
      <c r="C74" s="38"/>
      <c r="D74" s="34" t="s">
        <v>564</v>
      </c>
    </row>
    <row r="75" spans="1:4" ht="15.75" thickBot="1">
      <c r="A75" s="37" t="s">
        <v>565</v>
      </c>
      <c r="B75" s="38"/>
      <c r="C75" s="38"/>
      <c r="D75" s="34" t="s">
        <v>566</v>
      </c>
    </row>
    <row r="76" spans="1:4" ht="15.75" thickBot="1">
      <c r="A76" s="37" t="s">
        <v>567</v>
      </c>
      <c r="B76" s="33"/>
      <c r="C76" s="33"/>
      <c r="D76" s="34" t="s">
        <v>568</v>
      </c>
    </row>
    <row r="77" spans="1:4" ht="26.25" thickBot="1">
      <c r="A77" s="39" t="s">
        <v>569</v>
      </c>
      <c r="B77" s="38"/>
      <c r="C77" s="38"/>
      <c r="D77" s="34" t="s">
        <v>570</v>
      </c>
    </row>
    <row r="78" spans="1:4" ht="26.25" thickBot="1">
      <c r="A78" s="39" t="s">
        <v>571</v>
      </c>
      <c r="B78" s="38"/>
      <c r="C78" s="38"/>
      <c r="D78" s="34" t="s">
        <v>572</v>
      </c>
    </row>
    <row r="79" spans="1:4" ht="15.75" thickBot="1">
      <c r="A79" s="39" t="s">
        <v>573</v>
      </c>
      <c r="B79" s="38"/>
      <c r="C79" s="38"/>
      <c r="D79" s="34" t="s">
        <v>574</v>
      </c>
    </row>
    <row r="80" spans="1:4" ht="15.75" thickBot="1">
      <c r="A80" s="37" t="s">
        <v>575</v>
      </c>
      <c r="B80" s="33"/>
      <c r="C80" s="33"/>
      <c r="D80" s="34" t="s">
        <v>576</v>
      </c>
    </row>
    <row r="81" spans="1:4" ht="39" thickBot="1">
      <c r="A81" s="39" t="s">
        <v>577</v>
      </c>
      <c r="B81" s="38"/>
      <c r="C81" s="38"/>
      <c r="D81" s="34" t="s">
        <v>578</v>
      </c>
    </row>
    <row r="82" spans="1:4" ht="39" thickBot="1">
      <c r="A82" s="39" t="s">
        <v>579</v>
      </c>
      <c r="B82" s="38"/>
      <c r="C82" s="38"/>
      <c r="D82" s="34" t="s">
        <v>580</v>
      </c>
    </row>
    <row r="83" spans="1:4" ht="26.25" thickBot="1">
      <c r="A83" s="39" t="s">
        <v>581</v>
      </c>
      <c r="B83" s="38"/>
      <c r="C83" s="38"/>
      <c r="D83" s="34" t="s">
        <v>582</v>
      </c>
    </row>
    <row r="84" spans="1:4" ht="26.25" thickBot="1">
      <c r="A84" s="39" t="s">
        <v>583</v>
      </c>
      <c r="B84" s="38">
        <v>2431</v>
      </c>
      <c r="C84" s="38">
        <v>2351</v>
      </c>
      <c r="D84" s="34" t="s">
        <v>584</v>
      </c>
    </row>
    <row r="85" spans="1:4" ht="15.75" thickBot="1">
      <c r="A85" s="37" t="s">
        <v>585</v>
      </c>
      <c r="B85" s="38"/>
      <c r="C85" s="38"/>
      <c r="D85" s="34" t="s">
        <v>586</v>
      </c>
    </row>
    <row r="86" spans="1:4" ht="15.75" thickBot="1">
      <c r="A86" s="37" t="s">
        <v>587</v>
      </c>
      <c r="B86" s="38"/>
      <c r="C86" s="38"/>
      <c r="D86" s="34" t="s">
        <v>588</v>
      </c>
    </row>
    <row r="87" spans="1:4" ht="15.75" thickBot="1">
      <c r="A87" s="37" t="s">
        <v>589</v>
      </c>
      <c r="B87" s="38"/>
      <c r="C87" s="38"/>
      <c r="D87" s="34" t="s">
        <v>590</v>
      </c>
    </row>
    <row r="88" spans="1:4" ht="15.75" thickBot="1">
      <c r="A88" s="37" t="s">
        <v>591</v>
      </c>
      <c r="B88" s="38"/>
      <c r="C88" s="38"/>
      <c r="D88" s="34" t="s">
        <v>592</v>
      </c>
    </row>
    <row r="89" spans="1:4" ht="15.75" thickBot="1">
      <c r="A89" s="37" t="s">
        <v>593</v>
      </c>
      <c r="B89" s="33"/>
      <c r="C89" s="33"/>
      <c r="D89" s="34" t="s">
        <v>594</v>
      </c>
    </row>
    <row r="90" spans="1:4" ht="26.25" thickBot="1">
      <c r="A90" s="39" t="s">
        <v>595</v>
      </c>
      <c r="B90" s="38"/>
      <c r="C90" s="38"/>
      <c r="D90" s="34" t="s">
        <v>596</v>
      </c>
    </row>
    <row r="91" spans="1:4" ht="15.75" thickBot="1">
      <c r="A91" s="39" t="s">
        <v>597</v>
      </c>
      <c r="B91" s="38"/>
      <c r="C91" s="38"/>
      <c r="D91" s="34" t="s">
        <v>598</v>
      </c>
    </row>
    <row r="92" spans="1:4" ht="15.75" thickBot="1">
      <c r="A92" s="39" t="s">
        <v>599</v>
      </c>
      <c r="B92" s="38"/>
      <c r="C92" s="38"/>
      <c r="D92" s="34" t="s">
        <v>594</v>
      </c>
    </row>
    <row r="93" spans="1:4" ht="15.75" thickBot="1">
      <c r="A93" s="37" t="s">
        <v>600</v>
      </c>
      <c r="B93" s="38"/>
      <c r="C93" s="38"/>
      <c r="D93" s="34" t="s">
        <v>601</v>
      </c>
    </row>
    <row r="94" spans="1:4" ht="15.75" thickBot="1">
      <c r="A94" s="37" t="s">
        <v>602</v>
      </c>
      <c r="B94" s="33"/>
      <c r="C94" s="33"/>
      <c r="D94" s="34" t="s">
        <v>603</v>
      </c>
    </row>
    <row r="95" spans="1:4" ht="26.25" thickBot="1">
      <c r="A95" s="39" t="s">
        <v>604</v>
      </c>
      <c r="B95" s="38"/>
      <c r="C95" s="38"/>
      <c r="D95" s="34" t="s">
        <v>605</v>
      </c>
    </row>
    <row r="96" spans="1:4" ht="26.25" thickBot="1">
      <c r="A96" s="39" t="s">
        <v>606</v>
      </c>
      <c r="B96" s="38"/>
      <c r="C96" s="38"/>
      <c r="D96" s="34" t="s">
        <v>607</v>
      </c>
    </row>
    <row r="97" spans="1:4" ht="15.75" thickBot="1">
      <c r="A97" s="37" t="s">
        <v>608</v>
      </c>
      <c r="B97" s="33"/>
      <c r="C97" s="33"/>
      <c r="D97" s="34" t="s">
        <v>609</v>
      </c>
    </row>
    <row r="98" spans="1:4" ht="26.25" thickBot="1">
      <c r="A98" s="39" t="s">
        <v>610</v>
      </c>
      <c r="B98" s="38"/>
      <c r="C98" s="38"/>
      <c r="D98" s="34" t="s">
        <v>611</v>
      </c>
    </row>
    <row r="99" spans="1:4" ht="26.25" thickBot="1">
      <c r="A99" s="39" t="s">
        <v>612</v>
      </c>
      <c r="B99" s="38"/>
      <c r="C99" s="38"/>
      <c r="D99" s="34" t="s">
        <v>613</v>
      </c>
    </row>
    <row r="100" spans="1:4" ht="15.75" thickBot="1">
      <c r="A100" s="37" t="s">
        <v>614</v>
      </c>
      <c r="B100" s="38"/>
      <c r="C100" s="38"/>
      <c r="D100" s="34" t="s">
        <v>615</v>
      </c>
    </row>
    <row r="101" spans="1:4" ht="15.75" thickBot="1">
      <c r="A101" s="37" t="s">
        <v>616</v>
      </c>
      <c r="B101" s="38"/>
      <c r="C101" s="38"/>
      <c r="D101" s="34" t="s">
        <v>617</v>
      </c>
    </row>
    <row r="102" spans="1:4" ht="15.75" thickBot="1">
      <c r="A102" s="37" t="s">
        <v>618</v>
      </c>
      <c r="B102" s="38"/>
      <c r="C102" s="38"/>
      <c r="D102" s="34" t="s">
        <v>619</v>
      </c>
    </row>
    <row r="103" spans="1:4" ht="15.75" thickBot="1">
      <c r="A103" s="37" t="s">
        <v>620</v>
      </c>
      <c r="B103" s="38">
        <v>32065</v>
      </c>
      <c r="C103" s="38">
        <v>32206</v>
      </c>
      <c r="D103" s="34" t="s">
        <v>621</v>
      </c>
    </row>
    <row r="104" spans="1:4" ht="15.75" thickBot="1">
      <c r="A104" s="37" t="s">
        <v>622</v>
      </c>
      <c r="B104" s="38"/>
      <c r="C104" s="38"/>
      <c r="D104" s="34" t="s">
        <v>623</v>
      </c>
    </row>
    <row r="105" spans="1:4" ht="15.75" thickBot="1">
      <c r="A105" s="37" t="s">
        <v>624</v>
      </c>
      <c r="B105" s="38">
        <v>1052251</v>
      </c>
      <c r="C105" s="38">
        <v>1078596</v>
      </c>
      <c r="D105" s="34" t="s">
        <v>625</v>
      </c>
    </row>
    <row r="106" spans="1:4" ht="15.75" thickBot="1">
      <c r="A106" s="37" t="s">
        <v>626</v>
      </c>
      <c r="B106" s="38"/>
      <c r="C106" s="38"/>
      <c r="D106" s="34" t="s">
        <v>627</v>
      </c>
    </row>
    <row r="107" spans="1:4" ht="15.75" thickBot="1">
      <c r="A107" s="37" t="s">
        <v>628</v>
      </c>
      <c r="B107" s="38"/>
      <c r="C107" s="38"/>
      <c r="D107" s="34" t="s">
        <v>629</v>
      </c>
    </row>
    <row r="108" spans="1:4" ht="15.75" thickBot="1">
      <c r="A108" s="37" t="s">
        <v>630</v>
      </c>
      <c r="B108" s="38"/>
      <c r="C108" s="38"/>
      <c r="D108" s="34" t="s">
        <v>631</v>
      </c>
    </row>
    <row r="109" spans="1:4" ht="15.75" thickBot="1">
      <c r="A109" s="37" t="s">
        <v>632</v>
      </c>
      <c r="B109" s="38"/>
      <c r="C109" s="38"/>
      <c r="D109" s="34" t="s">
        <v>633</v>
      </c>
    </row>
    <row r="110" spans="1:4" ht="15.75" thickBot="1">
      <c r="A110" s="37" t="s">
        <v>634</v>
      </c>
      <c r="B110" s="38"/>
      <c r="C110" s="38"/>
      <c r="D110" s="34" t="s">
        <v>635</v>
      </c>
    </row>
    <row r="111" spans="1:4" ht="15.75" thickBot="1">
      <c r="A111" s="37" t="s">
        <v>636</v>
      </c>
      <c r="B111" s="38"/>
      <c r="C111" s="38"/>
      <c r="D111" s="34" t="s">
        <v>637</v>
      </c>
    </row>
    <row r="112" spans="1:4" ht="15.75" thickBot="1">
      <c r="A112" s="37" t="s">
        <v>638</v>
      </c>
      <c r="B112" s="38"/>
      <c r="C112" s="38"/>
      <c r="D112" s="34" t="s">
        <v>639</v>
      </c>
    </row>
    <row r="113" spans="1:4" ht="26.25" thickBot="1">
      <c r="A113" s="37" t="s">
        <v>640</v>
      </c>
      <c r="B113" s="38"/>
      <c r="C113" s="38"/>
      <c r="D113" s="34" t="s">
        <v>641</v>
      </c>
    </row>
    <row r="114" spans="1:4" ht="26.25" thickBot="1">
      <c r="A114" s="37" t="s">
        <v>642</v>
      </c>
      <c r="B114" s="38"/>
      <c r="C114" s="38"/>
      <c r="D114" s="34" t="s">
        <v>643</v>
      </c>
    </row>
    <row r="115" spans="1:4" ht="15.75" thickBot="1">
      <c r="A115" s="37" t="s">
        <v>644</v>
      </c>
      <c r="B115" s="33"/>
      <c r="C115" s="33"/>
      <c r="D115" s="34" t="s">
        <v>645</v>
      </c>
    </row>
    <row r="116" spans="1:4" ht="26.25" thickBot="1">
      <c r="A116" s="39" t="s">
        <v>646</v>
      </c>
      <c r="B116" s="38"/>
      <c r="C116" s="38"/>
      <c r="D116" s="34" t="s">
        <v>647</v>
      </c>
    </row>
    <row r="117" spans="1:4" ht="26.25" thickBot="1">
      <c r="A117" s="39" t="s">
        <v>648</v>
      </c>
      <c r="B117" s="38"/>
      <c r="C117" s="38"/>
      <c r="D117" s="34" t="s">
        <v>649</v>
      </c>
    </row>
    <row r="118" spans="1:4" ht="39" thickBot="1">
      <c r="A118" s="39" t="s">
        <v>650</v>
      </c>
      <c r="B118" s="38"/>
      <c r="C118" s="38"/>
      <c r="D118" s="34" t="s">
        <v>651</v>
      </c>
    </row>
    <row r="119" spans="1:4" ht="39" thickBot="1">
      <c r="A119" s="39" t="s">
        <v>652</v>
      </c>
      <c r="B119" s="38"/>
      <c r="C119" s="38"/>
      <c r="D119" s="34" t="s">
        <v>653</v>
      </c>
    </row>
    <row r="120" spans="1:4" ht="15.75" thickBot="1">
      <c r="A120" s="39" t="s">
        <v>654</v>
      </c>
      <c r="B120" s="38"/>
      <c r="C120" s="38"/>
      <c r="D120" s="34" t="s">
        <v>655</v>
      </c>
    </row>
    <row r="121" spans="1:4" ht="26.25" thickBot="1">
      <c r="A121" s="37" t="s">
        <v>656</v>
      </c>
      <c r="B121" s="38">
        <v>8801</v>
      </c>
      <c r="C121" s="38">
        <v>8381</v>
      </c>
      <c r="D121" s="34" t="s">
        <v>657</v>
      </c>
    </row>
    <row r="122" spans="1:4" ht="15.75" thickBot="1">
      <c r="A122" s="37" t="s">
        <v>658</v>
      </c>
      <c r="B122" s="38"/>
      <c r="C122" s="38"/>
      <c r="D122" s="34" t="s">
        <v>659</v>
      </c>
    </row>
    <row r="123" spans="1:4" ht="15.75" thickBot="1">
      <c r="A123" s="37" t="s">
        <v>660</v>
      </c>
      <c r="B123" s="38">
        <v>729</v>
      </c>
      <c r="C123" s="38">
        <v>729</v>
      </c>
      <c r="D123" s="34" t="s">
        <v>660</v>
      </c>
    </row>
    <row r="124" spans="1:4" ht="15.75" thickBot="1">
      <c r="A124" s="37" t="s">
        <v>661</v>
      </c>
      <c r="B124" s="38">
        <v>230548</v>
      </c>
      <c r="C124" s="38">
        <v>231022</v>
      </c>
      <c r="D124" s="34" t="s">
        <v>662</v>
      </c>
    </row>
    <row r="125" spans="1:4" ht="26.25" thickBot="1">
      <c r="A125" s="37" t="s">
        <v>663</v>
      </c>
      <c r="B125" s="38"/>
      <c r="C125" s="38"/>
      <c r="D125" s="34" t="s">
        <v>664</v>
      </c>
    </row>
    <row r="126" spans="1:4" ht="26.25" thickBot="1">
      <c r="A126" s="37" t="s">
        <v>665</v>
      </c>
      <c r="B126" s="38">
        <v>51</v>
      </c>
      <c r="C126" s="38">
        <v>50</v>
      </c>
      <c r="D126" s="34" t="s">
        <v>666</v>
      </c>
    </row>
    <row r="127" spans="1:4" ht="15.75" thickBot="1">
      <c r="A127" s="37" t="s">
        <v>667</v>
      </c>
      <c r="B127" s="38">
        <v>1326876</v>
      </c>
      <c r="C127" s="38">
        <v>1353335</v>
      </c>
      <c r="D127" s="34" t="s">
        <v>668</v>
      </c>
    </row>
    <row r="128" spans="1:4" ht="15.75" thickBot="1">
      <c r="A128" s="36" t="s">
        <v>669</v>
      </c>
      <c r="B128" s="38">
        <v>1885163</v>
      </c>
      <c r="C128" s="38">
        <v>1850004</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37" t="s">
        <v>675</v>
      </c>
      <c r="B131" s="33"/>
      <c r="C131" s="33"/>
      <c r="D131" s="34" t="s">
        <v>676</v>
      </c>
    </row>
    <row r="132" spans="1:4" ht="15.75" thickBot="1">
      <c r="A132" s="39" t="s">
        <v>677</v>
      </c>
      <c r="B132" s="38">
        <v>138969</v>
      </c>
      <c r="C132" s="38">
        <v>110544</v>
      </c>
      <c r="D132" s="34" t="s">
        <v>678</v>
      </c>
    </row>
    <row r="133" spans="1:4" ht="15.75" thickBot="1">
      <c r="A133" s="39" t="s">
        <v>679</v>
      </c>
      <c r="B133" s="38"/>
      <c r="C133" s="38"/>
      <c r="D133" s="34" t="s">
        <v>680</v>
      </c>
    </row>
    <row r="134" spans="1:4" ht="15.75" thickBot="1">
      <c r="A134" s="39" t="s">
        <v>681</v>
      </c>
      <c r="B134" s="33"/>
      <c r="C134" s="33"/>
      <c r="D134" s="34" t="s">
        <v>682</v>
      </c>
    </row>
    <row r="135" spans="1:4" ht="15.75" thickBot="1">
      <c r="A135" s="40" t="s">
        <v>683</v>
      </c>
      <c r="B135" s="38">
        <v>187480</v>
      </c>
      <c r="C135" s="38">
        <v>151291</v>
      </c>
      <c r="D135" s="34" t="s">
        <v>684</v>
      </c>
    </row>
    <row r="136" spans="1:4" ht="15.75" thickBot="1">
      <c r="A136" s="40" t="s">
        <v>685</v>
      </c>
      <c r="B136" s="38">
        <v>29482</v>
      </c>
      <c r="C136" s="38">
        <v>24569</v>
      </c>
      <c r="D136" s="34" t="s">
        <v>686</v>
      </c>
    </row>
    <row r="137" spans="1:4" ht="15.75" thickBot="1">
      <c r="A137" s="39" t="s">
        <v>687</v>
      </c>
      <c r="B137" s="33"/>
      <c r="C137" s="33"/>
      <c r="D137" s="34" t="s">
        <v>688</v>
      </c>
    </row>
    <row r="138" spans="1:4" ht="15.75" thickBot="1">
      <c r="A138" s="40" t="s">
        <v>689</v>
      </c>
      <c r="B138" s="38"/>
      <c r="C138" s="38"/>
      <c r="D138" s="34" t="s">
        <v>690</v>
      </c>
    </row>
    <row r="139" spans="1:4" ht="15.75" thickBot="1">
      <c r="A139" s="40" t="s">
        <v>691</v>
      </c>
      <c r="B139" s="38">
        <v>6563</v>
      </c>
      <c r="C139" s="38">
        <v>83792</v>
      </c>
      <c r="D139" s="34" t="s">
        <v>692</v>
      </c>
    </row>
    <row r="140" spans="1:4" ht="26.25" thickBot="1">
      <c r="A140" s="39" t="s">
        <v>693</v>
      </c>
      <c r="B140" s="33"/>
      <c r="C140" s="33"/>
      <c r="D140" s="34" t="s">
        <v>694</v>
      </c>
    </row>
    <row r="141" spans="1:4" ht="26.25" thickBot="1">
      <c r="A141" s="40" t="s">
        <v>695</v>
      </c>
      <c r="B141" s="38">
        <v>8423</v>
      </c>
      <c r="C141" s="38">
        <v>3987</v>
      </c>
      <c r="D141" s="34" t="s">
        <v>696</v>
      </c>
    </row>
    <row r="142" spans="1:4" ht="26.25" thickBot="1">
      <c r="A142" s="40" t="s">
        <v>697</v>
      </c>
      <c r="B142" s="38"/>
      <c r="C142" s="38"/>
      <c r="D142" s="34" t="s">
        <v>698</v>
      </c>
    </row>
    <row r="143" spans="1:4" ht="15.75" thickBot="1">
      <c r="A143" s="39" t="s">
        <v>699</v>
      </c>
      <c r="B143" s="38"/>
      <c r="C143" s="38"/>
      <c r="D143" s="34" t="s">
        <v>700</v>
      </c>
    </row>
    <row r="144" spans="1:4" ht="26.25" thickBot="1">
      <c r="A144" s="39" t="s">
        <v>701</v>
      </c>
      <c r="B144" s="38">
        <v>65932</v>
      </c>
      <c r="C144" s="38">
        <v>63945</v>
      </c>
      <c r="D144" s="34" t="s">
        <v>702</v>
      </c>
    </row>
    <row r="145" spans="1:4" ht="15.75" thickBot="1">
      <c r="A145" s="39" t="s">
        <v>703</v>
      </c>
      <c r="B145" s="38">
        <v>170222</v>
      </c>
      <c r="C145" s="38">
        <v>141660</v>
      </c>
      <c r="D145" s="34" t="s">
        <v>704</v>
      </c>
    </row>
    <row r="146" spans="1:4" ht="26.25" thickBot="1">
      <c r="A146" s="39" t="s">
        <v>705</v>
      </c>
      <c r="B146" s="38">
        <v>21852</v>
      </c>
      <c r="C146" s="38">
        <v>32500</v>
      </c>
      <c r="D146" s="34" t="s">
        <v>706</v>
      </c>
    </row>
    <row r="147" spans="1:4" ht="15.75" thickBot="1">
      <c r="A147" s="39" t="s">
        <v>707</v>
      </c>
      <c r="B147" s="38">
        <v>22924</v>
      </c>
      <c r="C147" s="38">
        <v>26566</v>
      </c>
      <c r="D147" s="34" t="s">
        <v>708</v>
      </c>
    </row>
    <row r="148" spans="1:4" ht="15.75" thickBot="1">
      <c r="A148" s="39" t="s">
        <v>709</v>
      </c>
      <c r="B148" s="38"/>
      <c r="C148" s="38"/>
      <c r="D148" s="34" t="s">
        <v>710</v>
      </c>
    </row>
    <row r="149" spans="1:4" ht="15.75" thickBot="1">
      <c r="A149" s="39" t="s">
        <v>711</v>
      </c>
      <c r="B149" s="38"/>
      <c r="C149" s="38"/>
      <c r="D149" s="34" t="s">
        <v>712</v>
      </c>
    </row>
    <row r="150" spans="1:4" ht="26.25" thickBot="1">
      <c r="A150" s="39" t="s">
        <v>713</v>
      </c>
      <c r="B150" s="38"/>
      <c r="C150" s="38"/>
      <c r="D150" s="34" t="s">
        <v>714</v>
      </c>
    </row>
    <row r="151" spans="1:4" ht="15.75" thickBot="1">
      <c r="A151" s="39" t="s">
        <v>715</v>
      </c>
      <c r="B151" s="33"/>
      <c r="C151" s="33"/>
      <c r="D151" s="34" t="s">
        <v>716</v>
      </c>
    </row>
    <row r="152" spans="1:4" ht="15.75" thickBot="1">
      <c r="A152" s="40" t="s">
        <v>717</v>
      </c>
      <c r="B152" s="38"/>
      <c r="C152" s="38"/>
      <c r="D152" s="34" t="s">
        <v>718</v>
      </c>
    </row>
    <row r="153" spans="1:4" ht="15.75" thickBot="1">
      <c r="A153" s="40" t="s">
        <v>719</v>
      </c>
      <c r="B153" s="38"/>
      <c r="C153" s="38"/>
      <c r="D153" s="34" t="s">
        <v>720</v>
      </c>
    </row>
    <row r="154" spans="1:4" ht="15.75" thickBot="1">
      <c r="A154" s="39" t="s">
        <v>721</v>
      </c>
      <c r="B154" s="38"/>
      <c r="C154" s="38"/>
      <c r="D154" s="34" t="s">
        <v>722</v>
      </c>
    </row>
    <row r="155" spans="1:4" ht="15.75" thickBot="1">
      <c r="A155" s="39" t="s">
        <v>723</v>
      </c>
      <c r="B155" s="38"/>
      <c r="C155" s="38"/>
      <c r="D155" s="34" t="s">
        <v>724</v>
      </c>
    </row>
    <row r="156" spans="1:4" ht="15.75" thickBot="1">
      <c r="A156" s="39" t="s">
        <v>725</v>
      </c>
      <c r="B156" s="38"/>
      <c r="C156" s="38"/>
      <c r="D156" s="34" t="s">
        <v>726</v>
      </c>
    </row>
    <row r="157" spans="1:4" ht="15.75" thickBot="1">
      <c r="A157" s="39" t="s">
        <v>727</v>
      </c>
      <c r="B157" s="38"/>
      <c r="C157" s="38"/>
      <c r="D157" s="34" t="s">
        <v>728</v>
      </c>
    </row>
    <row r="158" spans="1:4" ht="26.25" thickBot="1">
      <c r="A158" s="39" t="s">
        <v>729</v>
      </c>
      <c r="B158" s="38"/>
      <c r="C158" s="38"/>
      <c r="D158" s="34" t="s">
        <v>730</v>
      </c>
    </row>
    <row r="159" spans="1:4" ht="26.25" thickBot="1">
      <c r="A159" s="39" t="s">
        <v>731</v>
      </c>
      <c r="B159" s="33"/>
      <c r="C159" s="33"/>
      <c r="D159" s="34" t="s">
        <v>732</v>
      </c>
    </row>
    <row r="160" spans="1:4" ht="26.25" thickBot="1">
      <c r="A160" s="40" t="s">
        <v>733</v>
      </c>
      <c r="B160" s="38"/>
      <c r="C160" s="38"/>
      <c r="D160" s="34" t="s">
        <v>734</v>
      </c>
    </row>
    <row r="161" spans="1:4" ht="26.25" thickBot="1">
      <c r="A161" s="40" t="s">
        <v>735</v>
      </c>
      <c r="B161" s="38"/>
      <c r="C161" s="38"/>
      <c r="D161" s="34" t="s">
        <v>736</v>
      </c>
    </row>
    <row r="162" spans="1:4" ht="26.25" thickBot="1">
      <c r="A162" s="39" t="s">
        <v>737</v>
      </c>
      <c r="B162" s="38"/>
      <c r="C162" s="38"/>
      <c r="D162" s="34" t="s">
        <v>738</v>
      </c>
    </row>
    <row r="163" spans="1:4" ht="15.75" thickBot="1">
      <c r="A163" s="39" t="s">
        <v>739</v>
      </c>
      <c r="B163" s="33"/>
      <c r="C163" s="33"/>
      <c r="D163" s="34" t="s">
        <v>740</v>
      </c>
    </row>
    <row r="164" spans="1:4" ht="26.25" thickBot="1">
      <c r="A164" s="40" t="s">
        <v>741</v>
      </c>
      <c r="B164" s="38"/>
      <c r="C164" s="38"/>
      <c r="D164" s="34" t="s">
        <v>742</v>
      </c>
    </row>
    <row r="165" spans="1:4" ht="39" thickBot="1">
      <c r="A165" s="40" t="s">
        <v>743</v>
      </c>
      <c r="B165" s="38"/>
      <c r="C165" s="38"/>
      <c r="D165" s="34" t="s">
        <v>744</v>
      </c>
    </row>
    <row r="166" spans="1:4" ht="39" thickBot="1">
      <c r="A166" s="40" t="s">
        <v>745</v>
      </c>
      <c r="B166" s="38"/>
      <c r="C166" s="38"/>
      <c r="D166" s="34" t="s">
        <v>746</v>
      </c>
    </row>
    <row r="167" spans="1:4" ht="26.25" thickBot="1">
      <c r="A167" s="40" t="s">
        <v>747</v>
      </c>
      <c r="B167" s="38"/>
      <c r="C167" s="38"/>
      <c r="D167" s="34" t="s">
        <v>748</v>
      </c>
    </row>
    <row r="168" spans="1:4" ht="26.25" thickBot="1">
      <c r="A168" s="40" t="s">
        <v>749</v>
      </c>
      <c r="B168" s="38"/>
      <c r="C168" s="38"/>
      <c r="D168" s="34" t="s">
        <v>750</v>
      </c>
    </row>
    <row r="169" spans="1:4" ht="15.75" thickBot="1">
      <c r="A169" s="40" t="s">
        <v>751</v>
      </c>
      <c r="B169" s="38"/>
      <c r="C169" s="38"/>
      <c r="D169" s="34" t="s">
        <v>752</v>
      </c>
    </row>
    <row r="170" spans="1:4" ht="26.25" thickBot="1">
      <c r="A170" s="39" t="s">
        <v>753</v>
      </c>
      <c r="B170" s="38"/>
      <c r="C170" s="38"/>
      <c r="D170" s="34" t="s">
        <v>754</v>
      </c>
    </row>
    <row r="171" spans="1:4" ht="15.75" thickBot="1">
      <c r="A171" s="39" t="s">
        <v>755</v>
      </c>
      <c r="B171" s="38"/>
      <c r="C171" s="38"/>
      <c r="D171" s="34" t="s">
        <v>756</v>
      </c>
    </row>
    <row r="172" spans="1:4" ht="90" thickBot="1">
      <c r="A172" s="39" t="s">
        <v>757</v>
      </c>
      <c r="B172" s="38"/>
      <c r="C172" s="38"/>
      <c r="D172" s="34" t="s">
        <v>758</v>
      </c>
    </row>
    <row r="173" spans="1:4" ht="26.25" thickBot="1">
      <c r="A173" s="39" t="s">
        <v>759</v>
      </c>
      <c r="B173" s="33"/>
      <c r="C173" s="33"/>
      <c r="D173" s="34" t="s">
        <v>760</v>
      </c>
    </row>
    <row r="174" spans="1:4" ht="39" thickBot="1">
      <c r="A174" s="40" t="s">
        <v>761</v>
      </c>
      <c r="B174" s="38"/>
      <c r="C174" s="38"/>
      <c r="D174" s="34" t="s">
        <v>762</v>
      </c>
    </row>
    <row r="175" spans="1:4" ht="51.75" thickBot="1">
      <c r="A175" s="40" t="s">
        <v>763</v>
      </c>
      <c r="B175" s="38"/>
      <c r="C175" s="38"/>
      <c r="D175" s="34" t="s">
        <v>764</v>
      </c>
    </row>
    <row r="176" spans="1:4" ht="39" thickBot="1">
      <c r="A176" s="40" t="s">
        <v>765</v>
      </c>
      <c r="B176" s="38"/>
      <c r="C176" s="38"/>
      <c r="D176" s="34" t="s">
        <v>766</v>
      </c>
    </row>
    <row r="177" spans="1:4" ht="39" thickBot="1">
      <c r="A177" s="40" t="s">
        <v>767</v>
      </c>
      <c r="B177" s="38"/>
      <c r="C177" s="38"/>
      <c r="D177" s="34" t="s">
        <v>768</v>
      </c>
    </row>
    <row r="178" spans="1:4" ht="39" thickBot="1">
      <c r="A178" s="40" t="s">
        <v>769</v>
      </c>
      <c r="B178" s="38"/>
      <c r="C178" s="38"/>
      <c r="D178" s="34" t="s">
        <v>770</v>
      </c>
    </row>
    <row r="179" spans="1:4" ht="51.75" thickBot="1">
      <c r="A179" s="40" t="s">
        <v>771</v>
      </c>
      <c r="B179" s="38"/>
      <c r="C179" s="38"/>
      <c r="D179" s="34" t="s">
        <v>772</v>
      </c>
    </row>
    <row r="180" spans="1:4" ht="39" thickBot="1">
      <c r="A180" s="40" t="s">
        <v>773</v>
      </c>
      <c r="B180" s="38"/>
      <c r="C180" s="38"/>
      <c r="D180" s="34" t="s">
        <v>774</v>
      </c>
    </row>
    <row r="181" spans="1:4" ht="51.75" thickBot="1">
      <c r="A181" s="40" t="s">
        <v>775</v>
      </c>
      <c r="B181" s="38"/>
      <c r="C181" s="38"/>
      <c r="D181" s="34" t="s">
        <v>776</v>
      </c>
    </row>
    <row r="182" spans="1:4" ht="51.75" thickBot="1">
      <c r="A182" s="40" t="s">
        <v>777</v>
      </c>
      <c r="B182" s="38"/>
      <c r="C182" s="38"/>
      <c r="D182" s="34" t="s">
        <v>778</v>
      </c>
    </row>
    <row r="183" spans="1:4" ht="51.75" thickBot="1">
      <c r="A183" s="40" t="s">
        <v>779</v>
      </c>
      <c r="B183" s="38"/>
      <c r="C183" s="38"/>
      <c r="D183" s="34" t="s">
        <v>780</v>
      </c>
    </row>
    <row r="184" spans="1:4" ht="51.75" thickBot="1">
      <c r="A184" s="40" t="s">
        <v>781</v>
      </c>
      <c r="B184" s="38">
        <v>12448</v>
      </c>
      <c r="C184" s="38">
        <v>21053</v>
      </c>
      <c r="D184" s="34" t="s">
        <v>782</v>
      </c>
    </row>
    <row r="185" spans="1:4" ht="39" thickBot="1">
      <c r="A185" s="40" t="s">
        <v>783</v>
      </c>
      <c r="B185" s="38"/>
      <c r="C185" s="38"/>
      <c r="D185" s="34" t="s">
        <v>784</v>
      </c>
    </row>
    <row r="186" spans="1:4" ht="39" thickBot="1">
      <c r="A186" s="40" t="s">
        <v>785</v>
      </c>
      <c r="B186" s="38"/>
      <c r="C186" s="38"/>
      <c r="D186" s="34" t="s">
        <v>786</v>
      </c>
    </row>
    <row r="187" spans="1:4" ht="39" thickBot="1">
      <c r="A187" s="40" t="s">
        <v>787</v>
      </c>
      <c r="B187" s="38"/>
      <c r="C187" s="38"/>
      <c r="D187" s="34" t="s">
        <v>788</v>
      </c>
    </row>
    <row r="188" spans="1:4" ht="51.75" thickBot="1">
      <c r="A188" s="40" t="s">
        <v>789</v>
      </c>
      <c r="B188" s="38"/>
      <c r="C188" s="38"/>
      <c r="D188" s="34" t="s">
        <v>790</v>
      </c>
    </row>
    <row r="189" spans="1:4" ht="39" thickBot="1">
      <c r="A189" s="40" t="s">
        <v>791</v>
      </c>
      <c r="B189" s="38"/>
      <c r="C189" s="38"/>
      <c r="D189" s="34" t="s">
        <v>792</v>
      </c>
    </row>
    <row r="190" spans="1:4" ht="39" thickBot="1">
      <c r="A190" s="40" t="s">
        <v>793</v>
      </c>
      <c r="B190" s="38"/>
      <c r="C190" s="38"/>
      <c r="D190" s="34" t="s">
        <v>794</v>
      </c>
    </row>
    <row r="191" spans="1:4" ht="39" thickBot="1">
      <c r="A191" s="40" t="s">
        <v>795</v>
      </c>
      <c r="B191" s="38"/>
      <c r="C191" s="38"/>
      <c r="D191" s="34" t="s">
        <v>796</v>
      </c>
    </row>
    <row r="192" spans="1:4" ht="39" thickBot="1">
      <c r="A192" s="40" t="s">
        <v>797</v>
      </c>
      <c r="B192" s="38"/>
      <c r="C192" s="38"/>
      <c r="D192" s="34" t="s">
        <v>798</v>
      </c>
    </row>
    <row r="193" spans="1:4" ht="26.25" thickBot="1">
      <c r="A193" s="39" t="s">
        <v>799</v>
      </c>
      <c r="B193" s="38"/>
      <c r="C193" s="38"/>
      <c r="D193" s="34" t="s">
        <v>800</v>
      </c>
    </row>
    <row r="194" spans="1:4" ht="26.25" thickBot="1">
      <c r="A194" s="39" t="s">
        <v>801</v>
      </c>
      <c r="B194" s="38"/>
      <c r="C194" s="38"/>
      <c r="D194" s="34" t="s">
        <v>802</v>
      </c>
    </row>
    <row r="195" spans="1:4" ht="26.25" thickBot="1">
      <c r="A195" s="39" t="s">
        <v>803</v>
      </c>
      <c r="B195" s="38"/>
      <c r="C195" s="38"/>
      <c r="D195" s="34" t="s">
        <v>804</v>
      </c>
    </row>
    <row r="196" spans="1:4" ht="26.25" thickBot="1">
      <c r="A196" s="39" t="s">
        <v>805</v>
      </c>
      <c r="B196" s="38"/>
      <c r="C196" s="38"/>
      <c r="D196" s="34" t="s">
        <v>806</v>
      </c>
    </row>
    <row r="197" spans="1:4" ht="26.25" thickBot="1">
      <c r="A197" s="39" t="s">
        <v>807</v>
      </c>
      <c r="B197" s="38"/>
      <c r="C197" s="38"/>
      <c r="D197" s="34" t="s">
        <v>808</v>
      </c>
    </row>
    <row r="198" spans="1:4" ht="15.75" thickBot="1">
      <c r="A198" s="39" t="s">
        <v>809</v>
      </c>
      <c r="B198" s="38">
        <v>664295</v>
      </c>
      <c r="C198" s="38">
        <v>659907</v>
      </c>
      <c r="D198" s="34" t="s">
        <v>810</v>
      </c>
    </row>
    <row r="199" spans="1:4" ht="15.75" thickBot="1">
      <c r="A199" s="37" t="s">
        <v>811</v>
      </c>
      <c r="B199" s="33"/>
      <c r="C199" s="33"/>
      <c r="D199" s="34" t="s">
        <v>812</v>
      </c>
    </row>
    <row r="200" spans="1:4" ht="26.25" thickBot="1">
      <c r="A200" s="39" t="s">
        <v>813</v>
      </c>
      <c r="B200" s="38"/>
      <c r="C200" s="38"/>
      <c r="D200" s="34" t="s">
        <v>814</v>
      </c>
    </row>
    <row r="201" spans="1:4" ht="15.75" thickBot="1">
      <c r="A201" s="39" t="s">
        <v>815</v>
      </c>
      <c r="B201" s="38">
        <v>49879</v>
      </c>
      <c r="C201" s="38">
        <v>52798</v>
      </c>
      <c r="D201" s="34" t="s">
        <v>816</v>
      </c>
    </row>
    <row r="202" spans="1:4" ht="26.25" thickBot="1">
      <c r="A202" s="39" t="s">
        <v>817</v>
      </c>
      <c r="B202" s="38"/>
      <c r="C202" s="38"/>
      <c r="D202" s="34" t="s">
        <v>818</v>
      </c>
    </row>
    <row r="203" spans="1:4" ht="26.25" thickBot="1">
      <c r="A203" s="39" t="s">
        <v>819</v>
      </c>
      <c r="B203" s="38"/>
      <c r="C203" s="38"/>
      <c r="D203" s="34" t="s">
        <v>820</v>
      </c>
    </row>
    <row r="204" spans="1:4" ht="15.75" thickBot="1">
      <c r="A204" s="39" t="s">
        <v>821</v>
      </c>
      <c r="B204" s="38"/>
      <c r="C204" s="38"/>
      <c r="D204" s="34" t="s">
        <v>822</v>
      </c>
    </row>
    <row r="205" spans="1:4" ht="39" thickBot="1">
      <c r="A205" s="39" t="s">
        <v>823</v>
      </c>
      <c r="B205" s="33"/>
      <c r="C205" s="33"/>
      <c r="D205" s="34" t="s">
        <v>824</v>
      </c>
    </row>
    <row r="206" spans="1:4" ht="26.25" thickBot="1">
      <c r="A206" s="40" t="s">
        <v>825</v>
      </c>
      <c r="B206" s="38">
        <v>69277</v>
      </c>
      <c r="C206" s="38">
        <v>68819</v>
      </c>
      <c r="D206" s="34" t="s">
        <v>826</v>
      </c>
    </row>
    <row r="207" spans="1:4" ht="26.25" thickBot="1">
      <c r="A207" s="40" t="s">
        <v>827</v>
      </c>
      <c r="B207" s="38"/>
      <c r="C207" s="38"/>
      <c r="D207" s="34" t="s">
        <v>828</v>
      </c>
    </row>
    <row r="208" spans="1:4" ht="26.25" thickBot="1">
      <c r="A208" s="40" t="s">
        <v>829</v>
      </c>
      <c r="B208" s="38"/>
      <c r="C208" s="38"/>
      <c r="D208" s="34" t="s">
        <v>830</v>
      </c>
    </row>
    <row r="209" spans="1:4" ht="26.25" thickBot="1">
      <c r="A209" s="40" t="s">
        <v>831</v>
      </c>
      <c r="B209" s="38"/>
      <c r="C209" s="38"/>
      <c r="D209" s="34" t="s">
        <v>832</v>
      </c>
    </row>
    <row r="210" spans="1:4" ht="26.25" thickBot="1">
      <c r="A210" s="40" t="s">
        <v>833</v>
      </c>
      <c r="B210" s="38"/>
      <c r="C210" s="38"/>
      <c r="D210" s="34" t="s">
        <v>834</v>
      </c>
    </row>
    <row r="211" spans="1:4" ht="39" thickBot="1">
      <c r="A211" s="40" t="s">
        <v>835</v>
      </c>
      <c r="B211" s="38"/>
      <c r="C211" s="38"/>
      <c r="D211" s="34" t="s">
        <v>836</v>
      </c>
    </row>
    <row r="212" spans="1:4" ht="26.25" thickBot="1">
      <c r="A212" s="40" t="s">
        <v>837</v>
      </c>
      <c r="B212" s="38"/>
      <c r="C212" s="38"/>
      <c r="D212" s="34" t="s">
        <v>838</v>
      </c>
    </row>
    <row r="213" spans="1:4" ht="26.25" thickBot="1">
      <c r="A213" s="40" t="s">
        <v>839</v>
      </c>
      <c r="B213" s="38"/>
      <c r="C213" s="38"/>
      <c r="D213" s="34" t="s">
        <v>840</v>
      </c>
    </row>
    <row r="214" spans="1:4" ht="26.25" thickBot="1">
      <c r="A214" s="40" t="s">
        <v>841</v>
      </c>
      <c r="B214" s="38"/>
      <c r="C214" s="38"/>
      <c r="D214" s="34" t="s">
        <v>842</v>
      </c>
    </row>
    <row r="215" spans="1:4" ht="26.25" thickBot="1">
      <c r="A215" s="40" t="s">
        <v>843</v>
      </c>
      <c r="B215" s="38"/>
      <c r="C215" s="38"/>
      <c r="D215" s="34" t="s">
        <v>844</v>
      </c>
    </row>
    <row r="216" spans="1:4" ht="26.25" thickBot="1">
      <c r="A216" s="40" t="s">
        <v>845</v>
      </c>
      <c r="B216" s="38">
        <v>30209</v>
      </c>
      <c r="C216" s="38">
        <v>35929</v>
      </c>
      <c r="D216" s="34" t="s">
        <v>846</v>
      </c>
    </row>
    <row r="217" spans="1:4" ht="26.25" thickBot="1">
      <c r="A217" s="40" t="s">
        <v>847</v>
      </c>
      <c r="B217" s="38"/>
      <c r="C217" s="38"/>
      <c r="D217" s="34" t="s">
        <v>848</v>
      </c>
    </row>
    <row r="218" spans="1:4" ht="26.25" thickBot="1">
      <c r="A218" s="40" t="s">
        <v>849</v>
      </c>
      <c r="B218" s="38"/>
      <c r="C218" s="38"/>
      <c r="D218" s="34" t="s">
        <v>850</v>
      </c>
    </row>
    <row r="219" spans="1:4" ht="26.25" thickBot="1">
      <c r="A219" s="40" t="s">
        <v>851</v>
      </c>
      <c r="B219" s="38"/>
      <c r="C219" s="38"/>
      <c r="D219" s="34" t="s">
        <v>852</v>
      </c>
    </row>
    <row r="220" spans="1:4" ht="26.25" thickBot="1">
      <c r="A220" s="40" t="s">
        <v>853</v>
      </c>
      <c r="B220" s="38"/>
      <c r="C220" s="38"/>
      <c r="D220" s="34" t="s">
        <v>854</v>
      </c>
    </row>
    <row r="221" spans="1:4" ht="26.25" thickBot="1">
      <c r="A221" s="40" t="s">
        <v>855</v>
      </c>
      <c r="B221" s="38"/>
      <c r="C221" s="38"/>
      <c r="D221" s="34" t="s">
        <v>856</v>
      </c>
    </row>
    <row r="222" spans="1:4" ht="26.25" thickBot="1">
      <c r="A222" s="40" t="s">
        <v>857</v>
      </c>
      <c r="B222" s="38"/>
      <c r="C222" s="38"/>
      <c r="D222" s="34" t="s">
        <v>858</v>
      </c>
    </row>
    <row r="223" spans="1:4" ht="26.25" thickBot="1">
      <c r="A223" s="40" t="s">
        <v>859</v>
      </c>
      <c r="B223" s="38"/>
      <c r="C223" s="38"/>
      <c r="D223" s="34" t="s">
        <v>860</v>
      </c>
    </row>
    <row r="224" spans="1:4" ht="26.25" thickBot="1">
      <c r="A224" s="40" t="s">
        <v>861</v>
      </c>
      <c r="B224" s="38"/>
      <c r="C224" s="38"/>
      <c r="D224" s="34" t="s">
        <v>862</v>
      </c>
    </row>
    <row r="225" spans="1:4" ht="15.75" thickBot="1">
      <c r="A225" s="39" t="s">
        <v>863</v>
      </c>
      <c r="B225" s="38"/>
      <c r="C225" s="38"/>
      <c r="D225" s="34" t="s">
        <v>864</v>
      </c>
    </row>
    <row r="226" spans="1:4" ht="26.25" thickBot="1">
      <c r="A226" s="39" t="s">
        <v>865</v>
      </c>
      <c r="B226" s="38"/>
      <c r="C226" s="38"/>
      <c r="D226" s="34" t="s">
        <v>866</v>
      </c>
    </row>
    <row r="227" spans="1:4" ht="15.75" thickBot="1">
      <c r="A227" s="39" t="s">
        <v>867</v>
      </c>
      <c r="B227" s="38"/>
      <c r="C227" s="38"/>
      <c r="D227" s="34" t="s">
        <v>868</v>
      </c>
    </row>
    <row r="228" spans="1:4" ht="26.25" thickBot="1">
      <c r="A228" s="39" t="s">
        <v>869</v>
      </c>
      <c r="B228" s="33"/>
      <c r="C228" s="33"/>
      <c r="D228" s="34" t="s">
        <v>870</v>
      </c>
    </row>
    <row r="229" spans="1:4" ht="26.25" thickBot="1">
      <c r="A229" s="40" t="s">
        <v>871</v>
      </c>
      <c r="B229" s="38"/>
      <c r="C229" s="38"/>
      <c r="D229" s="34" t="s">
        <v>872</v>
      </c>
    </row>
    <row r="230" spans="1:4" ht="26.25" thickBot="1">
      <c r="A230" s="40" t="s">
        <v>873</v>
      </c>
      <c r="B230" s="38"/>
      <c r="C230" s="38"/>
      <c r="D230" s="34" t="s">
        <v>874</v>
      </c>
    </row>
    <row r="231" spans="1:4" ht="26.25" thickBot="1">
      <c r="A231" s="39" t="s">
        <v>875</v>
      </c>
      <c r="B231" s="38"/>
      <c r="C231" s="38"/>
      <c r="D231" s="34" t="s">
        <v>876</v>
      </c>
    </row>
    <row r="232" spans="1:4" ht="15.75" thickBot="1">
      <c r="A232" s="39" t="s">
        <v>877</v>
      </c>
      <c r="B232" s="38"/>
      <c r="C232" s="38"/>
      <c r="D232" s="34" t="s">
        <v>878</v>
      </c>
    </row>
    <row r="233" spans="1:4" ht="15.75" thickBot="1">
      <c r="A233" s="39" t="s">
        <v>879</v>
      </c>
      <c r="B233" s="33"/>
      <c r="C233" s="33"/>
      <c r="D233" s="34" t="s">
        <v>880</v>
      </c>
    </row>
    <row r="234" spans="1:4" ht="26.25" thickBot="1">
      <c r="A234" s="40" t="s">
        <v>881</v>
      </c>
      <c r="B234" s="38"/>
      <c r="C234" s="38"/>
      <c r="D234" s="34" t="s">
        <v>882</v>
      </c>
    </row>
    <row r="235" spans="1:4" ht="39" thickBot="1">
      <c r="A235" s="40" t="s">
        <v>883</v>
      </c>
      <c r="B235" s="38"/>
      <c r="C235" s="38"/>
      <c r="D235" s="34" t="s">
        <v>884</v>
      </c>
    </row>
    <row r="236" spans="1:4" ht="39" thickBot="1">
      <c r="A236" s="40" t="s">
        <v>885</v>
      </c>
      <c r="B236" s="38"/>
      <c r="C236" s="38"/>
      <c r="D236" s="34" t="s">
        <v>886</v>
      </c>
    </row>
    <row r="237" spans="1:4" ht="26.25" thickBot="1">
      <c r="A237" s="40" t="s">
        <v>887</v>
      </c>
      <c r="B237" s="38"/>
      <c r="C237" s="38"/>
      <c r="D237" s="34" t="s">
        <v>888</v>
      </c>
    </row>
    <row r="238" spans="1:4" ht="26.25" thickBot="1">
      <c r="A238" s="40" t="s">
        <v>889</v>
      </c>
      <c r="B238" s="38"/>
      <c r="C238" s="38"/>
      <c r="D238" s="34" t="s">
        <v>890</v>
      </c>
    </row>
    <row r="239" spans="1:4" ht="15.75" thickBot="1">
      <c r="A239" s="40" t="s">
        <v>891</v>
      </c>
      <c r="B239" s="38"/>
      <c r="C239" s="38"/>
      <c r="D239" s="34" t="s">
        <v>892</v>
      </c>
    </row>
    <row r="240" spans="1:4" ht="26.25" thickBot="1">
      <c r="A240" s="39" t="s">
        <v>893</v>
      </c>
      <c r="B240" s="38"/>
      <c r="C240" s="38"/>
      <c r="D240" s="34" t="s">
        <v>894</v>
      </c>
    </row>
    <row r="241" spans="1:4" ht="26.25" thickBot="1">
      <c r="A241" s="39" t="s">
        <v>895</v>
      </c>
      <c r="B241" s="38"/>
      <c r="C241" s="38"/>
      <c r="D241" s="34" t="s">
        <v>896</v>
      </c>
    </row>
    <row r="242" spans="1:4" ht="26.25" thickBot="1">
      <c r="A242" s="39" t="s">
        <v>897</v>
      </c>
      <c r="B242" s="38">
        <v>64695</v>
      </c>
      <c r="C242" s="38">
        <v>64353</v>
      </c>
      <c r="D242" s="34" t="s">
        <v>898</v>
      </c>
    </row>
    <row r="243" spans="1:4" ht="26.25" thickBot="1">
      <c r="A243" s="39" t="s">
        <v>899</v>
      </c>
      <c r="B243" s="38"/>
      <c r="C243" s="38"/>
      <c r="D243" s="34" t="s">
        <v>900</v>
      </c>
    </row>
    <row r="244" spans="1:4" ht="26.25" thickBot="1">
      <c r="A244" s="39" t="s">
        <v>901</v>
      </c>
      <c r="B244" s="38"/>
      <c r="C244" s="38"/>
      <c r="D244" s="34" t="s">
        <v>902</v>
      </c>
    </row>
    <row r="245" spans="1:4" ht="26.25" thickBot="1">
      <c r="A245" s="39" t="s">
        <v>903</v>
      </c>
      <c r="B245" s="38"/>
      <c r="C245" s="38"/>
      <c r="D245" s="34" t="s">
        <v>904</v>
      </c>
    </row>
    <row r="246" spans="1:4" ht="15.75" thickBot="1">
      <c r="A246" s="39" t="s">
        <v>905</v>
      </c>
      <c r="B246" s="38">
        <v>214060</v>
      </c>
      <c r="C246" s="38">
        <v>221899</v>
      </c>
      <c r="D246" s="34" t="s">
        <v>906</v>
      </c>
    </row>
    <row r="247" spans="1:4" ht="15.75" thickBot="1">
      <c r="A247" s="37" t="s">
        <v>907</v>
      </c>
      <c r="B247" s="38">
        <v>878355</v>
      </c>
      <c r="C247" s="38">
        <v>881806</v>
      </c>
      <c r="D247" s="34" t="s">
        <v>908</v>
      </c>
    </row>
    <row r="248" spans="1:4" ht="15.75" thickBot="1">
      <c r="A248" s="36" t="s">
        <v>909</v>
      </c>
      <c r="B248" s="33"/>
      <c r="C248" s="33"/>
      <c r="D248" s="34" t="s">
        <v>910</v>
      </c>
    </row>
    <row r="249" spans="1:4" ht="26.25" thickBot="1">
      <c r="A249" s="37" t="s">
        <v>911</v>
      </c>
      <c r="B249" s="33"/>
      <c r="C249" s="33"/>
      <c r="D249" s="34" t="s">
        <v>912</v>
      </c>
    </row>
    <row r="250" spans="1:4" ht="15.75" thickBot="1">
      <c r="A250" s="39" t="s">
        <v>913</v>
      </c>
      <c r="B250" s="38">
        <v>1902860</v>
      </c>
      <c r="C250" s="38">
        <v>1902860</v>
      </c>
      <c r="D250" s="34" t="s">
        <v>914</v>
      </c>
    </row>
    <row r="251" spans="1:4" ht="15.75" thickBot="1">
      <c r="A251" s="39" t="s">
        <v>915</v>
      </c>
      <c r="B251" s="38"/>
      <c r="C251" s="38"/>
      <c r="D251" s="34" t="s">
        <v>916</v>
      </c>
    </row>
    <row r="252" spans="1:4" ht="15.75" thickBot="1">
      <c r="A252" s="39" t="s">
        <v>917</v>
      </c>
      <c r="B252" s="38">
        <v>1317711</v>
      </c>
      <c r="C252" s="38">
        <v>1317711</v>
      </c>
      <c r="D252" s="34" t="s">
        <v>918</v>
      </c>
    </row>
    <row r="253" spans="1:4" ht="15.75" thickBot="1">
      <c r="A253" s="39" t="s">
        <v>919</v>
      </c>
      <c r="B253" s="41"/>
      <c r="C253" s="41"/>
      <c r="D253" s="34" t="s">
        <v>920</v>
      </c>
    </row>
    <row r="254" spans="1:4" ht="15.75" thickBot="1">
      <c r="A254" s="39" t="s">
        <v>921</v>
      </c>
      <c r="B254" s="38"/>
      <c r="C254" s="38"/>
      <c r="D254" s="34" t="s">
        <v>922</v>
      </c>
    </row>
    <row r="255" spans="1:4" ht="15.75" thickBot="1">
      <c r="A255" s="39" t="s">
        <v>923</v>
      </c>
      <c r="B255" s="38"/>
      <c r="C255" s="38"/>
      <c r="D255" s="34" t="s">
        <v>924</v>
      </c>
    </row>
    <row r="256" spans="1:4" ht="15.75" thickBot="1">
      <c r="A256" s="39" t="s">
        <v>925</v>
      </c>
      <c r="B256" s="38">
        <v>493396</v>
      </c>
      <c r="C256" s="38">
        <v>511441</v>
      </c>
      <c r="D256" s="34" t="s">
        <v>926</v>
      </c>
    </row>
    <row r="257" spans="1:4" ht="26.25" thickBot="1">
      <c r="A257" s="39" t="s">
        <v>927</v>
      </c>
      <c r="B257" s="38"/>
      <c r="C257" s="38"/>
      <c r="D257" s="34" t="s">
        <v>928</v>
      </c>
    </row>
    <row r="258" spans="1:4" ht="51.75" thickBot="1">
      <c r="A258" s="39" t="s">
        <v>929</v>
      </c>
      <c r="B258" s="38"/>
      <c r="C258" s="38"/>
      <c r="D258" s="34" t="s">
        <v>930</v>
      </c>
    </row>
    <row r="259" spans="1:4" ht="26.25" thickBot="1">
      <c r="A259" s="39" t="s">
        <v>931</v>
      </c>
      <c r="B259" s="38"/>
      <c r="C259" s="38"/>
      <c r="D259" s="34" t="s">
        <v>932</v>
      </c>
    </row>
    <row r="260" spans="1:4" ht="26.25" thickBot="1">
      <c r="A260" s="39" t="s">
        <v>933</v>
      </c>
      <c r="B260" s="38"/>
      <c r="C260" s="38"/>
      <c r="D260" s="34" t="s">
        <v>934</v>
      </c>
    </row>
    <row r="261" spans="1:4" ht="15.75" thickBot="1">
      <c r="A261" s="39" t="s">
        <v>935</v>
      </c>
      <c r="B261" s="38"/>
      <c r="C261" s="38"/>
      <c r="D261" s="34" t="s">
        <v>936</v>
      </c>
    </row>
    <row r="262" spans="1:4" ht="26.25" thickBot="1">
      <c r="A262" s="39" t="s">
        <v>937</v>
      </c>
      <c r="B262" s="38"/>
      <c r="C262" s="38"/>
      <c r="D262" s="34" t="s">
        <v>938</v>
      </c>
    </row>
    <row r="263" spans="1:4" ht="15.75" thickBot="1">
      <c r="A263" s="39" t="s">
        <v>939</v>
      </c>
      <c r="B263" s="38"/>
      <c r="C263" s="38"/>
      <c r="D263" s="34" t="s">
        <v>940</v>
      </c>
    </row>
    <row r="264" spans="1:4" ht="26.25" thickBot="1">
      <c r="A264" s="39" t="s">
        <v>941</v>
      </c>
      <c r="B264" s="38">
        <v>197886</v>
      </c>
      <c r="C264" s="38">
        <v>197886</v>
      </c>
      <c r="D264" s="34" t="s">
        <v>942</v>
      </c>
    </row>
    <row r="265" spans="1:4" ht="15.75" thickBot="1">
      <c r="A265" s="39" t="s">
        <v>943</v>
      </c>
      <c r="B265" s="38"/>
      <c r="C265" s="38"/>
      <c r="D265" s="34" t="s">
        <v>944</v>
      </c>
    </row>
    <row r="266" spans="1:4" ht="15.75" thickBot="1">
      <c r="A266" s="39" t="s">
        <v>945</v>
      </c>
      <c r="B266" s="33"/>
      <c r="C266" s="33"/>
      <c r="D266" s="34" t="s">
        <v>946</v>
      </c>
    </row>
    <row r="267" spans="1:4" ht="26.25" thickBot="1">
      <c r="A267" s="40" t="s">
        <v>947</v>
      </c>
      <c r="B267" s="38">
        <v>129318</v>
      </c>
      <c r="C267" s="38">
        <v>129318</v>
      </c>
      <c r="D267" s="34" t="s">
        <v>948</v>
      </c>
    </row>
    <row r="268" spans="1:4" ht="26.25" thickBot="1">
      <c r="A268" s="40" t="s">
        <v>949</v>
      </c>
      <c r="B268" s="38">
        <v>-3032985</v>
      </c>
      <c r="C268" s="38">
        <v>-3089665</v>
      </c>
      <c r="D268" s="34" t="s">
        <v>950</v>
      </c>
    </row>
    <row r="269" spans="1:4" ht="39" thickBot="1">
      <c r="A269" s="39" t="s">
        <v>951</v>
      </c>
      <c r="B269" s="38">
        <v>1008186</v>
      </c>
      <c r="C269" s="38">
        <v>969551</v>
      </c>
      <c r="D269" s="34" t="s">
        <v>952</v>
      </c>
    </row>
    <row r="270" spans="1:4" ht="15.75" thickBot="1">
      <c r="A270" s="37" t="s">
        <v>953</v>
      </c>
      <c r="B270" s="38"/>
      <c r="C270" s="38"/>
      <c r="D270" s="34" t="s">
        <v>954</v>
      </c>
    </row>
    <row r="271" spans="1:4" ht="15.75" thickBot="1">
      <c r="A271" s="37" t="s">
        <v>955</v>
      </c>
      <c r="B271" s="38">
        <v>-1378</v>
      </c>
      <c r="C271" s="38">
        <v>-1353</v>
      </c>
      <c r="D271" s="34" t="s">
        <v>956</v>
      </c>
    </row>
    <row r="272" spans="1:4" ht="15.75" thickBot="1">
      <c r="A272" s="37" t="s">
        <v>957</v>
      </c>
      <c r="B272" s="38">
        <v>1006808</v>
      </c>
      <c r="C272" s="38">
        <v>968198</v>
      </c>
      <c r="D272" s="34" t="s">
        <v>958</v>
      </c>
    </row>
    <row r="273" spans="1:4" ht="15.75" thickBot="1">
      <c r="A273" s="36" t="s">
        <v>959</v>
      </c>
      <c r="B273" s="38">
        <v>1885163</v>
      </c>
      <c r="C273" s="38">
        <v>1850004</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1C7CF09D-D201-4CE4-AE67-04A765C2A8E9}">
      <formula1>-9.99999999999999E+33</formula1>
      <formula2>9.99999999999999E+33</formula2>
    </dataValidation>
  </dataValidations>
  <pageMargins left="0.15" right="0.15" top="0.15" bottom="0.15" header="0.5" footer="0.5"/>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24DA6-E38E-421D-8F66-F35E01F63EEC}">
  <dimension ref="A1:D67"/>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64" t="s">
        <v>961</v>
      </c>
      <c r="B1" s="265"/>
      <c r="C1" s="265"/>
      <c r="D1" s="265"/>
    </row>
    <row r="3" spans="1:4" ht="34.5" customHeight="1">
      <c r="A3" s="264" t="s">
        <v>962</v>
      </c>
      <c r="B3" s="264"/>
      <c r="C3" s="266" t="s">
        <v>963</v>
      </c>
      <c r="D3" s="266"/>
    </row>
    <row r="4" spans="1:4">
      <c r="A4" s="43"/>
      <c r="B4" s="44" t="s">
        <v>104</v>
      </c>
      <c r="C4" s="44" t="s">
        <v>107</v>
      </c>
    </row>
    <row r="5" spans="1:4" ht="26.25" thickBot="1">
      <c r="A5" s="45" t="s">
        <v>962</v>
      </c>
      <c r="B5" s="46"/>
      <c r="C5" s="46"/>
      <c r="D5" s="47" t="s">
        <v>963</v>
      </c>
    </row>
    <row r="6" spans="1:4" ht="15.75" thickBot="1">
      <c r="A6" s="48" t="s">
        <v>964</v>
      </c>
      <c r="B6" s="49">
        <v>931667</v>
      </c>
      <c r="C6" s="49">
        <v>815438</v>
      </c>
      <c r="D6" s="47" t="s">
        <v>965</v>
      </c>
    </row>
    <row r="7" spans="1:4" ht="15.75" thickBot="1">
      <c r="A7" s="48" t="s">
        <v>966</v>
      </c>
      <c r="B7" s="50">
        <v>586602</v>
      </c>
      <c r="C7" s="50">
        <v>568532</v>
      </c>
      <c r="D7" s="47" t="s">
        <v>967</v>
      </c>
    </row>
    <row r="8" spans="1:4" ht="15.75" thickBot="1">
      <c r="A8" s="48" t="s">
        <v>968</v>
      </c>
      <c r="B8" s="49">
        <v>345065</v>
      </c>
      <c r="C8" s="49">
        <v>246906</v>
      </c>
      <c r="D8" s="47" t="s">
        <v>969</v>
      </c>
    </row>
    <row r="9" spans="1:4" ht="15.75" thickBot="1">
      <c r="A9" s="48" t="s">
        <v>970</v>
      </c>
      <c r="B9" s="50">
        <v>179095</v>
      </c>
      <c r="C9" s="50">
        <v>143100</v>
      </c>
      <c r="D9" s="47" t="s">
        <v>971</v>
      </c>
    </row>
    <row r="10" spans="1:4" ht="15.75" thickBot="1">
      <c r="A10" s="48" t="s">
        <v>972</v>
      </c>
      <c r="B10" s="50">
        <v>101897</v>
      </c>
      <c r="C10" s="50">
        <v>86462</v>
      </c>
      <c r="D10" s="47" t="s">
        <v>973</v>
      </c>
    </row>
    <row r="11" spans="1:4" ht="15.75" thickBot="1">
      <c r="A11" s="48" t="s">
        <v>974</v>
      </c>
      <c r="B11" s="49"/>
      <c r="C11" s="49"/>
      <c r="D11" s="47" t="s">
        <v>975</v>
      </c>
    </row>
    <row r="12" spans="1:4" ht="15.75" thickBot="1">
      <c r="A12" s="48" t="s">
        <v>976</v>
      </c>
      <c r="B12" s="49">
        <v>1365</v>
      </c>
      <c r="C12" s="49">
        <v>1232</v>
      </c>
      <c r="D12" s="47" t="s">
        <v>977</v>
      </c>
    </row>
    <row r="13" spans="1:4" ht="15.75" thickBot="1">
      <c r="A13" s="48" t="s">
        <v>978</v>
      </c>
      <c r="B13" s="49"/>
      <c r="C13" s="49"/>
      <c r="D13" s="47" t="s">
        <v>979</v>
      </c>
    </row>
    <row r="14" spans="1:4" ht="15.75" thickBot="1">
      <c r="A14" s="48" t="s">
        <v>980</v>
      </c>
      <c r="B14" s="49"/>
      <c r="C14" s="49"/>
      <c r="D14" s="47" t="s">
        <v>981</v>
      </c>
    </row>
    <row r="15" spans="1:4" ht="15.75" thickBot="1">
      <c r="A15" s="48" t="s">
        <v>982</v>
      </c>
      <c r="B15" s="50">
        <v>13344</v>
      </c>
      <c r="C15" s="50">
        <v>14126</v>
      </c>
      <c r="D15" s="47" t="s">
        <v>983</v>
      </c>
    </row>
    <row r="16" spans="1:4" ht="26.25" thickBot="1">
      <c r="A16" s="48" t="s">
        <v>984</v>
      </c>
      <c r="B16" s="49"/>
      <c r="C16" s="49"/>
      <c r="D16" s="47" t="s">
        <v>985</v>
      </c>
    </row>
    <row r="17" spans="1:4" ht="39" thickBot="1">
      <c r="A17" s="48" t="s">
        <v>986</v>
      </c>
      <c r="B17" s="49"/>
      <c r="C17" s="49"/>
      <c r="D17" s="47" t="s">
        <v>987</v>
      </c>
    </row>
    <row r="18" spans="1:4" ht="39" thickBot="1">
      <c r="A18" s="48" t="s">
        <v>988</v>
      </c>
      <c r="B18" s="49"/>
      <c r="C18" s="49"/>
      <c r="D18" s="47" t="s">
        <v>989</v>
      </c>
    </row>
    <row r="19" spans="1:4" ht="26.25" thickBot="1">
      <c r="A19" s="48" t="s">
        <v>990</v>
      </c>
      <c r="B19" s="49"/>
      <c r="C19" s="49"/>
      <c r="D19" s="47" t="s">
        <v>991</v>
      </c>
    </row>
    <row r="20" spans="1:4" ht="26.25" thickBot="1">
      <c r="A20" s="48" t="s">
        <v>992</v>
      </c>
      <c r="B20" s="49"/>
      <c r="C20" s="49"/>
      <c r="D20" s="47" t="s">
        <v>993</v>
      </c>
    </row>
    <row r="21" spans="1:4" ht="26.25" thickBot="1">
      <c r="A21" s="48" t="s">
        <v>994</v>
      </c>
      <c r="B21" s="49"/>
      <c r="C21" s="49"/>
      <c r="D21" s="47" t="s">
        <v>995</v>
      </c>
    </row>
    <row r="22" spans="1:4" ht="15.75" thickBot="1">
      <c r="A22" s="48" t="s">
        <v>996</v>
      </c>
      <c r="B22" s="50"/>
      <c r="C22" s="50"/>
      <c r="D22" s="47" t="s">
        <v>997</v>
      </c>
    </row>
    <row r="23" spans="1:4" ht="15.75" thickBot="1">
      <c r="A23" s="48" t="s">
        <v>998</v>
      </c>
      <c r="B23" s="49">
        <v>5640</v>
      </c>
      <c r="C23" s="49">
        <v>3129</v>
      </c>
      <c r="D23" s="47" t="s">
        <v>999</v>
      </c>
    </row>
    <row r="24" spans="1:4" ht="15.75" thickBot="1">
      <c r="A24" s="48" t="s">
        <v>1000</v>
      </c>
      <c r="B24" s="50">
        <v>10090</v>
      </c>
      <c r="C24" s="50">
        <v>3498</v>
      </c>
      <c r="D24" s="47" t="s">
        <v>1001</v>
      </c>
    </row>
    <row r="25" spans="1:4" ht="15.75" thickBot="1">
      <c r="A25" s="48" t="s">
        <v>1002</v>
      </c>
      <c r="B25" s="49"/>
      <c r="C25" s="49"/>
      <c r="D25" s="47" t="s">
        <v>1003</v>
      </c>
    </row>
    <row r="26" spans="1:4" ht="26.25" thickBot="1">
      <c r="A26" s="48" t="s">
        <v>1004</v>
      </c>
      <c r="B26" s="49">
        <v>47644</v>
      </c>
      <c r="C26" s="49">
        <v>4081</v>
      </c>
      <c r="D26" s="47" t="s">
        <v>1005</v>
      </c>
    </row>
    <row r="27" spans="1:4" ht="15.75" thickBot="1">
      <c r="A27" s="48" t="s">
        <v>1006</v>
      </c>
      <c r="B27" s="49">
        <v>-18829</v>
      </c>
      <c r="C27" s="49">
        <v>-9132</v>
      </c>
      <c r="D27" s="47" t="s">
        <v>1007</v>
      </c>
    </row>
    <row r="28" spans="1:4" ht="26.25" thickBot="1">
      <c r="A28" s="48" t="s">
        <v>1008</v>
      </c>
      <c r="B28" s="49">
        <v>28815</v>
      </c>
      <c r="C28" s="49">
        <v>-5051</v>
      </c>
      <c r="D28" s="47" t="s">
        <v>1009</v>
      </c>
    </row>
    <row r="29" spans="1:4" ht="15.75" thickBot="1">
      <c r="A29" s="48" t="s">
        <v>1010</v>
      </c>
      <c r="B29" s="49"/>
      <c r="C29" s="49"/>
      <c r="D29" s="47" t="s">
        <v>1011</v>
      </c>
    </row>
    <row r="30" spans="1:4" ht="15.75" thickBot="1">
      <c r="A30" s="48" t="s">
        <v>1012</v>
      </c>
      <c r="B30" s="49">
        <v>28815</v>
      </c>
      <c r="C30" s="49">
        <v>-5051</v>
      </c>
      <c r="D30" s="47" t="s">
        <v>1013</v>
      </c>
    </row>
    <row r="31" spans="1:4" ht="26.25" thickBot="1">
      <c r="A31" s="48" t="s">
        <v>1014</v>
      </c>
      <c r="B31" s="46"/>
      <c r="C31" s="46"/>
      <c r="D31" s="47" t="s">
        <v>1015</v>
      </c>
    </row>
    <row r="32" spans="1:4" ht="39" thickBot="1">
      <c r="A32" s="51" t="s">
        <v>1016</v>
      </c>
      <c r="B32" s="46"/>
      <c r="C32" s="46"/>
      <c r="D32" s="47" t="s">
        <v>1017</v>
      </c>
    </row>
    <row r="33" spans="1:4" ht="39" thickBot="1">
      <c r="A33" s="52" t="s">
        <v>1018</v>
      </c>
      <c r="B33" s="49"/>
      <c r="C33" s="49"/>
      <c r="D33" s="47" t="s">
        <v>1019</v>
      </c>
    </row>
    <row r="34" spans="1:4" ht="39" thickBot="1">
      <c r="A34" s="52" t="s">
        <v>1020</v>
      </c>
      <c r="B34" s="49">
        <v>6051</v>
      </c>
      <c r="C34" s="49">
        <v>2145</v>
      </c>
      <c r="D34" s="47" t="s">
        <v>1021</v>
      </c>
    </row>
    <row r="35" spans="1:4" ht="51.75" thickBot="1">
      <c r="A35" s="52" t="s">
        <v>1022</v>
      </c>
      <c r="B35" s="49"/>
      <c r="C35" s="49"/>
      <c r="D35" s="47" t="s">
        <v>1023</v>
      </c>
    </row>
    <row r="36" spans="1:4" ht="51.75" thickBot="1">
      <c r="A36" s="52" t="s">
        <v>1024</v>
      </c>
      <c r="B36" s="49">
        <v>6051</v>
      </c>
      <c r="C36" s="49">
        <v>2145</v>
      </c>
      <c r="D36" s="47" t="s">
        <v>1025</v>
      </c>
    </row>
    <row r="37" spans="1:4" ht="39" thickBot="1">
      <c r="A37" s="51" t="s">
        <v>1026</v>
      </c>
      <c r="B37" s="46"/>
      <c r="C37" s="46"/>
      <c r="D37" s="47" t="s">
        <v>1027</v>
      </c>
    </row>
    <row r="38" spans="1:4" ht="26.25" thickBot="1">
      <c r="A38" s="52" t="s">
        <v>1028</v>
      </c>
      <c r="B38" s="49"/>
      <c r="C38" s="49"/>
      <c r="D38" s="47" t="s">
        <v>1029</v>
      </c>
    </row>
    <row r="39" spans="1:4" ht="39" thickBot="1">
      <c r="A39" s="52" t="s">
        <v>1030</v>
      </c>
      <c r="B39" s="50"/>
      <c r="C39" s="50"/>
      <c r="D39" s="47" t="s">
        <v>1031</v>
      </c>
    </row>
    <row r="40" spans="1:4" ht="64.5" thickBot="1">
      <c r="A40" s="52" t="s">
        <v>1032</v>
      </c>
      <c r="B40" s="49"/>
      <c r="C40" s="49"/>
      <c r="D40" s="47" t="s">
        <v>1033</v>
      </c>
    </row>
    <row r="41" spans="1:4" ht="51.75" thickBot="1">
      <c r="A41" s="52" t="s">
        <v>1034</v>
      </c>
      <c r="B41" s="50"/>
      <c r="C41" s="50"/>
      <c r="D41" s="47" t="s">
        <v>1035</v>
      </c>
    </row>
    <row r="42" spans="1:4" ht="26.25" thickBot="1">
      <c r="A42" s="52" t="s">
        <v>1036</v>
      </c>
      <c r="B42" s="49"/>
      <c r="C42" s="49"/>
      <c r="D42" s="47" t="s">
        <v>1037</v>
      </c>
    </row>
    <row r="43" spans="1:4" ht="39" thickBot="1">
      <c r="A43" s="52" t="s">
        <v>1038</v>
      </c>
      <c r="B43" s="50"/>
      <c r="C43" s="50"/>
      <c r="D43" s="47" t="s">
        <v>1039</v>
      </c>
    </row>
    <row r="44" spans="1:4" ht="77.25" thickBot="1">
      <c r="A44" s="52" t="s">
        <v>1040</v>
      </c>
      <c r="B44" s="49"/>
      <c r="C44" s="49"/>
      <c r="D44" s="47" t="s">
        <v>1041</v>
      </c>
    </row>
    <row r="45" spans="1:4" ht="39" thickBot="1">
      <c r="A45" s="52" t="s">
        <v>1042</v>
      </c>
      <c r="B45" s="49"/>
      <c r="C45" s="49"/>
      <c r="D45" s="47" t="s">
        <v>1043</v>
      </c>
    </row>
    <row r="46" spans="1:4" ht="51.75" thickBot="1">
      <c r="A46" s="52" t="s">
        <v>1044</v>
      </c>
      <c r="B46" s="50"/>
      <c r="C46" s="50"/>
      <c r="D46" s="47" t="s">
        <v>1045</v>
      </c>
    </row>
    <row r="47" spans="1:4" ht="51.75" thickBot="1">
      <c r="A47" s="52" t="s">
        <v>1046</v>
      </c>
      <c r="B47" s="49"/>
      <c r="C47" s="49"/>
      <c r="D47" s="47" t="s">
        <v>1047</v>
      </c>
    </row>
    <row r="48" spans="1:4" ht="64.5" thickBot="1">
      <c r="A48" s="52" t="s">
        <v>1048</v>
      </c>
      <c r="B48" s="49"/>
      <c r="C48" s="49"/>
      <c r="D48" s="47" t="s">
        <v>1049</v>
      </c>
    </row>
    <row r="49" spans="1:4" ht="51.75" thickBot="1">
      <c r="A49" s="52" t="s">
        <v>1050</v>
      </c>
      <c r="B49" s="49"/>
      <c r="C49" s="49"/>
      <c r="D49" s="47" t="s">
        <v>1051</v>
      </c>
    </row>
    <row r="50" spans="1:4" ht="39" thickBot="1">
      <c r="A50" s="52" t="s">
        <v>1052</v>
      </c>
      <c r="B50" s="49"/>
      <c r="C50" s="49"/>
      <c r="D50" s="47" t="s">
        <v>1053</v>
      </c>
    </row>
    <row r="51" spans="1:4" ht="26.25" thickBot="1">
      <c r="A51" s="51" t="s">
        <v>1054</v>
      </c>
      <c r="B51" s="49">
        <v>6051</v>
      </c>
      <c r="C51" s="49">
        <v>2145</v>
      </c>
      <c r="D51" s="47" t="s">
        <v>1055</v>
      </c>
    </row>
    <row r="52" spans="1:4" ht="26.25" thickBot="1">
      <c r="A52" s="48" t="s">
        <v>1056</v>
      </c>
      <c r="B52" s="50">
        <v>-3776</v>
      </c>
      <c r="C52" s="50">
        <v>-2171</v>
      </c>
      <c r="D52" s="47" t="s">
        <v>1057</v>
      </c>
    </row>
    <row r="53" spans="1:4" ht="26.25" thickBot="1">
      <c r="A53" s="48" t="s">
        <v>1058</v>
      </c>
      <c r="B53" s="49">
        <v>9827</v>
      </c>
      <c r="C53" s="49">
        <v>4316</v>
      </c>
      <c r="D53" s="47" t="s">
        <v>1059</v>
      </c>
    </row>
    <row r="54" spans="1:4" ht="15.75" thickBot="1">
      <c r="A54" s="48" t="s">
        <v>1060</v>
      </c>
      <c r="B54" s="49">
        <v>38642</v>
      </c>
      <c r="C54" s="49">
        <v>-735</v>
      </c>
      <c r="D54" s="47" t="s">
        <v>1061</v>
      </c>
    </row>
    <row r="55" spans="1:4" ht="15.75" thickBot="1">
      <c r="A55" s="48" t="s">
        <v>1062</v>
      </c>
      <c r="B55" s="46"/>
      <c r="C55" s="46"/>
      <c r="D55" s="47" t="s">
        <v>1063</v>
      </c>
    </row>
    <row r="56" spans="1:4" ht="26.25" thickBot="1">
      <c r="A56" s="51" t="s">
        <v>1064</v>
      </c>
      <c r="B56" s="49">
        <v>28806</v>
      </c>
      <c r="C56" s="49">
        <v>-5054</v>
      </c>
      <c r="D56" s="47" t="s">
        <v>1065</v>
      </c>
    </row>
    <row r="57" spans="1:4" ht="26.25" thickBot="1">
      <c r="A57" s="51" t="s">
        <v>1066</v>
      </c>
      <c r="B57" s="49">
        <v>9</v>
      </c>
      <c r="C57" s="49">
        <v>3</v>
      </c>
      <c r="D57" s="47" t="s">
        <v>1067</v>
      </c>
    </row>
    <row r="58" spans="1:4" ht="26.25" thickBot="1">
      <c r="A58" s="48" t="s">
        <v>1068</v>
      </c>
      <c r="B58" s="46"/>
      <c r="C58" s="46"/>
      <c r="D58" s="47" t="s">
        <v>1069</v>
      </c>
    </row>
    <row r="59" spans="1:4" ht="26.25" thickBot="1">
      <c r="A59" s="51" t="s">
        <v>1070</v>
      </c>
      <c r="B59" s="49">
        <v>38635</v>
      </c>
      <c r="C59" s="49">
        <v>-737</v>
      </c>
      <c r="D59" s="47" t="s">
        <v>1071</v>
      </c>
    </row>
    <row r="60" spans="1:4" ht="39" thickBot="1">
      <c r="A60" s="51" t="s">
        <v>1072</v>
      </c>
      <c r="B60" s="49">
        <v>7</v>
      </c>
      <c r="C60" s="49">
        <v>2</v>
      </c>
      <c r="D60" s="47" t="s">
        <v>1073</v>
      </c>
    </row>
    <row r="61" spans="1:4" ht="15.75" thickBot="1">
      <c r="A61" s="48" t="s">
        <v>1074</v>
      </c>
      <c r="B61" s="46"/>
      <c r="C61" s="46"/>
      <c r="D61" s="47" t="s">
        <v>1075</v>
      </c>
    </row>
    <row r="62" spans="1:4" ht="26.25" thickBot="1">
      <c r="A62" s="51" t="s">
        <v>1076</v>
      </c>
      <c r="B62" s="46"/>
      <c r="C62" s="46"/>
      <c r="D62" s="47" t="s">
        <v>1077</v>
      </c>
    </row>
    <row r="63" spans="1:4" ht="26.25" thickBot="1">
      <c r="A63" s="52" t="s">
        <v>1078</v>
      </c>
      <c r="B63" s="53">
        <v>3.0900000000000001E-6</v>
      </c>
      <c r="C63" s="53">
        <v>-5.4000000000000002E-7</v>
      </c>
      <c r="D63" s="47" t="s">
        <v>1079</v>
      </c>
    </row>
    <row r="64" spans="1:4" ht="26.25" thickBot="1">
      <c r="A64" s="52" t="s">
        <v>1080</v>
      </c>
      <c r="B64" s="53"/>
      <c r="C64" s="53"/>
      <c r="D64" s="47" t="s">
        <v>1081</v>
      </c>
    </row>
    <row r="65" spans="1:4" ht="15.75" thickBot="1">
      <c r="A65" s="51" t="s">
        <v>1082</v>
      </c>
      <c r="B65" s="46"/>
      <c r="C65" s="46"/>
      <c r="D65" s="47" t="s">
        <v>1083</v>
      </c>
    </row>
    <row r="66" spans="1:4" ht="26.25" thickBot="1">
      <c r="A66" s="52" t="s">
        <v>1084</v>
      </c>
      <c r="B66" s="53"/>
      <c r="C66" s="53"/>
      <c r="D66" s="47" t="s">
        <v>1085</v>
      </c>
    </row>
    <row r="67" spans="1:4" ht="26.25" thickBot="1">
      <c r="A67" s="52" t="s">
        <v>1086</v>
      </c>
      <c r="B67" s="53"/>
      <c r="C67" s="53"/>
      <c r="D67" s="47" t="s">
        <v>1087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8AFD991E-E687-4BE7-B3F3-A4320FDE9810}">
      <formula1>-9.99999999999999E+33</formula1>
      <formula2>9.99999999999999E+33</formula2>
    </dataValidation>
  </dataValidations>
  <pageMargins left="0.15" right="0.15" top="0.15" bottom="0.15" header="0.5" footer="0.5"/>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92D7C1-1826-4B05-93CE-8688F4BC7014}">
  <dimension ref="A1:AB42"/>
  <sheetViews>
    <sheetView showGridLines="0" workbookViewId="0"/>
  </sheetViews>
  <sheetFormatPr defaultRowHeight="15"/>
  <cols>
    <col min="1" max="1" width="42.6640625" style="55" bestFit="1" customWidth="1" collapsed="1"/>
    <col min="2" max="27" width="33.33203125" style="55" customWidth="1" collapsed="1"/>
    <col min="28" max="28" width="42.6640625" style="55" bestFit="1" customWidth="1" collapsed="1"/>
    <col min="29" max="16384" width="9.33203125" style="55" collapsed="1"/>
  </cols>
  <sheetData>
    <row r="1" spans="1:28" ht="17.25">
      <c r="A1" s="54" t="s">
        <v>1088</v>
      </c>
    </row>
    <row r="3" spans="1:28" ht="17.25" customHeight="1">
      <c r="A3" s="267" t="s">
        <v>1089</v>
      </c>
      <c r="B3" s="267"/>
      <c r="C3" s="267"/>
      <c r="D3" s="267"/>
      <c r="E3" s="267"/>
      <c r="F3" s="267"/>
      <c r="G3" s="267"/>
      <c r="H3" s="267"/>
      <c r="I3" s="267"/>
      <c r="J3" s="267"/>
      <c r="K3" s="267"/>
      <c r="L3" s="267"/>
      <c r="M3" s="267"/>
      <c r="N3" s="267"/>
      <c r="O3" s="268" t="s">
        <v>1090</v>
      </c>
      <c r="P3" s="268"/>
      <c r="Q3" s="268"/>
      <c r="R3" s="268"/>
      <c r="S3" s="268"/>
      <c r="T3" s="268"/>
      <c r="U3" s="268"/>
      <c r="V3" s="268"/>
      <c r="W3" s="268"/>
      <c r="X3" s="268"/>
      <c r="Y3" s="268"/>
      <c r="Z3" s="268"/>
      <c r="AA3" s="268"/>
      <c r="AB3" s="268"/>
    </row>
    <row r="4" spans="1:28" ht="51.75">
      <c r="A4" s="269"/>
      <c r="B4" s="56" t="s">
        <v>914</v>
      </c>
      <c r="C4" s="56" t="s">
        <v>916</v>
      </c>
      <c r="D4" s="56" t="s">
        <v>918</v>
      </c>
      <c r="E4" s="56" t="s">
        <v>920</v>
      </c>
      <c r="F4" s="56" t="s">
        <v>922</v>
      </c>
      <c r="G4" s="56" t="s">
        <v>924</v>
      </c>
      <c r="H4" s="56" t="s">
        <v>1091</v>
      </c>
      <c r="I4" s="56" t="s">
        <v>926</v>
      </c>
      <c r="J4" s="56" t="s">
        <v>928</v>
      </c>
      <c r="K4" s="56" t="s">
        <v>930</v>
      </c>
      <c r="L4" s="56" t="s">
        <v>932</v>
      </c>
      <c r="M4" s="56" t="s">
        <v>934</v>
      </c>
      <c r="N4" s="56" t="s">
        <v>936</v>
      </c>
      <c r="O4" s="56" t="s">
        <v>938</v>
      </c>
      <c r="P4" s="56" t="s">
        <v>940</v>
      </c>
      <c r="Q4" s="56" t="s">
        <v>942</v>
      </c>
      <c r="R4" s="56" t="s">
        <v>1092</v>
      </c>
      <c r="S4" s="56" t="s">
        <v>1093</v>
      </c>
      <c r="T4" s="56" t="s">
        <v>1094</v>
      </c>
      <c r="U4" s="56" t="s">
        <v>1095</v>
      </c>
      <c r="V4" s="56" t="s">
        <v>948</v>
      </c>
      <c r="W4" s="56" t="s">
        <v>950</v>
      </c>
      <c r="X4" s="56" t="s">
        <v>1096</v>
      </c>
      <c r="Y4" s="56" t="s">
        <v>954</v>
      </c>
      <c r="Z4" s="56" t="s">
        <v>956</v>
      </c>
      <c r="AA4" s="56" t="s">
        <v>910</v>
      </c>
      <c r="AB4" s="269"/>
    </row>
    <row r="5" spans="1:28" ht="34.5">
      <c r="A5" s="269"/>
      <c r="B5" s="57" t="s">
        <v>913</v>
      </c>
      <c r="C5" s="57" t="s">
        <v>915</v>
      </c>
      <c r="D5" s="57" t="s">
        <v>917</v>
      </c>
      <c r="E5" s="57" t="s">
        <v>919</v>
      </c>
      <c r="F5" s="57" t="s">
        <v>921</v>
      </c>
      <c r="G5" s="57" t="s">
        <v>923</v>
      </c>
      <c r="H5" s="57" t="s">
        <v>1097</v>
      </c>
      <c r="I5" s="57" t="s">
        <v>925</v>
      </c>
      <c r="J5" s="57" t="s">
        <v>927</v>
      </c>
      <c r="K5" s="57" t="s">
        <v>929</v>
      </c>
      <c r="L5" s="57" t="s">
        <v>931</v>
      </c>
      <c r="M5" s="57" t="s">
        <v>933</v>
      </c>
      <c r="N5" s="57" t="s">
        <v>935</v>
      </c>
      <c r="O5" s="57" t="s">
        <v>937</v>
      </c>
      <c r="P5" s="57" t="s">
        <v>939</v>
      </c>
      <c r="Q5" s="57" t="s">
        <v>941</v>
      </c>
      <c r="R5" s="57" t="s">
        <v>1098</v>
      </c>
      <c r="S5" s="57" t="s">
        <v>1099</v>
      </c>
      <c r="T5" s="57" t="s">
        <v>1100</v>
      </c>
      <c r="U5" s="57" t="s">
        <v>1101</v>
      </c>
      <c r="V5" s="57" t="s">
        <v>947</v>
      </c>
      <c r="W5" s="57" t="s">
        <v>949</v>
      </c>
      <c r="X5" s="57" t="s">
        <v>1102</v>
      </c>
      <c r="Y5" s="57" t="s">
        <v>953</v>
      </c>
      <c r="Z5" s="57" t="s">
        <v>955</v>
      </c>
      <c r="AA5" s="57" t="s">
        <v>909</v>
      </c>
      <c r="AB5" s="269"/>
    </row>
    <row r="6" spans="1:28" ht="26.25" thickBot="1">
      <c r="A6" s="58" t="s">
        <v>1103</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1104</v>
      </c>
    </row>
    <row r="7" spans="1:28" ht="15.75" thickBot="1">
      <c r="A7" s="61" t="s">
        <v>1105</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1106</v>
      </c>
    </row>
    <row r="8" spans="1:28" ht="26.25" thickBot="1">
      <c r="A8" s="62" t="s">
        <v>1107</v>
      </c>
      <c r="B8" s="63">
        <v>1902860</v>
      </c>
      <c r="C8" s="63"/>
      <c r="D8" s="63">
        <v>1317711</v>
      </c>
      <c r="E8" s="63"/>
      <c r="F8" s="63"/>
      <c r="G8" s="63"/>
      <c r="H8" s="63"/>
      <c r="I8" s="63">
        <v>511441</v>
      </c>
      <c r="J8" s="63"/>
      <c r="K8" s="63"/>
      <c r="L8" s="63"/>
      <c r="M8" s="63"/>
      <c r="N8" s="63"/>
      <c r="O8" s="63"/>
      <c r="P8" s="63"/>
      <c r="Q8" s="63">
        <v>197886</v>
      </c>
      <c r="R8" s="63"/>
      <c r="S8" s="63"/>
      <c r="T8" s="63"/>
      <c r="U8" s="63"/>
      <c r="V8" s="63">
        <v>129318</v>
      </c>
      <c r="W8" s="63">
        <v>-3089665</v>
      </c>
      <c r="X8" s="63">
        <v>969551</v>
      </c>
      <c r="Y8" s="63"/>
      <c r="Z8" s="63">
        <v>-1353</v>
      </c>
      <c r="AA8" s="63">
        <v>968198</v>
      </c>
      <c r="AB8" s="60" t="s">
        <v>1108</v>
      </c>
    </row>
    <row r="9" spans="1:28" ht="15.75" thickBot="1">
      <c r="A9" s="62" t="s">
        <v>1109</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1110</v>
      </c>
    </row>
    <row r="10" spans="1:28" ht="26.25" thickBot="1">
      <c r="A10" s="64" t="s">
        <v>1111</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1112</v>
      </c>
    </row>
    <row r="11" spans="1:28" ht="26.25" thickBot="1">
      <c r="A11" s="64" t="s">
        <v>1113</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1114</v>
      </c>
    </row>
    <row r="12" spans="1:28" ht="15.75" thickBot="1">
      <c r="A12" s="64" t="s">
        <v>1115</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1116</v>
      </c>
    </row>
    <row r="13" spans="1:28" ht="15.75" thickBot="1">
      <c r="A13" s="64" t="s">
        <v>1117</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1118</v>
      </c>
    </row>
    <row r="14" spans="1:28" ht="15.75" thickBot="1">
      <c r="A14" s="62" t="s">
        <v>1119</v>
      </c>
      <c r="B14" s="63">
        <v>1902860</v>
      </c>
      <c r="C14" s="63"/>
      <c r="D14" s="63">
        <v>1317711</v>
      </c>
      <c r="E14" s="63"/>
      <c r="F14" s="63"/>
      <c r="G14" s="63"/>
      <c r="H14" s="63"/>
      <c r="I14" s="63">
        <v>511441</v>
      </c>
      <c r="J14" s="63"/>
      <c r="K14" s="63"/>
      <c r="L14" s="63"/>
      <c r="M14" s="63"/>
      <c r="N14" s="63"/>
      <c r="O14" s="63"/>
      <c r="P14" s="63"/>
      <c r="Q14" s="63">
        <v>197886</v>
      </c>
      <c r="R14" s="63"/>
      <c r="S14" s="63"/>
      <c r="T14" s="63"/>
      <c r="U14" s="63"/>
      <c r="V14" s="63">
        <v>129318</v>
      </c>
      <c r="W14" s="63">
        <v>-3089665</v>
      </c>
      <c r="X14" s="63">
        <v>969551</v>
      </c>
      <c r="Y14" s="63"/>
      <c r="Z14" s="63">
        <v>-1353</v>
      </c>
      <c r="AA14" s="63">
        <v>968198</v>
      </c>
      <c r="AB14" s="60" t="s">
        <v>1120</v>
      </c>
    </row>
    <row r="15" spans="1:28" ht="15.75" thickBot="1">
      <c r="A15" s="62" t="s">
        <v>1121</v>
      </c>
      <c r="B15" s="63"/>
      <c r="C15" s="63"/>
      <c r="D15" s="63"/>
      <c r="E15" s="63"/>
      <c r="F15" s="63"/>
      <c r="G15" s="63"/>
      <c r="H15" s="63"/>
      <c r="I15" s="63"/>
      <c r="J15" s="63"/>
      <c r="K15" s="63"/>
      <c r="L15" s="63"/>
      <c r="M15" s="63"/>
      <c r="N15" s="63"/>
      <c r="O15" s="63"/>
      <c r="P15" s="63"/>
      <c r="Q15" s="63"/>
      <c r="R15" s="63"/>
      <c r="S15" s="63"/>
      <c r="T15" s="63"/>
      <c r="U15" s="63"/>
      <c r="V15" s="63"/>
      <c r="W15" s="63">
        <v>28806</v>
      </c>
      <c r="X15" s="63">
        <v>28806</v>
      </c>
      <c r="Y15" s="63"/>
      <c r="Z15" s="63">
        <v>9</v>
      </c>
      <c r="AA15" s="63">
        <v>28815</v>
      </c>
      <c r="AB15" s="60" t="s">
        <v>1122</v>
      </c>
    </row>
    <row r="16" spans="1:28" ht="15.75" thickBot="1">
      <c r="A16" s="62" t="s">
        <v>1123</v>
      </c>
      <c r="B16" s="63"/>
      <c r="C16" s="63"/>
      <c r="D16" s="63"/>
      <c r="E16" s="63"/>
      <c r="F16" s="63"/>
      <c r="G16" s="63"/>
      <c r="H16" s="63"/>
      <c r="I16" s="63">
        <v>-18045</v>
      </c>
      <c r="J16" s="63"/>
      <c r="K16" s="63"/>
      <c r="L16" s="63"/>
      <c r="M16" s="63"/>
      <c r="N16" s="63"/>
      <c r="O16" s="63"/>
      <c r="P16" s="63"/>
      <c r="Q16" s="63"/>
      <c r="R16" s="63"/>
      <c r="S16" s="63"/>
      <c r="T16" s="63"/>
      <c r="U16" s="63"/>
      <c r="V16" s="63"/>
      <c r="W16" s="63">
        <v>27874</v>
      </c>
      <c r="X16" s="63">
        <v>9829</v>
      </c>
      <c r="Y16" s="63"/>
      <c r="Z16" s="63">
        <v>-2</v>
      </c>
      <c r="AA16" s="63">
        <v>9827</v>
      </c>
      <c r="AB16" s="60" t="s">
        <v>1124</v>
      </c>
    </row>
    <row r="17" spans="1:28" ht="15.75" thickBot="1">
      <c r="A17" s="62" t="s">
        <v>1097</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1091</v>
      </c>
    </row>
    <row r="18" spans="1:28" ht="15.75" thickBot="1">
      <c r="A18" s="62" t="s">
        <v>1125</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1126</v>
      </c>
    </row>
    <row r="19" spans="1:28" ht="15.75" thickBot="1">
      <c r="A19" s="62" t="s">
        <v>1127</v>
      </c>
      <c r="B19" s="65"/>
      <c r="C19" s="65"/>
      <c r="D19" s="65"/>
      <c r="E19" s="65"/>
      <c r="F19" s="65"/>
      <c r="G19" s="65"/>
      <c r="H19" s="65"/>
      <c r="I19" s="65"/>
      <c r="J19" s="65"/>
      <c r="K19" s="65"/>
      <c r="L19" s="65"/>
      <c r="M19" s="65"/>
      <c r="N19" s="65"/>
      <c r="O19" s="65"/>
      <c r="P19" s="65"/>
      <c r="Q19" s="65"/>
      <c r="R19" s="65"/>
      <c r="S19" s="65"/>
      <c r="T19" s="65"/>
      <c r="U19" s="65"/>
      <c r="V19" s="65"/>
      <c r="W19" s="65"/>
      <c r="X19" s="65"/>
      <c r="Y19" s="65"/>
      <c r="Z19" s="65">
        <v>32</v>
      </c>
      <c r="AA19" s="65">
        <v>32</v>
      </c>
      <c r="AB19" s="60" t="s">
        <v>1128</v>
      </c>
    </row>
    <row r="20" spans="1:28" ht="15.75" thickBot="1">
      <c r="A20" s="62" t="s">
        <v>1129</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1130</v>
      </c>
    </row>
    <row r="21" spans="1:28" ht="15.75" thickBot="1">
      <c r="A21" s="62" t="s">
        <v>1131</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1132</v>
      </c>
    </row>
    <row r="22" spans="1:28" ht="15.75" thickBot="1">
      <c r="A22" s="62" t="s">
        <v>1133</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1134</v>
      </c>
    </row>
    <row r="23" spans="1:28" ht="15.75" thickBot="1">
      <c r="A23" s="62" t="s">
        <v>1135</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1136</v>
      </c>
    </row>
    <row r="24" spans="1:28" ht="26.25" thickBot="1">
      <c r="A24" s="62" t="s">
        <v>1137</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1138</v>
      </c>
    </row>
    <row r="25" spans="1:28" ht="26.25" thickBot="1">
      <c r="A25" s="62" t="s">
        <v>1139</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1140</v>
      </c>
    </row>
    <row r="26" spans="1:28" ht="39" thickBot="1">
      <c r="A26" s="62" t="s">
        <v>1141</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1142</v>
      </c>
    </row>
    <row r="27" spans="1:28" ht="26.25" thickBot="1">
      <c r="A27" s="62" t="s">
        <v>1143</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1144</v>
      </c>
    </row>
    <row r="28" spans="1:28" ht="15.75" thickBot="1">
      <c r="A28" s="62" t="s">
        <v>1145</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1146</v>
      </c>
    </row>
    <row r="29" spans="1:28" ht="39" thickBot="1">
      <c r="A29" s="62" t="s">
        <v>1147</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1148</v>
      </c>
    </row>
    <row r="30" spans="1:28" ht="26.25" thickBot="1">
      <c r="A30" s="62" t="s">
        <v>1149</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1150</v>
      </c>
    </row>
    <row r="31" spans="1:28" ht="26.25" thickBot="1">
      <c r="A31" s="62" t="s">
        <v>1151</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1152</v>
      </c>
    </row>
    <row r="32" spans="1:28" ht="39" thickBot="1">
      <c r="A32" s="62" t="s">
        <v>1153</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1154</v>
      </c>
    </row>
    <row r="33" spans="1:28" ht="39" thickBot="1">
      <c r="A33" s="62" t="s">
        <v>1155</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1156</v>
      </c>
    </row>
    <row r="34" spans="1:28" ht="39" thickBot="1">
      <c r="A34" s="62" t="s">
        <v>1157</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1158</v>
      </c>
    </row>
    <row r="35" spans="1:28" ht="64.5" thickBot="1">
      <c r="A35" s="62" t="s">
        <v>1159</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1160</v>
      </c>
    </row>
    <row r="36" spans="1:28" ht="39" thickBot="1">
      <c r="A36" s="62" t="s">
        <v>1161</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1162</v>
      </c>
    </row>
    <row r="37" spans="1:28" ht="26.25" thickBot="1">
      <c r="A37" s="62" t="s">
        <v>1163</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1164</v>
      </c>
    </row>
    <row r="38" spans="1:28" ht="15.75" thickBot="1">
      <c r="A38" s="62" t="s">
        <v>1165</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1166</v>
      </c>
    </row>
    <row r="39" spans="1:28" ht="26.25" thickBot="1">
      <c r="A39" s="62" t="s">
        <v>1167</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1168</v>
      </c>
    </row>
    <row r="40" spans="1:28" ht="26.25" thickBot="1">
      <c r="A40" s="62" t="s">
        <v>1169</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1170</v>
      </c>
    </row>
    <row r="41" spans="1:28" ht="15.75" thickBot="1">
      <c r="A41" s="62" t="s">
        <v>1171</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1172</v>
      </c>
    </row>
    <row r="42" spans="1:28" ht="15.75" thickBot="1">
      <c r="A42" s="62" t="s">
        <v>1173</v>
      </c>
      <c r="B42" s="63">
        <v>1902860</v>
      </c>
      <c r="C42" s="63"/>
      <c r="D42" s="63">
        <v>1317711</v>
      </c>
      <c r="E42" s="63"/>
      <c r="F42" s="63"/>
      <c r="G42" s="63"/>
      <c r="H42" s="63"/>
      <c r="I42" s="63">
        <v>493396</v>
      </c>
      <c r="J42" s="63"/>
      <c r="K42" s="63"/>
      <c r="L42" s="63"/>
      <c r="M42" s="63"/>
      <c r="N42" s="63"/>
      <c r="O42" s="63"/>
      <c r="P42" s="63"/>
      <c r="Q42" s="63">
        <v>197886</v>
      </c>
      <c r="R42" s="63"/>
      <c r="S42" s="63"/>
      <c r="T42" s="63"/>
      <c r="U42" s="63"/>
      <c r="V42" s="63">
        <v>129318</v>
      </c>
      <c r="W42" s="63">
        <v>-3032985</v>
      </c>
      <c r="X42" s="63">
        <v>1008186</v>
      </c>
      <c r="Y42" s="63"/>
      <c r="Z42" s="63">
        <v>-1378</v>
      </c>
      <c r="AA42" s="63">
        <v>1006808</v>
      </c>
      <c r="AB42" s="60" t="s">
        <v>1174</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4D22297-79D1-42C8-9160-F0A8BB4DE272}">
      <formula1>-9.99999999999999E+33</formula1>
      <formula2>9.99999999999999E+33</formula2>
    </dataValidation>
  </dataValidations>
  <pageMargins left="0.15" right="0.15" top="0.15" bottom="0.15" header="0.5" footer="0.5"/>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8D0B46-2608-425E-8A70-62E8ADDC7CF6}">
  <dimension ref="A1:AB42"/>
  <sheetViews>
    <sheetView showGridLines="0" workbookViewId="0"/>
  </sheetViews>
  <sheetFormatPr defaultRowHeight="15"/>
  <cols>
    <col min="1" max="1" width="42.6640625" style="67" bestFit="1" customWidth="1" collapsed="1"/>
    <col min="2" max="27" width="33.33203125" style="67" customWidth="1" collapsed="1"/>
    <col min="28" max="28" width="42.6640625" style="67" bestFit="1" customWidth="1" collapsed="1"/>
    <col min="29" max="16384" width="9.33203125" style="67" collapsed="1"/>
  </cols>
  <sheetData>
    <row r="1" spans="1:28" ht="17.25">
      <c r="A1" s="66" t="s">
        <v>1175</v>
      </c>
    </row>
    <row r="3" spans="1:28" ht="17.25" customHeight="1">
      <c r="A3" s="270" t="s">
        <v>1089</v>
      </c>
      <c r="B3" s="270"/>
      <c r="C3" s="270"/>
      <c r="D3" s="270"/>
      <c r="E3" s="270"/>
      <c r="F3" s="270"/>
      <c r="G3" s="270"/>
      <c r="H3" s="270"/>
      <c r="I3" s="270"/>
      <c r="J3" s="270"/>
      <c r="K3" s="270"/>
      <c r="L3" s="270"/>
      <c r="M3" s="270"/>
      <c r="N3" s="270"/>
      <c r="O3" s="271" t="s">
        <v>1090</v>
      </c>
      <c r="P3" s="271"/>
      <c r="Q3" s="271"/>
      <c r="R3" s="271"/>
      <c r="S3" s="271"/>
      <c r="T3" s="271"/>
      <c r="U3" s="271"/>
      <c r="V3" s="271"/>
      <c r="W3" s="271"/>
      <c r="X3" s="271"/>
      <c r="Y3" s="271"/>
      <c r="Z3" s="271"/>
      <c r="AA3" s="271"/>
      <c r="AB3" s="271"/>
    </row>
    <row r="4" spans="1:28" ht="51.75">
      <c r="A4" s="272"/>
      <c r="B4" s="68" t="s">
        <v>914</v>
      </c>
      <c r="C4" s="68" t="s">
        <v>916</v>
      </c>
      <c r="D4" s="68" t="s">
        <v>918</v>
      </c>
      <c r="E4" s="68" t="s">
        <v>920</v>
      </c>
      <c r="F4" s="68" t="s">
        <v>922</v>
      </c>
      <c r="G4" s="68" t="s">
        <v>924</v>
      </c>
      <c r="H4" s="68" t="s">
        <v>1091</v>
      </c>
      <c r="I4" s="68" t="s">
        <v>926</v>
      </c>
      <c r="J4" s="68" t="s">
        <v>928</v>
      </c>
      <c r="K4" s="68" t="s">
        <v>930</v>
      </c>
      <c r="L4" s="68" t="s">
        <v>932</v>
      </c>
      <c r="M4" s="68" t="s">
        <v>934</v>
      </c>
      <c r="N4" s="68" t="s">
        <v>936</v>
      </c>
      <c r="O4" s="68" t="s">
        <v>938</v>
      </c>
      <c r="P4" s="68" t="s">
        <v>940</v>
      </c>
      <c r="Q4" s="68" t="s">
        <v>942</v>
      </c>
      <c r="R4" s="68" t="s">
        <v>1092</v>
      </c>
      <c r="S4" s="68" t="s">
        <v>1093</v>
      </c>
      <c r="T4" s="68" t="s">
        <v>1094</v>
      </c>
      <c r="U4" s="68" t="s">
        <v>1095</v>
      </c>
      <c r="V4" s="68" t="s">
        <v>948</v>
      </c>
      <c r="W4" s="68" t="s">
        <v>950</v>
      </c>
      <c r="X4" s="68" t="s">
        <v>1096</v>
      </c>
      <c r="Y4" s="68" t="s">
        <v>954</v>
      </c>
      <c r="Z4" s="68" t="s">
        <v>956</v>
      </c>
      <c r="AA4" s="68" t="s">
        <v>910</v>
      </c>
      <c r="AB4" s="272"/>
    </row>
    <row r="5" spans="1:28" ht="34.5">
      <c r="A5" s="272"/>
      <c r="B5" s="69" t="s">
        <v>913</v>
      </c>
      <c r="C5" s="69" t="s">
        <v>915</v>
      </c>
      <c r="D5" s="69" t="s">
        <v>917</v>
      </c>
      <c r="E5" s="69" t="s">
        <v>919</v>
      </c>
      <c r="F5" s="69" t="s">
        <v>921</v>
      </c>
      <c r="G5" s="69" t="s">
        <v>923</v>
      </c>
      <c r="H5" s="69" t="s">
        <v>1097</v>
      </c>
      <c r="I5" s="69" t="s">
        <v>925</v>
      </c>
      <c r="J5" s="69" t="s">
        <v>927</v>
      </c>
      <c r="K5" s="69" t="s">
        <v>929</v>
      </c>
      <c r="L5" s="69" t="s">
        <v>931</v>
      </c>
      <c r="M5" s="69" t="s">
        <v>933</v>
      </c>
      <c r="N5" s="69" t="s">
        <v>935</v>
      </c>
      <c r="O5" s="69" t="s">
        <v>937</v>
      </c>
      <c r="P5" s="69" t="s">
        <v>939</v>
      </c>
      <c r="Q5" s="69" t="s">
        <v>941</v>
      </c>
      <c r="R5" s="69" t="s">
        <v>1098</v>
      </c>
      <c r="S5" s="69" t="s">
        <v>1099</v>
      </c>
      <c r="T5" s="69" t="s">
        <v>1100</v>
      </c>
      <c r="U5" s="69" t="s">
        <v>1101</v>
      </c>
      <c r="V5" s="69" t="s">
        <v>947</v>
      </c>
      <c r="W5" s="69" t="s">
        <v>949</v>
      </c>
      <c r="X5" s="69" t="s">
        <v>1102</v>
      </c>
      <c r="Y5" s="69" t="s">
        <v>953</v>
      </c>
      <c r="Z5" s="69" t="s">
        <v>955</v>
      </c>
      <c r="AA5" s="69" t="s">
        <v>909</v>
      </c>
      <c r="AB5" s="272"/>
    </row>
    <row r="6" spans="1:28" ht="26.25" thickBot="1">
      <c r="A6" s="70" t="s">
        <v>1103</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1104</v>
      </c>
    </row>
    <row r="7" spans="1:28" ht="15.75" thickBot="1">
      <c r="A7" s="73" t="s">
        <v>1105</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1106</v>
      </c>
    </row>
    <row r="8" spans="1:28" ht="26.25" thickBot="1">
      <c r="A8" s="74" t="s">
        <v>1107</v>
      </c>
      <c r="B8" s="75">
        <v>1902860</v>
      </c>
      <c r="C8" s="75"/>
      <c r="D8" s="75">
        <v>1317711</v>
      </c>
      <c r="E8" s="75"/>
      <c r="F8" s="75"/>
      <c r="G8" s="75"/>
      <c r="H8" s="75"/>
      <c r="I8" s="75">
        <v>370568</v>
      </c>
      <c r="J8" s="75"/>
      <c r="K8" s="75"/>
      <c r="L8" s="75"/>
      <c r="M8" s="75"/>
      <c r="N8" s="75"/>
      <c r="O8" s="75"/>
      <c r="P8" s="75"/>
      <c r="Q8" s="75">
        <v>197886</v>
      </c>
      <c r="R8" s="75"/>
      <c r="S8" s="75"/>
      <c r="T8" s="75"/>
      <c r="U8" s="75"/>
      <c r="V8" s="75">
        <v>129318</v>
      </c>
      <c r="W8" s="75">
        <v>-3139250</v>
      </c>
      <c r="X8" s="75">
        <v>779093</v>
      </c>
      <c r="Y8" s="75"/>
      <c r="Z8" s="75">
        <v>-1232</v>
      </c>
      <c r="AA8" s="75">
        <v>777861</v>
      </c>
      <c r="AB8" s="72" t="s">
        <v>1108</v>
      </c>
    </row>
    <row r="9" spans="1:28" ht="15.75" thickBot="1">
      <c r="A9" s="74" t="s">
        <v>1109</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1110</v>
      </c>
    </row>
    <row r="10" spans="1:28" ht="26.25" thickBot="1">
      <c r="A10" s="76" t="s">
        <v>1111</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1112</v>
      </c>
    </row>
    <row r="11" spans="1:28" ht="26.25" thickBot="1">
      <c r="A11" s="76" t="s">
        <v>1113</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1114</v>
      </c>
    </row>
    <row r="12" spans="1:28" ht="15.75" thickBot="1">
      <c r="A12" s="76" t="s">
        <v>1115</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1116</v>
      </c>
    </row>
    <row r="13" spans="1:28" ht="15.75" thickBot="1">
      <c r="A13" s="76" t="s">
        <v>1117</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1118</v>
      </c>
    </row>
    <row r="14" spans="1:28" ht="15.75" thickBot="1">
      <c r="A14" s="74" t="s">
        <v>1119</v>
      </c>
      <c r="B14" s="75">
        <v>1902860</v>
      </c>
      <c r="C14" s="75"/>
      <c r="D14" s="75">
        <v>1317711</v>
      </c>
      <c r="E14" s="75"/>
      <c r="F14" s="75"/>
      <c r="G14" s="75"/>
      <c r="H14" s="75"/>
      <c r="I14" s="75">
        <v>370568</v>
      </c>
      <c r="J14" s="75"/>
      <c r="K14" s="75"/>
      <c r="L14" s="75"/>
      <c r="M14" s="75"/>
      <c r="N14" s="75"/>
      <c r="O14" s="75"/>
      <c r="P14" s="75"/>
      <c r="Q14" s="75">
        <v>197886</v>
      </c>
      <c r="R14" s="75"/>
      <c r="S14" s="75"/>
      <c r="T14" s="75"/>
      <c r="U14" s="75"/>
      <c r="V14" s="75">
        <v>129318</v>
      </c>
      <c r="W14" s="75">
        <v>-3139250</v>
      </c>
      <c r="X14" s="75">
        <v>779093</v>
      </c>
      <c r="Y14" s="75"/>
      <c r="Z14" s="75">
        <v>-1232</v>
      </c>
      <c r="AA14" s="75">
        <v>777861</v>
      </c>
      <c r="AB14" s="72" t="s">
        <v>1120</v>
      </c>
    </row>
    <row r="15" spans="1:28" ht="15.75" thickBot="1">
      <c r="A15" s="74" t="s">
        <v>1121</v>
      </c>
      <c r="B15" s="75"/>
      <c r="C15" s="75"/>
      <c r="D15" s="75"/>
      <c r="E15" s="75"/>
      <c r="F15" s="75"/>
      <c r="G15" s="75"/>
      <c r="H15" s="75"/>
      <c r="I15" s="75"/>
      <c r="J15" s="75"/>
      <c r="K15" s="75"/>
      <c r="L15" s="75"/>
      <c r="M15" s="75"/>
      <c r="N15" s="75"/>
      <c r="O15" s="75"/>
      <c r="P15" s="75"/>
      <c r="Q15" s="75"/>
      <c r="R15" s="75"/>
      <c r="S15" s="75"/>
      <c r="T15" s="75"/>
      <c r="U15" s="75"/>
      <c r="V15" s="75"/>
      <c r="W15" s="75">
        <v>-5054</v>
      </c>
      <c r="X15" s="75">
        <v>-5054</v>
      </c>
      <c r="Y15" s="75"/>
      <c r="Z15" s="75">
        <v>3</v>
      </c>
      <c r="AA15" s="75">
        <v>-5051</v>
      </c>
      <c r="AB15" s="72" t="s">
        <v>1122</v>
      </c>
    </row>
    <row r="16" spans="1:28" ht="15.75" thickBot="1">
      <c r="A16" s="74" t="s">
        <v>1123</v>
      </c>
      <c r="B16" s="75"/>
      <c r="C16" s="75"/>
      <c r="D16" s="75"/>
      <c r="E16" s="75"/>
      <c r="F16" s="75"/>
      <c r="G16" s="75"/>
      <c r="H16" s="75"/>
      <c r="I16" s="75">
        <v>-7834</v>
      </c>
      <c r="J16" s="75"/>
      <c r="K16" s="75"/>
      <c r="L16" s="75"/>
      <c r="M16" s="75"/>
      <c r="N16" s="75"/>
      <c r="O16" s="75"/>
      <c r="P16" s="75"/>
      <c r="Q16" s="75"/>
      <c r="R16" s="75"/>
      <c r="S16" s="75"/>
      <c r="T16" s="75"/>
      <c r="U16" s="75"/>
      <c r="V16" s="75"/>
      <c r="W16" s="75">
        <v>12151</v>
      </c>
      <c r="X16" s="75">
        <v>4317</v>
      </c>
      <c r="Y16" s="75"/>
      <c r="Z16" s="75">
        <v>-1</v>
      </c>
      <c r="AA16" s="75">
        <v>4316</v>
      </c>
      <c r="AB16" s="72" t="s">
        <v>1124</v>
      </c>
    </row>
    <row r="17" spans="1:28" ht="15.75" thickBot="1">
      <c r="A17" s="74" t="s">
        <v>1097</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1091</v>
      </c>
    </row>
    <row r="18" spans="1:28" ht="15.75" thickBot="1">
      <c r="A18" s="74" t="s">
        <v>1125</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1126</v>
      </c>
    </row>
    <row r="19" spans="1:28" ht="15.75" thickBot="1">
      <c r="A19" s="74" t="s">
        <v>1127</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1128</v>
      </c>
    </row>
    <row r="20" spans="1:28" ht="15.75" thickBot="1">
      <c r="A20" s="74" t="s">
        <v>1129</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1130</v>
      </c>
    </row>
    <row r="21" spans="1:28" ht="15.75" thickBot="1">
      <c r="A21" s="74" t="s">
        <v>1131</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1132</v>
      </c>
    </row>
    <row r="22" spans="1:28" ht="15.75" thickBot="1">
      <c r="A22" s="74" t="s">
        <v>1133</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1134</v>
      </c>
    </row>
    <row r="23" spans="1:28" ht="15.75" thickBot="1">
      <c r="A23" s="74" t="s">
        <v>1135</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1136</v>
      </c>
    </row>
    <row r="24" spans="1:28" ht="26.25" thickBot="1">
      <c r="A24" s="74" t="s">
        <v>1137</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1138</v>
      </c>
    </row>
    <row r="25" spans="1:28" ht="26.25" thickBot="1">
      <c r="A25" s="74" t="s">
        <v>1139</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1140</v>
      </c>
    </row>
    <row r="26" spans="1:28" ht="39" thickBot="1">
      <c r="A26" s="74" t="s">
        <v>1141</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1142</v>
      </c>
    </row>
    <row r="27" spans="1:28" ht="26.25" thickBot="1">
      <c r="A27" s="74" t="s">
        <v>1143</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1144</v>
      </c>
    </row>
    <row r="28" spans="1:28" ht="15.75" thickBot="1">
      <c r="A28" s="74" t="s">
        <v>1145</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1146</v>
      </c>
    </row>
    <row r="29" spans="1:28" ht="39" thickBot="1">
      <c r="A29" s="74" t="s">
        <v>1147</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1148</v>
      </c>
    </row>
    <row r="30" spans="1:28" ht="26.25" thickBot="1">
      <c r="A30" s="74" t="s">
        <v>1149</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1150</v>
      </c>
    </row>
    <row r="31" spans="1:28" ht="26.25" thickBot="1">
      <c r="A31" s="74" t="s">
        <v>1151</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1152</v>
      </c>
    </row>
    <row r="32" spans="1:28" ht="39" thickBot="1">
      <c r="A32" s="74" t="s">
        <v>1153</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1154</v>
      </c>
    </row>
    <row r="33" spans="1:28" ht="39" thickBot="1">
      <c r="A33" s="74" t="s">
        <v>1155</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1156</v>
      </c>
    </row>
    <row r="34" spans="1:28" ht="39" thickBot="1">
      <c r="A34" s="74" t="s">
        <v>1157</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1158</v>
      </c>
    </row>
    <row r="35" spans="1:28" ht="64.5" thickBot="1">
      <c r="A35" s="74" t="s">
        <v>1159</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1160</v>
      </c>
    </row>
    <row r="36" spans="1:28" ht="39" thickBot="1">
      <c r="A36" s="74" t="s">
        <v>1161</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1162</v>
      </c>
    </row>
    <row r="37" spans="1:28" ht="26.25" thickBot="1">
      <c r="A37" s="74" t="s">
        <v>1163</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1164</v>
      </c>
    </row>
    <row r="38" spans="1:28" ht="15.75" thickBot="1">
      <c r="A38" s="74" t="s">
        <v>1165</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1166</v>
      </c>
    </row>
    <row r="39" spans="1:28" ht="26.25" thickBot="1">
      <c r="A39" s="74" t="s">
        <v>1167</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1168</v>
      </c>
    </row>
    <row r="40" spans="1:28" ht="26.25" thickBot="1">
      <c r="A40" s="74" t="s">
        <v>1169</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1170</v>
      </c>
    </row>
    <row r="41" spans="1:28" ht="15.75" thickBot="1">
      <c r="A41" s="74" t="s">
        <v>1171</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1172</v>
      </c>
    </row>
    <row r="42" spans="1:28" ht="15.75" thickBot="1">
      <c r="A42" s="74" t="s">
        <v>1173</v>
      </c>
      <c r="B42" s="75">
        <v>1902860</v>
      </c>
      <c r="C42" s="75"/>
      <c r="D42" s="75">
        <v>1317711</v>
      </c>
      <c r="E42" s="75"/>
      <c r="F42" s="75"/>
      <c r="G42" s="75"/>
      <c r="H42" s="75"/>
      <c r="I42" s="75">
        <v>362734</v>
      </c>
      <c r="J42" s="75"/>
      <c r="K42" s="75"/>
      <c r="L42" s="75"/>
      <c r="M42" s="75"/>
      <c r="N42" s="75"/>
      <c r="O42" s="75"/>
      <c r="P42" s="75"/>
      <c r="Q42" s="75">
        <v>197886</v>
      </c>
      <c r="R42" s="75"/>
      <c r="S42" s="75"/>
      <c r="T42" s="75"/>
      <c r="U42" s="75"/>
      <c r="V42" s="75">
        <v>129318</v>
      </c>
      <c r="W42" s="75">
        <v>-3132153</v>
      </c>
      <c r="X42" s="75">
        <v>778356</v>
      </c>
      <c r="Y42" s="75"/>
      <c r="Z42" s="75">
        <v>-1230</v>
      </c>
      <c r="AA42" s="75">
        <v>777126</v>
      </c>
      <c r="AB42" s="72" t="s">
        <v>1174</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77E5589-8E2E-4F2C-B074-F2DF41F98E72}">
      <formula1>-9.99999999999999E+33</formula1>
      <formula2>9.99999999999999E+33</formula2>
    </dataValidation>
  </dataValidations>
  <pageMargins left="0.15" right="0.15" top="0.15" bottom="0.15" header="0.5" footer="0.5"/>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4140D3-5E92-424B-8F05-F69EFCC71444}">
  <dimension ref="A1:D180"/>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1176</v>
      </c>
    </row>
    <row r="3" spans="1:4" ht="17.25" customHeight="1">
      <c r="A3" s="273" t="s">
        <v>1177</v>
      </c>
      <c r="B3" s="273"/>
      <c r="C3" s="274" t="s">
        <v>1178</v>
      </c>
      <c r="D3" s="274"/>
    </row>
    <row r="4" spans="1:4">
      <c r="A4" s="80"/>
      <c r="B4" s="81" t="s">
        <v>104</v>
      </c>
      <c r="C4" s="81" t="s">
        <v>108</v>
      </c>
    </row>
    <row r="5" spans="1:4" ht="15.75" thickBot="1">
      <c r="A5" s="82" t="s">
        <v>1177</v>
      </c>
      <c r="B5" s="83"/>
      <c r="C5" s="83"/>
      <c r="D5" s="84" t="s">
        <v>1178</v>
      </c>
    </row>
    <row r="6" spans="1:4" ht="15.75" thickBot="1">
      <c r="A6" s="85" t="s">
        <v>1179</v>
      </c>
      <c r="B6" s="83"/>
      <c r="C6" s="83"/>
      <c r="D6" s="84" t="s">
        <v>1180</v>
      </c>
    </row>
    <row r="7" spans="1:4" ht="15.75" thickBot="1">
      <c r="A7" s="86" t="s">
        <v>1181</v>
      </c>
      <c r="B7" s="83"/>
      <c r="C7" s="83"/>
      <c r="D7" s="84" t="s">
        <v>1182</v>
      </c>
    </row>
    <row r="8" spans="1:4" ht="15.75" thickBot="1">
      <c r="A8" s="87" t="s">
        <v>1183</v>
      </c>
      <c r="B8" s="88">
        <v>883784</v>
      </c>
      <c r="C8" s="88">
        <v>840161</v>
      </c>
      <c r="D8" s="84" t="s">
        <v>1184</v>
      </c>
    </row>
    <row r="9" spans="1:4" ht="51.75" thickBot="1">
      <c r="A9" s="87" t="s">
        <v>1185</v>
      </c>
      <c r="B9" s="88"/>
      <c r="C9" s="88"/>
      <c r="D9" s="84" t="s">
        <v>1186</v>
      </c>
    </row>
    <row r="10" spans="1:4" ht="15.75" thickBot="1">
      <c r="A10" s="87" t="s">
        <v>1187</v>
      </c>
      <c r="B10" s="88"/>
      <c r="C10" s="88"/>
      <c r="D10" s="84" t="s">
        <v>1188</v>
      </c>
    </row>
    <row r="11" spans="1:4" ht="26.25" thickBot="1">
      <c r="A11" s="87" t="s">
        <v>1189</v>
      </c>
      <c r="B11" s="88">
        <v>3000</v>
      </c>
      <c r="C11" s="88"/>
      <c r="D11" s="84" t="s">
        <v>1190</v>
      </c>
    </row>
    <row r="12" spans="1:4" ht="51.75" thickBot="1">
      <c r="A12" s="87" t="s">
        <v>1191</v>
      </c>
      <c r="B12" s="88"/>
      <c r="C12" s="88"/>
      <c r="D12" s="84" t="s">
        <v>1192</v>
      </c>
    </row>
    <row r="13" spans="1:4" ht="15.75" thickBot="1">
      <c r="A13" s="87" t="s">
        <v>1193</v>
      </c>
      <c r="B13" s="88"/>
      <c r="C13" s="88"/>
      <c r="D13" s="84" t="s">
        <v>1194</v>
      </c>
    </row>
    <row r="14" spans="1:4" ht="26.25" thickBot="1">
      <c r="A14" s="87" t="s">
        <v>1195</v>
      </c>
      <c r="B14" s="88"/>
      <c r="C14" s="88"/>
      <c r="D14" s="84" t="s">
        <v>1196</v>
      </c>
    </row>
    <row r="15" spans="1:4" ht="26.25" thickBot="1">
      <c r="A15" s="86" t="s">
        <v>1197</v>
      </c>
      <c r="B15" s="83"/>
      <c r="C15" s="83"/>
      <c r="D15" s="84" t="s">
        <v>1198</v>
      </c>
    </row>
    <row r="16" spans="1:4" ht="26.25" thickBot="1">
      <c r="A16" s="87" t="s">
        <v>1199</v>
      </c>
      <c r="B16" s="89">
        <v>643153</v>
      </c>
      <c r="C16" s="89">
        <v>729753</v>
      </c>
      <c r="D16" s="84" t="s">
        <v>1200</v>
      </c>
    </row>
    <row r="17" spans="1:4" ht="15.75" thickBot="1">
      <c r="A17" s="87" t="s">
        <v>1201</v>
      </c>
      <c r="B17" s="89">
        <v>146345</v>
      </c>
      <c r="C17" s="89">
        <v>114111</v>
      </c>
      <c r="D17" s="84" t="s">
        <v>1202</v>
      </c>
    </row>
    <row r="18" spans="1:4" ht="26.25" thickBot="1">
      <c r="A18" s="87" t="s">
        <v>1203</v>
      </c>
      <c r="B18" s="89"/>
      <c r="C18" s="89"/>
      <c r="D18" s="84" t="s">
        <v>1204</v>
      </c>
    </row>
    <row r="19" spans="1:4" ht="26.25" thickBot="1">
      <c r="A19" s="87" t="s">
        <v>1205</v>
      </c>
      <c r="B19" s="89"/>
      <c r="C19" s="89"/>
      <c r="D19" s="84" t="s">
        <v>1206</v>
      </c>
    </row>
    <row r="20" spans="1:4" ht="15.75" thickBot="1">
      <c r="A20" s="87" t="s">
        <v>1207</v>
      </c>
      <c r="B20" s="89"/>
      <c r="C20" s="89"/>
      <c r="D20" s="84" t="s">
        <v>1208</v>
      </c>
    </row>
    <row r="21" spans="1:4" ht="15.75" thickBot="1">
      <c r="A21" s="87" t="s">
        <v>1209</v>
      </c>
      <c r="B21" s="89"/>
      <c r="C21" s="89"/>
      <c r="D21" s="84" t="s">
        <v>1210</v>
      </c>
    </row>
    <row r="22" spans="1:4" ht="26.25" thickBot="1">
      <c r="A22" s="87" t="s">
        <v>1211</v>
      </c>
      <c r="B22" s="89"/>
      <c r="C22" s="89"/>
      <c r="D22" s="84" t="s">
        <v>1212</v>
      </c>
    </row>
    <row r="23" spans="1:4" ht="51.75" thickBot="1">
      <c r="A23" s="87" t="s">
        <v>1213</v>
      </c>
      <c r="B23" s="89"/>
      <c r="C23" s="89"/>
      <c r="D23" s="84" t="s">
        <v>1214</v>
      </c>
    </row>
    <row r="24" spans="1:4" ht="26.25" thickBot="1">
      <c r="A24" s="86" t="s">
        <v>1215</v>
      </c>
      <c r="B24" s="88">
        <v>97286</v>
      </c>
      <c r="C24" s="88">
        <v>-3703</v>
      </c>
      <c r="D24" s="84" t="s">
        <v>1216</v>
      </c>
    </row>
    <row r="25" spans="1:4" ht="26.25" thickBot="1">
      <c r="A25" s="86" t="s">
        <v>1217</v>
      </c>
      <c r="B25" s="88"/>
      <c r="C25" s="88"/>
      <c r="D25" s="84" t="s">
        <v>1218</v>
      </c>
    </row>
    <row r="26" spans="1:4" ht="26.25" thickBot="1">
      <c r="A26" s="86" t="s">
        <v>1219</v>
      </c>
      <c r="B26" s="89"/>
      <c r="C26" s="89"/>
      <c r="D26" s="84" t="s">
        <v>1220</v>
      </c>
    </row>
    <row r="27" spans="1:4" ht="51.75" thickBot="1">
      <c r="A27" s="86" t="s">
        <v>1221</v>
      </c>
      <c r="B27" s="88"/>
      <c r="C27" s="88"/>
      <c r="D27" s="84" t="s">
        <v>1222</v>
      </c>
    </row>
    <row r="28" spans="1:4" ht="26.25" thickBot="1">
      <c r="A28" s="86" t="s">
        <v>1223</v>
      </c>
      <c r="B28" s="88"/>
      <c r="C28" s="88"/>
      <c r="D28" s="84" t="s">
        <v>1224</v>
      </c>
    </row>
    <row r="29" spans="1:4" ht="15.75" thickBot="1">
      <c r="A29" s="86" t="s">
        <v>1225</v>
      </c>
      <c r="B29" s="89"/>
      <c r="C29" s="89"/>
      <c r="D29" s="84" t="s">
        <v>1226</v>
      </c>
    </row>
    <row r="30" spans="1:4" ht="26.25" thickBot="1">
      <c r="A30" s="86" t="s">
        <v>1227</v>
      </c>
      <c r="B30" s="88"/>
      <c r="C30" s="88"/>
      <c r="D30" s="84" t="s">
        <v>1228</v>
      </c>
    </row>
    <row r="31" spans="1:4" ht="26.25" thickBot="1">
      <c r="A31" s="86" t="s">
        <v>1229</v>
      </c>
      <c r="B31" s="89"/>
      <c r="C31" s="89"/>
      <c r="D31" s="84" t="s">
        <v>1230</v>
      </c>
    </row>
    <row r="32" spans="1:4" ht="26.25" thickBot="1">
      <c r="A32" s="86" t="s">
        <v>1231</v>
      </c>
      <c r="B32" s="88">
        <v>1365</v>
      </c>
      <c r="C32" s="88">
        <v>1232</v>
      </c>
      <c r="D32" s="84" t="s">
        <v>1232</v>
      </c>
    </row>
    <row r="33" spans="1:4" ht="26.25" thickBot="1">
      <c r="A33" s="86" t="s">
        <v>1233</v>
      </c>
      <c r="B33" s="89">
        <v>11736</v>
      </c>
      <c r="C33" s="89">
        <v>10264</v>
      </c>
      <c r="D33" s="84" t="s">
        <v>1234</v>
      </c>
    </row>
    <row r="34" spans="1:4" ht="39" thickBot="1">
      <c r="A34" s="86" t="s">
        <v>1235</v>
      </c>
      <c r="B34" s="88">
        <v>-27321</v>
      </c>
      <c r="C34" s="88">
        <v>1573</v>
      </c>
      <c r="D34" s="84" t="s">
        <v>1236</v>
      </c>
    </row>
    <row r="35" spans="1:4" ht="15.75" thickBot="1">
      <c r="A35" s="86" t="s">
        <v>1237</v>
      </c>
      <c r="B35" s="89"/>
      <c r="C35" s="89"/>
      <c r="D35" s="84" t="s">
        <v>1238</v>
      </c>
    </row>
    <row r="36" spans="1:4" ht="26.25" thickBot="1">
      <c r="A36" s="86" t="s">
        <v>1239</v>
      </c>
      <c r="B36" s="88"/>
      <c r="C36" s="88"/>
      <c r="D36" s="84" t="s">
        <v>1240</v>
      </c>
    </row>
    <row r="37" spans="1:4" ht="26.25" thickBot="1">
      <c r="A37" s="86" t="s">
        <v>1241</v>
      </c>
      <c r="B37" s="89"/>
      <c r="C37" s="89"/>
      <c r="D37" s="84" t="s">
        <v>1242</v>
      </c>
    </row>
    <row r="38" spans="1:4" ht="26.25" thickBot="1">
      <c r="A38" s="86" t="s">
        <v>1243</v>
      </c>
      <c r="B38" s="88"/>
      <c r="C38" s="88"/>
      <c r="D38" s="84" t="s">
        <v>1244</v>
      </c>
    </row>
    <row r="39" spans="1:4" ht="39" thickBot="1">
      <c r="A39" s="86" t="s">
        <v>1245</v>
      </c>
      <c r="B39" s="88"/>
      <c r="C39" s="88"/>
      <c r="D39" s="84" t="s">
        <v>1246</v>
      </c>
    </row>
    <row r="40" spans="1:4" ht="26.25" thickBot="1">
      <c r="A40" s="86" t="s">
        <v>1247</v>
      </c>
      <c r="B40" s="83"/>
      <c r="C40" s="83"/>
      <c r="D40" s="84" t="s">
        <v>1248</v>
      </c>
    </row>
    <row r="41" spans="1:4" ht="15.75" thickBot="1">
      <c r="A41" s="87" t="s">
        <v>1249</v>
      </c>
      <c r="B41" s="88"/>
      <c r="C41" s="88"/>
      <c r="D41" s="84" t="s">
        <v>1250</v>
      </c>
    </row>
    <row r="42" spans="1:4" ht="15.75" thickBot="1">
      <c r="A42" s="87" t="s">
        <v>1251</v>
      </c>
      <c r="B42" s="88"/>
      <c r="C42" s="88"/>
      <c r="D42" s="84" t="s">
        <v>1252</v>
      </c>
    </row>
    <row r="43" spans="1:4" ht="15.75" thickBot="1">
      <c r="A43" s="87" t="s">
        <v>1253</v>
      </c>
      <c r="B43" s="88"/>
      <c r="C43" s="88"/>
      <c r="D43" s="84" t="s">
        <v>1254</v>
      </c>
    </row>
    <row r="44" spans="1:4" ht="15.75" thickBot="1">
      <c r="A44" s="86" t="s">
        <v>1255</v>
      </c>
      <c r="B44" s="83"/>
      <c r="C44" s="83"/>
      <c r="D44" s="84" t="s">
        <v>1256</v>
      </c>
    </row>
    <row r="45" spans="1:4" ht="26.25" thickBot="1">
      <c r="A45" s="87" t="s">
        <v>1257</v>
      </c>
      <c r="B45" s="88"/>
      <c r="C45" s="88"/>
      <c r="D45" s="84" t="s">
        <v>1258</v>
      </c>
    </row>
    <row r="46" spans="1:4" ht="26.25" thickBot="1">
      <c r="A46" s="87" t="s">
        <v>1259</v>
      </c>
      <c r="B46" s="88"/>
      <c r="C46" s="88"/>
      <c r="D46" s="84" t="s">
        <v>1260</v>
      </c>
    </row>
    <row r="47" spans="1:4" ht="39" thickBot="1">
      <c r="A47" s="86" t="s">
        <v>1261</v>
      </c>
      <c r="B47" s="88">
        <v>59594</v>
      </c>
      <c r="C47" s="88">
        <v>-11162</v>
      </c>
      <c r="D47" s="84" t="s">
        <v>1262</v>
      </c>
    </row>
    <row r="48" spans="1:4" ht="15.75" thickBot="1">
      <c r="A48" s="85" t="s">
        <v>1263</v>
      </c>
      <c r="B48" s="83"/>
      <c r="C48" s="83"/>
      <c r="D48" s="84" t="s">
        <v>1264</v>
      </c>
    </row>
    <row r="49" spans="1:4" ht="26.25" thickBot="1">
      <c r="A49" s="86" t="s">
        <v>1265</v>
      </c>
      <c r="B49" s="89"/>
      <c r="C49" s="89"/>
      <c r="D49" s="84" t="s">
        <v>1266</v>
      </c>
    </row>
    <row r="50" spans="1:4" ht="26.25" thickBot="1">
      <c r="A50" s="86" t="s">
        <v>1267</v>
      </c>
      <c r="B50" s="89"/>
      <c r="C50" s="89"/>
      <c r="D50" s="84" t="s">
        <v>1268</v>
      </c>
    </row>
    <row r="51" spans="1:4" ht="15.75" thickBot="1">
      <c r="A51" s="86" t="s">
        <v>1269</v>
      </c>
      <c r="B51" s="89"/>
      <c r="C51" s="89"/>
      <c r="D51" s="84" t="s">
        <v>1270</v>
      </c>
    </row>
    <row r="52" spans="1:4" ht="26.25" thickBot="1">
      <c r="A52" s="86" t="s">
        <v>1271</v>
      </c>
      <c r="B52" s="88"/>
      <c r="C52" s="88"/>
      <c r="D52" s="84" t="s">
        <v>1272</v>
      </c>
    </row>
    <row r="53" spans="1:4" ht="26.25" thickBot="1">
      <c r="A53" s="86" t="s">
        <v>1273</v>
      </c>
      <c r="B53" s="89"/>
      <c r="C53" s="89"/>
      <c r="D53" s="84" t="s">
        <v>1274</v>
      </c>
    </row>
    <row r="54" spans="1:4" ht="26.25" thickBot="1">
      <c r="A54" s="86" t="s">
        <v>1275</v>
      </c>
      <c r="B54" s="88"/>
      <c r="C54" s="88"/>
      <c r="D54" s="84" t="s">
        <v>1276</v>
      </c>
    </row>
    <row r="55" spans="1:4" ht="26.25" thickBot="1">
      <c r="A55" s="86" t="s">
        <v>1277</v>
      </c>
      <c r="B55" s="89"/>
      <c r="C55" s="89"/>
      <c r="D55" s="84" t="s">
        <v>1278</v>
      </c>
    </row>
    <row r="56" spans="1:4" ht="26.25" thickBot="1">
      <c r="A56" s="86" t="s">
        <v>1279</v>
      </c>
      <c r="B56" s="88"/>
      <c r="C56" s="88"/>
      <c r="D56" s="84" t="s">
        <v>1280</v>
      </c>
    </row>
    <row r="57" spans="1:4" ht="26.25" thickBot="1">
      <c r="A57" s="86" t="s">
        <v>1281</v>
      </c>
      <c r="B57" s="89"/>
      <c r="C57" s="89"/>
      <c r="D57" s="84" t="s">
        <v>1282</v>
      </c>
    </row>
    <row r="58" spans="1:4" ht="26.25" thickBot="1">
      <c r="A58" s="86" t="s">
        <v>1283</v>
      </c>
      <c r="B58" s="88"/>
      <c r="C58" s="88"/>
      <c r="D58" s="84" t="s">
        <v>1284</v>
      </c>
    </row>
    <row r="59" spans="1:4" ht="26.25" thickBot="1">
      <c r="A59" s="86" t="s">
        <v>1285</v>
      </c>
      <c r="B59" s="89"/>
      <c r="C59" s="89"/>
      <c r="D59" s="84" t="s">
        <v>1286</v>
      </c>
    </row>
    <row r="60" spans="1:4" ht="26.25" thickBot="1">
      <c r="A60" s="86" t="s">
        <v>1287</v>
      </c>
      <c r="B60" s="88"/>
      <c r="C60" s="88"/>
      <c r="D60" s="84" t="s">
        <v>1288</v>
      </c>
    </row>
    <row r="61" spans="1:4" ht="26.25" thickBot="1">
      <c r="A61" s="86" t="s">
        <v>1289</v>
      </c>
      <c r="B61" s="89"/>
      <c r="C61" s="89"/>
      <c r="D61" s="84" t="s">
        <v>1290</v>
      </c>
    </row>
    <row r="62" spans="1:4" ht="26.25" thickBot="1">
      <c r="A62" s="86" t="s">
        <v>1291</v>
      </c>
      <c r="B62" s="88"/>
      <c r="C62" s="88"/>
      <c r="D62" s="84" t="s">
        <v>1292</v>
      </c>
    </row>
    <row r="63" spans="1:4" ht="26.25" thickBot="1">
      <c r="A63" s="86" t="s">
        <v>1293</v>
      </c>
      <c r="B63" s="89"/>
      <c r="C63" s="89"/>
      <c r="D63" s="84" t="s">
        <v>1294</v>
      </c>
    </row>
    <row r="64" spans="1:4" ht="26.25" thickBot="1">
      <c r="A64" s="86" t="s">
        <v>1295</v>
      </c>
      <c r="B64" s="88">
        <v>210</v>
      </c>
      <c r="C64" s="88">
        <v>164</v>
      </c>
      <c r="D64" s="84" t="s">
        <v>1296</v>
      </c>
    </row>
    <row r="65" spans="1:4" ht="26.25" thickBot="1">
      <c r="A65" s="86" t="s">
        <v>1297</v>
      </c>
      <c r="B65" s="89">
        <v>12237</v>
      </c>
      <c r="C65" s="89">
        <v>13632</v>
      </c>
      <c r="D65" s="84" t="s">
        <v>1298</v>
      </c>
    </row>
    <row r="66" spans="1:4" ht="26.25" thickBot="1">
      <c r="A66" s="86" t="s">
        <v>1299</v>
      </c>
      <c r="B66" s="88"/>
      <c r="C66" s="88"/>
      <c r="D66" s="84" t="s">
        <v>1300</v>
      </c>
    </row>
    <row r="67" spans="1:4" ht="26.25" thickBot="1">
      <c r="A67" s="86" t="s">
        <v>1301</v>
      </c>
      <c r="B67" s="88"/>
      <c r="C67" s="88"/>
      <c r="D67" s="84" t="s">
        <v>1302</v>
      </c>
    </row>
    <row r="68" spans="1:4" ht="26.25" thickBot="1">
      <c r="A68" s="86" t="s">
        <v>1303</v>
      </c>
      <c r="B68" s="89"/>
      <c r="C68" s="89"/>
      <c r="D68" s="84" t="s">
        <v>1304</v>
      </c>
    </row>
    <row r="69" spans="1:4" ht="26.25" thickBot="1">
      <c r="A69" s="86" t="s">
        <v>1305</v>
      </c>
      <c r="B69" s="88"/>
      <c r="C69" s="88"/>
      <c r="D69" s="84" t="s">
        <v>1306</v>
      </c>
    </row>
    <row r="70" spans="1:4" ht="26.25" thickBot="1">
      <c r="A70" s="86" t="s">
        <v>1307</v>
      </c>
      <c r="B70" s="89"/>
      <c r="C70" s="89"/>
      <c r="D70" s="84" t="s">
        <v>1308</v>
      </c>
    </row>
    <row r="71" spans="1:4" ht="26.25" thickBot="1">
      <c r="A71" s="86" t="s">
        <v>1309</v>
      </c>
      <c r="B71" s="88"/>
      <c r="C71" s="88"/>
      <c r="D71" s="84" t="s">
        <v>1310</v>
      </c>
    </row>
    <row r="72" spans="1:4" ht="26.25" thickBot="1">
      <c r="A72" s="86" t="s">
        <v>1311</v>
      </c>
      <c r="B72" s="89"/>
      <c r="C72" s="89"/>
      <c r="D72" s="84" t="s">
        <v>1312</v>
      </c>
    </row>
    <row r="73" spans="1:4" ht="26.25" thickBot="1">
      <c r="A73" s="86" t="s">
        <v>1313</v>
      </c>
      <c r="B73" s="88"/>
      <c r="C73" s="88"/>
      <c r="D73" s="84" t="s">
        <v>1314</v>
      </c>
    </row>
    <row r="74" spans="1:4" ht="26.25" thickBot="1">
      <c r="A74" s="86" t="s">
        <v>1315</v>
      </c>
      <c r="B74" s="89"/>
      <c r="C74" s="89"/>
      <c r="D74" s="84" t="s">
        <v>1316</v>
      </c>
    </row>
    <row r="75" spans="1:4" ht="26.25" thickBot="1">
      <c r="A75" s="86" t="s">
        <v>1317</v>
      </c>
      <c r="B75" s="88"/>
      <c r="C75" s="88"/>
      <c r="D75" s="84" t="s">
        <v>1318</v>
      </c>
    </row>
    <row r="76" spans="1:4" ht="26.25" thickBot="1">
      <c r="A76" s="86" t="s">
        <v>1319</v>
      </c>
      <c r="B76" s="89"/>
      <c r="C76" s="89"/>
      <c r="D76" s="84" t="s">
        <v>1320</v>
      </c>
    </row>
    <row r="77" spans="1:4" ht="26.25" thickBot="1">
      <c r="A77" s="86" t="s">
        <v>1321</v>
      </c>
      <c r="B77" s="88"/>
      <c r="C77" s="88"/>
      <c r="D77" s="84" t="s">
        <v>1322</v>
      </c>
    </row>
    <row r="78" spans="1:4" ht="26.25" thickBot="1">
      <c r="A78" s="86" t="s">
        <v>1323</v>
      </c>
      <c r="B78" s="89"/>
      <c r="C78" s="89"/>
      <c r="D78" s="84" t="s">
        <v>1324</v>
      </c>
    </row>
    <row r="79" spans="1:4" ht="26.25" thickBot="1">
      <c r="A79" s="86" t="s">
        <v>1325</v>
      </c>
      <c r="B79" s="88"/>
      <c r="C79" s="88"/>
      <c r="D79" s="84" t="s">
        <v>1326</v>
      </c>
    </row>
    <row r="80" spans="1:4" ht="26.25" thickBot="1">
      <c r="A80" s="86" t="s">
        <v>1327</v>
      </c>
      <c r="B80" s="89"/>
      <c r="C80" s="89"/>
      <c r="D80" s="84" t="s">
        <v>1328</v>
      </c>
    </row>
    <row r="81" spans="1:4" ht="26.25" thickBot="1">
      <c r="A81" s="86" t="s">
        <v>1329</v>
      </c>
      <c r="B81" s="88"/>
      <c r="C81" s="88"/>
      <c r="D81" s="84" t="s">
        <v>1330</v>
      </c>
    </row>
    <row r="82" spans="1:4" ht="39" thickBot="1">
      <c r="A82" s="86" t="s">
        <v>1331</v>
      </c>
      <c r="B82" s="88"/>
      <c r="C82" s="88"/>
      <c r="D82" s="84" t="s">
        <v>1332</v>
      </c>
    </row>
    <row r="83" spans="1:4" ht="39" thickBot="1">
      <c r="A83" s="86" t="s">
        <v>1333</v>
      </c>
      <c r="B83" s="88"/>
      <c r="C83" s="88"/>
      <c r="D83" s="84" t="s">
        <v>1334</v>
      </c>
    </row>
    <row r="84" spans="1:4" ht="39" thickBot="1">
      <c r="A84" s="86" t="s">
        <v>1335</v>
      </c>
      <c r="B84" s="88"/>
      <c r="C84" s="88"/>
      <c r="D84" s="84" t="s">
        <v>1336</v>
      </c>
    </row>
    <row r="85" spans="1:4" ht="26.25" thickBot="1">
      <c r="A85" s="86" t="s">
        <v>1337</v>
      </c>
      <c r="B85" s="88"/>
      <c r="C85" s="88"/>
      <c r="D85" s="84" t="s">
        <v>1338</v>
      </c>
    </row>
    <row r="86" spans="1:4" ht="26.25" thickBot="1">
      <c r="A86" s="86" t="s">
        <v>1339</v>
      </c>
      <c r="B86" s="89"/>
      <c r="C86" s="89"/>
      <c r="D86" s="84" t="s">
        <v>1340</v>
      </c>
    </row>
    <row r="87" spans="1:4" ht="26.25" thickBot="1">
      <c r="A87" s="86" t="s">
        <v>1341</v>
      </c>
      <c r="B87" s="88"/>
      <c r="C87" s="88"/>
      <c r="D87" s="84" t="s">
        <v>1342</v>
      </c>
    </row>
    <row r="88" spans="1:4" ht="26.25" thickBot="1">
      <c r="A88" s="86" t="s">
        <v>1343</v>
      </c>
      <c r="B88" s="88"/>
      <c r="C88" s="88"/>
      <c r="D88" s="84" t="s">
        <v>1344</v>
      </c>
    </row>
    <row r="89" spans="1:4" ht="26.25" thickBot="1">
      <c r="A89" s="86" t="s">
        <v>1345</v>
      </c>
      <c r="B89" s="89"/>
      <c r="C89" s="89"/>
      <c r="D89" s="84" t="s">
        <v>1346</v>
      </c>
    </row>
    <row r="90" spans="1:4" ht="39" thickBot="1">
      <c r="A90" s="86" t="s">
        <v>1347</v>
      </c>
      <c r="B90" s="88"/>
      <c r="C90" s="88"/>
      <c r="D90" s="84" t="s">
        <v>1348</v>
      </c>
    </row>
    <row r="91" spans="1:4" ht="39" thickBot="1">
      <c r="A91" s="86" t="s">
        <v>1349</v>
      </c>
      <c r="B91" s="89"/>
      <c r="C91" s="89"/>
      <c r="D91" s="84" t="s">
        <v>1350</v>
      </c>
    </row>
    <row r="92" spans="1:4" ht="15.75" thickBot="1">
      <c r="A92" s="86" t="s">
        <v>1351</v>
      </c>
      <c r="B92" s="89"/>
      <c r="C92" s="89"/>
      <c r="D92" s="84" t="s">
        <v>1352</v>
      </c>
    </row>
    <row r="93" spans="1:4" ht="26.25" thickBot="1">
      <c r="A93" s="86" t="s">
        <v>1353</v>
      </c>
      <c r="B93" s="88"/>
      <c r="C93" s="88"/>
      <c r="D93" s="84" t="s">
        <v>1354</v>
      </c>
    </row>
    <row r="94" spans="1:4" ht="26.25" thickBot="1">
      <c r="A94" s="86" t="s">
        <v>1355</v>
      </c>
      <c r="B94" s="89"/>
      <c r="C94" s="89"/>
      <c r="D94" s="84" t="s">
        <v>1356</v>
      </c>
    </row>
    <row r="95" spans="1:4" ht="26.25" thickBot="1">
      <c r="A95" s="86" t="s">
        <v>1357</v>
      </c>
      <c r="B95" s="88"/>
      <c r="C95" s="88"/>
      <c r="D95" s="84" t="s">
        <v>1358</v>
      </c>
    </row>
    <row r="96" spans="1:4" ht="26.25" thickBot="1">
      <c r="A96" s="86" t="s">
        <v>1359</v>
      </c>
      <c r="B96" s="89"/>
      <c r="C96" s="89"/>
      <c r="D96" s="84" t="s">
        <v>1360</v>
      </c>
    </row>
    <row r="97" spans="1:4" ht="39" thickBot="1">
      <c r="A97" s="86" t="s">
        <v>1361</v>
      </c>
      <c r="B97" s="89"/>
      <c r="C97" s="89"/>
      <c r="D97" s="84" t="s">
        <v>1362</v>
      </c>
    </row>
    <row r="98" spans="1:4" ht="39" thickBot="1">
      <c r="A98" s="86" t="s">
        <v>1363</v>
      </c>
      <c r="B98" s="88"/>
      <c r="C98" s="88"/>
      <c r="D98" s="84" t="s">
        <v>1364</v>
      </c>
    </row>
    <row r="99" spans="1:4" ht="26.25" thickBot="1">
      <c r="A99" s="86" t="s">
        <v>1365</v>
      </c>
      <c r="B99" s="88"/>
      <c r="C99" s="88"/>
      <c r="D99" s="84" t="s">
        <v>1366</v>
      </c>
    </row>
    <row r="100" spans="1:4" ht="26.25" thickBot="1">
      <c r="A100" s="86" t="s">
        <v>1367</v>
      </c>
      <c r="B100" s="89"/>
      <c r="C100" s="89"/>
      <c r="D100" s="84" t="s">
        <v>1368</v>
      </c>
    </row>
    <row r="101" spans="1:4" ht="51.75" thickBot="1">
      <c r="A101" s="86" t="s">
        <v>1369</v>
      </c>
      <c r="B101" s="88"/>
      <c r="C101" s="88"/>
      <c r="D101" s="84" t="s">
        <v>1370</v>
      </c>
    </row>
    <row r="102" spans="1:4" ht="39" thickBot="1">
      <c r="A102" s="86" t="s">
        <v>1371</v>
      </c>
      <c r="B102" s="89"/>
      <c r="C102" s="89"/>
      <c r="D102" s="84" t="s">
        <v>1372</v>
      </c>
    </row>
    <row r="103" spans="1:4" ht="39" thickBot="1">
      <c r="A103" s="86" t="s">
        <v>1373</v>
      </c>
      <c r="B103" s="88"/>
      <c r="C103" s="88"/>
      <c r="D103" s="84" t="s">
        <v>1374</v>
      </c>
    </row>
    <row r="104" spans="1:4" ht="39" thickBot="1">
      <c r="A104" s="86" t="s">
        <v>1375</v>
      </c>
      <c r="B104" s="89"/>
      <c r="C104" s="89"/>
      <c r="D104" s="84" t="s">
        <v>1376</v>
      </c>
    </row>
    <row r="105" spans="1:4" ht="26.25" thickBot="1">
      <c r="A105" s="86" t="s">
        <v>1377</v>
      </c>
      <c r="B105" s="88"/>
      <c r="C105" s="88"/>
      <c r="D105" s="84" t="s">
        <v>1378</v>
      </c>
    </row>
    <row r="106" spans="1:4" ht="26.25" thickBot="1">
      <c r="A106" s="86" t="s">
        <v>1379</v>
      </c>
      <c r="B106" s="89"/>
      <c r="C106" s="89"/>
      <c r="D106" s="84" t="s">
        <v>1380</v>
      </c>
    </row>
    <row r="107" spans="1:4" ht="64.5" thickBot="1">
      <c r="A107" s="86" t="s">
        <v>1381</v>
      </c>
      <c r="B107" s="88"/>
      <c r="C107" s="88"/>
      <c r="D107" s="84" t="s">
        <v>1382</v>
      </c>
    </row>
    <row r="108" spans="1:4" ht="26.25" thickBot="1">
      <c r="A108" s="86" t="s">
        <v>1383</v>
      </c>
      <c r="B108" s="88"/>
      <c r="C108" s="88"/>
      <c r="D108" s="84" t="s">
        <v>1384</v>
      </c>
    </row>
    <row r="109" spans="1:4" ht="26.25" thickBot="1">
      <c r="A109" s="86" t="s">
        <v>1385</v>
      </c>
      <c r="B109" s="88"/>
      <c r="C109" s="88"/>
      <c r="D109" s="84" t="s">
        <v>1386</v>
      </c>
    </row>
    <row r="110" spans="1:4" ht="26.25" thickBot="1">
      <c r="A110" s="86" t="s">
        <v>1387</v>
      </c>
      <c r="B110" s="89"/>
      <c r="C110" s="89"/>
      <c r="D110" s="84" t="s">
        <v>1388</v>
      </c>
    </row>
    <row r="111" spans="1:4" ht="39" thickBot="1">
      <c r="A111" s="86" t="s">
        <v>1389</v>
      </c>
      <c r="B111" s="88"/>
      <c r="C111" s="88"/>
      <c r="D111" s="84" t="s">
        <v>1390</v>
      </c>
    </row>
    <row r="112" spans="1:4" ht="26.25" thickBot="1">
      <c r="A112" s="86" t="s">
        <v>1391</v>
      </c>
      <c r="B112" s="88"/>
      <c r="C112" s="88"/>
      <c r="D112" s="84" t="s">
        <v>1392</v>
      </c>
    </row>
    <row r="113" spans="1:4" ht="39" thickBot="1">
      <c r="A113" s="86" t="s">
        <v>1393</v>
      </c>
      <c r="B113" s="88">
        <v>-12027</v>
      </c>
      <c r="C113" s="88">
        <v>-13468</v>
      </c>
      <c r="D113" s="84" t="s">
        <v>1394</v>
      </c>
    </row>
    <row r="114" spans="1:4" ht="15.75" thickBot="1">
      <c r="A114" s="85" t="s">
        <v>1395</v>
      </c>
      <c r="B114" s="83"/>
      <c r="C114" s="83"/>
      <c r="D114" s="84" t="s">
        <v>1396</v>
      </c>
    </row>
    <row r="115" spans="1:4" ht="15.75" thickBot="1">
      <c r="A115" s="86" t="s">
        <v>1397</v>
      </c>
      <c r="B115" s="88">
        <v>689912</v>
      </c>
      <c r="C115" s="88">
        <v>191818</v>
      </c>
      <c r="D115" s="84" t="s">
        <v>1398</v>
      </c>
    </row>
    <row r="116" spans="1:4" ht="15.75" thickBot="1">
      <c r="A116" s="86" t="s">
        <v>1399</v>
      </c>
      <c r="B116" s="89">
        <v>661487</v>
      </c>
      <c r="C116" s="89">
        <v>177168</v>
      </c>
      <c r="D116" s="84" t="s">
        <v>1400</v>
      </c>
    </row>
    <row r="117" spans="1:4" ht="26.25" thickBot="1">
      <c r="A117" s="86" t="s">
        <v>1401</v>
      </c>
      <c r="B117" s="88"/>
      <c r="C117" s="88"/>
      <c r="D117" s="84" t="s">
        <v>1402</v>
      </c>
    </row>
    <row r="118" spans="1:4" ht="26.25" thickBot="1">
      <c r="A118" s="86" t="s">
        <v>1403</v>
      </c>
      <c r="B118" s="89"/>
      <c r="C118" s="89"/>
      <c r="D118" s="84" t="s">
        <v>1404</v>
      </c>
    </row>
    <row r="119" spans="1:4" ht="15.75" thickBot="1">
      <c r="A119" s="86" t="s">
        <v>1405</v>
      </c>
      <c r="B119" s="88"/>
      <c r="C119" s="88"/>
      <c r="D119" s="84" t="s">
        <v>1406</v>
      </c>
    </row>
    <row r="120" spans="1:4" ht="15.75" thickBot="1">
      <c r="A120" s="86" t="s">
        <v>1407</v>
      </c>
      <c r="B120" s="89"/>
      <c r="C120" s="89"/>
      <c r="D120" s="84" t="s">
        <v>1408</v>
      </c>
    </row>
    <row r="121" spans="1:4" ht="15.75" thickBot="1">
      <c r="A121" s="86" t="s">
        <v>1409</v>
      </c>
      <c r="B121" s="88"/>
      <c r="C121" s="88"/>
      <c r="D121" s="84" t="s">
        <v>1410</v>
      </c>
    </row>
    <row r="122" spans="1:4" ht="15.75" thickBot="1">
      <c r="A122" s="86" t="s">
        <v>1411</v>
      </c>
      <c r="B122" s="89"/>
      <c r="C122" s="89"/>
      <c r="D122" s="84" t="s">
        <v>1412</v>
      </c>
    </row>
    <row r="123" spans="1:4" ht="15.75" thickBot="1">
      <c r="A123" s="86" t="s">
        <v>1413</v>
      </c>
      <c r="B123" s="88"/>
      <c r="C123" s="88"/>
      <c r="D123" s="84" t="s">
        <v>1414</v>
      </c>
    </row>
    <row r="124" spans="1:4" ht="15.75" thickBot="1">
      <c r="A124" s="86" t="s">
        <v>1415</v>
      </c>
      <c r="B124" s="89"/>
      <c r="C124" s="89"/>
      <c r="D124" s="84" t="s">
        <v>1416</v>
      </c>
    </row>
    <row r="125" spans="1:4" ht="26.25" thickBot="1">
      <c r="A125" s="86" t="s">
        <v>1417</v>
      </c>
      <c r="B125" s="88"/>
      <c r="C125" s="88"/>
      <c r="D125" s="84" t="s">
        <v>1418</v>
      </c>
    </row>
    <row r="126" spans="1:4" ht="26.25" thickBot="1">
      <c r="A126" s="86" t="s">
        <v>1419</v>
      </c>
      <c r="B126" s="89"/>
      <c r="C126" s="89"/>
      <c r="D126" s="84" t="s">
        <v>1420</v>
      </c>
    </row>
    <row r="127" spans="1:4" ht="15.75" thickBot="1">
      <c r="A127" s="86" t="s">
        <v>1421</v>
      </c>
      <c r="B127" s="88"/>
      <c r="C127" s="88"/>
      <c r="D127" s="84" t="s">
        <v>1422</v>
      </c>
    </row>
    <row r="128" spans="1:4" ht="15.75" thickBot="1">
      <c r="A128" s="86" t="s">
        <v>1423</v>
      </c>
      <c r="B128" s="89"/>
      <c r="C128" s="89"/>
      <c r="D128" s="84" t="s">
        <v>1424</v>
      </c>
    </row>
    <row r="129" spans="1:4" ht="26.25" thickBot="1">
      <c r="A129" s="86" t="s">
        <v>1425</v>
      </c>
      <c r="B129" s="88"/>
      <c r="C129" s="88"/>
      <c r="D129" s="84" t="s">
        <v>1426</v>
      </c>
    </row>
    <row r="130" spans="1:4" ht="26.25" thickBot="1">
      <c r="A130" s="86" t="s">
        <v>1427</v>
      </c>
      <c r="B130" s="89"/>
      <c r="C130" s="89"/>
      <c r="D130" s="84" t="s">
        <v>1428</v>
      </c>
    </row>
    <row r="131" spans="1:4" ht="26.25" thickBot="1">
      <c r="A131" s="86" t="s">
        <v>1429</v>
      </c>
      <c r="B131" s="88"/>
      <c r="C131" s="88"/>
      <c r="D131" s="84" t="s">
        <v>1430</v>
      </c>
    </row>
    <row r="132" spans="1:4" ht="26.25" thickBot="1">
      <c r="A132" s="86" t="s">
        <v>1431</v>
      </c>
      <c r="B132" s="89"/>
      <c r="C132" s="89"/>
      <c r="D132" s="84" t="s">
        <v>1432</v>
      </c>
    </row>
    <row r="133" spans="1:4" ht="26.25" thickBot="1">
      <c r="A133" s="86" t="s">
        <v>1433</v>
      </c>
      <c r="B133" s="88"/>
      <c r="C133" s="88"/>
      <c r="D133" s="84" t="s">
        <v>1434</v>
      </c>
    </row>
    <row r="134" spans="1:4" ht="26.25" thickBot="1">
      <c r="A134" s="86" t="s">
        <v>1435</v>
      </c>
      <c r="B134" s="89">
        <v>14496</v>
      </c>
      <c r="C134" s="89">
        <v>9635</v>
      </c>
      <c r="D134" s="84" t="s">
        <v>1436</v>
      </c>
    </row>
    <row r="135" spans="1:4" ht="26.25" thickBot="1">
      <c r="A135" s="86" t="s">
        <v>1437</v>
      </c>
      <c r="B135" s="88"/>
      <c r="C135" s="88"/>
      <c r="D135" s="84" t="s">
        <v>1438</v>
      </c>
    </row>
    <row r="136" spans="1:4" ht="26.25" thickBot="1">
      <c r="A136" s="86" t="s">
        <v>1439</v>
      </c>
      <c r="B136" s="89"/>
      <c r="C136" s="89"/>
      <c r="D136" s="84" t="s">
        <v>1440</v>
      </c>
    </row>
    <row r="137" spans="1:4" ht="15.75" thickBot="1">
      <c r="A137" s="86" t="s">
        <v>1441</v>
      </c>
      <c r="B137" s="88"/>
      <c r="C137" s="88"/>
      <c r="D137" s="84" t="s">
        <v>1442</v>
      </c>
    </row>
    <row r="138" spans="1:4" ht="15.75" thickBot="1">
      <c r="A138" s="86" t="s">
        <v>1443</v>
      </c>
      <c r="B138" s="89"/>
      <c r="C138" s="89"/>
      <c r="D138" s="84" t="s">
        <v>1444</v>
      </c>
    </row>
    <row r="139" spans="1:4" ht="15.75" thickBot="1">
      <c r="A139" s="86" t="s">
        <v>1445</v>
      </c>
      <c r="B139" s="88"/>
      <c r="C139" s="88"/>
      <c r="D139" s="84" t="s">
        <v>1446</v>
      </c>
    </row>
    <row r="140" spans="1:4" ht="15.75" thickBot="1">
      <c r="A140" s="86" t="s">
        <v>1447</v>
      </c>
      <c r="B140" s="89"/>
      <c r="C140" s="89"/>
      <c r="D140" s="84" t="s">
        <v>1448</v>
      </c>
    </row>
    <row r="141" spans="1:4" ht="26.25" thickBot="1">
      <c r="A141" s="86" t="s">
        <v>1449</v>
      </c>
      <c r="B141" s="88"/>
      <c r="C141" s="88"/>
      <c r="D141" s="84" t="s">
        <v>1450</v>
      </c>
    </row>
    <row r="142" spans="1:4" ht="26.25" thickBot="1">
      <c r="A142" s="86" t="s">
        <v>1451</v>
      </c>
      <c r="B142" s="89"/>
      <c r="C142" s="89"/>
      <c r="D142" s="84" t="s">
        <v>1452</v>
      </c>
    </row>
    <row r="143" spans="1:4" ht="15.75" thickBot="1">
      <c r="A143" s="86" t="s">
        <v>1453</v>
      </c>
      <c r="B143" s="88"/>
      <c r="C143" s="88"/>
      <c r="D143" s="84" t="s">
        <v>1454</v>
      </c>
    </row>
    <row r="144" spans="1:4" ht="15.75" thickBot="1">
      <c r="A144" s="86" t="s">
        <v>1455</v>
      </c>
      <c r="B144" s="89"/>
      <c r="C144" s="89"/>
      <c r="D144" s="84" t="s">
        <v>1456</v>
      </c>
    </row>
    <row r="145" spans="1:4" ht="15.75" thickBot="1">
      <c r="A145" s="86" t="s">
        <v>1457</v>
      </c>
      <c r="B145" s="88"/>
      <c r="C145" s="88"/>
      <c r="D145" s="84" t="s">
        <v>1458</v>
      </c>
    </row>
    <row r="146" spans="1:4" ht="15.75" thickBot="1">
      <c r="A146" s="86" t="s">
        <v>1459</v>
      </c>
      <c r="B146" s="89"/>
      <c r="C146" s="89"/>
      <c r="D146" s="84" t="s">
        <v>1460</v>
      </c>
    </row>
    <row r="147" spans="1:4" ht="15.75" thickBot="1">
      <c r="A147" s="86" t="s">
        <v>1461</v>
      </c>
      <c r="B147" s="88"/>
      <c r="C147" s="88"/>
      <c r="D147" s="84" t="s">
        <v>1462</v>
      </c>
    </row>
    <row r="148" spans="1:4" ht="15.75" thickBot="1">
      <c r="A148" s="86" t="s">
        <v>1463</v>
      </c>
      <c r="B148" s="89"/>
      <c r="C148" s="89"/>
      <c r="D148" s="84" t="s">
        <v>1464</v>
      </c>
    </row>
    <row r="149" spans="1:4" ht="15.75" thickBot="1">
      <c r="A149" s="86" t="s">
        <v>1465</v>
      </c>
      <c r="B149" s="88"/>
      <c r="C149" s="88"/>
      <c r="D149" s="84" t="s">
        <v>1466</v>
      </c>
    </row>
    <row r="150" spans="1:4" ht="15.75" thickBot="1">
      <c r="A150" s="86" t="s">
        <v>1467</v>
      </c>
      <c r="B150" s="89"/>
      <c r="C150" s="89"/>
      <c r="D150" s="84" t="s">
        <v>1468</v>
      </c>
    </row>
    <row r="151" spans="1:4" ht="26.25" thickBot="1">
      <c r="A151" s="86" t="s">
        <v>1469</v>
      </c>
      <c r="B151" s="88"/>
      <c r="C151" s="88"/>
      <c r="D151" s="84" t="s">
        <v>1470</v>
      </c>
    </row>
    <row r="152" spans="1:4" ht="15.75" thickBot="1">
      <c r="A152" s="86" t="s">
        <v>1471</v>
      </c>
      <c r="B152" s="89"/>
      <c r="C152" s="89"/>
      <c r="D152" s="84" t="s">
        <v>1472</v>
      </c>
    </row>
    <row r="153" spans="1:4" ht="26.25" thickBot="1">
      <c r="A153" s="86" t="s">
        <v>1473</v>
      </c>
      <c r="B153" s="89"/>
      <c r="C153" s="89"/>
      <c r="D153" s="84" t="s">
        <v>1474</v>
      </c>
    </row>
    <row r="154" spans="1:4" ht="39" thickBot="1">
      <c r="A154" s="86" t="s">
        <v>1475</v>
      </c>
      <c r="B154" s="88"/>
      <c r="C154" s="88"/>
      <c r="D154" s="84" t="s">
        <v>1476</v>
      </c>
    </row>
    <row r="155" spans="1:4" ht="15.75" thickBot="1">
      <c r="A155" s="86" t="s">
        <v>1477</v>
      </c>
      <c r="B155" s="88"/>
      <c r="C155" s="88"/>
      <c r="D155" s="84" t="s">
        <v>1478</v>
      </c>
    </row>
    <row r="156" spans="1:4" ht="15.75" thickBot="1">
      <c r="A156" s="86" t="s">
        <v>1479</v>
      </c>
      <c r="B156" s="89">
        <v>75000</v>
      </c>
      <c r="C156" s="89"/>
      <c r="D156" s="84" t="s">
        <v>1480</v>
      </c>
    </row>
    <row r="157" spans="1:4" ht="15.75" thickBot="1">
      <c r="A157" s="86" t="s">
        <v>1481</v>
      </c>
      <c r="B157" s="88"/>
      <c r="C157" s="88"/>
      <c r="D157" s="84" t="s">
        <v>1482</v>
      </c>
    </row>
    <row r="158" spans="1:4" ht="15.75" thickBot="1">
      <c r="A158" s="86" t="s">
        <v>1483</v>
      </c>
      <c r="B158" s="89"/>
      <c r="C158" s="89"/>
      <c r="D158" s="84" t="s">
        <v>1484</v>
      </c>
    </row>
    <row r="159" spans="1:4" ht="26.25" thickBot="1">
      <c r="A159" s="86" t="s">
        <v>1485</v>
      </c>
      <c r="B159" s="88"/>
      <c r="C159" s="88"/>
      <c r="D159" s="84" t="s">
        <v>1486</v>
      </c>
    </row>
    <row r="160" spans="1:4" ht="26.25" thickBot="1">
      <c r="A160" s="86" t="s">
        <v>1487</v>
      </c>
      <c r="B160" s="88"/>
      <c r="C160" s="88"/>
      <c r="D160" s="84" t="s">
        <v>1488</v>
      </c>
    </row>
    <row r="161" spans="1:4" ht="26.25" thickBot="1">
      <c r="A161" s="86" t="s">
        <v>1489</v>
      </c>
      <c r="B161" s="88"/>
      <c r="C161" s="88"/>
      <c r="D161" s="84" t="s">
        <v>1490</v>
      </c>
    </row>
    <row r="162" spans="1:4" ht="15.75" thickBot="1">
      <c r="A162" s="86" t="s">
        <v>1491</v>
      </c>
      <c r="B162" s="89"/>
      <c r="C162" s="89"/>
      <c r="D162" s="84" t="s">
        <v>1492</v>
      </c>
    </row>
    <row r="163" spans="1:4" ht="26.25" thickBot="1">
      <c r="A163" s="86" t="s">
        <v>1493</v>
      </c>
      <c r="B163" s="88"/>
      <c r="C163" s="88"/>
      <c r="D163" s="84" t="s">
        <v>1494</v>
      </c>
    </row>
    <row r="164" spans="1:4" ht="26.25" thickBot="1">
      <c r="A164" s="86" t="s">
        <v>1495</v>
      </c>
      <c r="B164" s="88"/>
      <c r="C164" s="88"/>
      <c r="D164" s="84" t="s">
        <v>1496</v>
      </c>
    </row>
    <row r="165" spans="1:4" ht="26.25" thickBot="1">
      <c r="A165" s="86" t="s">
        <v>1497</v>
      </c>
      <c r="B165" s="88"/>
      <c r="C165" s="88"/>
      <c r="D165" s="84" t="s">
        <v>1498</v>
      </c>
    </row>
    <row r="166" spans="1:4" ht="51.75" thickBot="1">
      <c r="A166" s="86" t="s">
        <v>1499</v>
      </c>
      <c r="B166" s="88"/>
      <c r="C166" s="88"/>
      <c r="D166" s="84" t="s">
        <v>1500</v>
      </c>
    </row>
    <row r="167" spans="1:4" ht="26.25" thickBot="1">
      <c r="A167" s="86" t="s">
        <v>1501</v>
      </c>
      <c r="B167" s="88"/>
      <c r="C167" s="88"/>
      <c r="D167" s="84" t="s">
        <v>1502</v>
      </c>
    </row>
    <row r="168" spans="1:4" ht="39" thickBot="1">
      <c r="A168" s="86" t="s">
        <v>1503</v>
      </c>
      <c r="B168" s="89"/>
      <c r="C168" s="89"/>
      <c r="D168" s="84" t="s">
        <v>1504</v>
      </c>
    </row>
    <row r="169" spans="1:4" ht="26.25" thickBot="1">
      <c r="A169" s="86" t="s">
        <v>1505</v>
      </c>
      <c r="B169" s="89"/>
      <c r="C169" s="89"/>
      <c r="D169" s="84" t="s">
        <v>1506</v>
      </c>
    </row>
    <row r="170" spans="1:4" ht="26.25" thickBot="1">
      <c r="A170" s="86" t="s">
        <v>1507</v>
      </c>
      <c r="B170" s="88"/>
      <c r="C170" s="88"/>
      <c r="D170" s="84" t="s">
        <v>1508</v>
      </c>
    </row>
    <row r="171" spans="1:4" ht="26.25" thickBot="1">
      <c r="A171" s="86" t="s">
        <v>1509</v>
      </c>
      <c r="B171" s="89"/>
      <c r="C171" s="89"/>
      <c r="D171" s="84" t="s">
        <v>1510</v>
      </c>
    </row>
    <row r="172" spans="1:4" ht="39" thickBot="1">
      <c r="A172" s="86" t="s">
        <v>1511</v>
      </c>
      <c r="B172" s="88"/>
      <c r="C172" s="88"/>
      <c r="D172" s="84" t="s">
        <v>1512</v>
      </c>
    </row>
    <row r="173" spans="1:4" ht="26.25" thickBot="1">
      <c r="A173" s="86" t="s">
        <v>1513</v>
      </c>
      <c r="B173" s="88"/>
      <c r="C173" s="88"/>
      <c r="D173" s="84" t="s">
        <v>1514</v>
      </c>
    </row>
    <row r="174" spans="1:4" ht="39" thickBot="1">
      <c r="A174" s="86" t="s">
        <v>1515</v>
      </c>
      <c r="B174" s="88">
        <v>-61071</v>
      </c>
      <c r="C174" s="88">
        <v>5015</v>
      </c>
      <c r="D174" s="84" t="s">
        <v>1516</v>
      </c>
    </row>
    <row r="175" spans="1:4" ht="26.25" thickBot="1">
      <c r="A175" s="85" t="s">
        <v>1517</v>
      </c>
      <c r="B175" s="88">
        <v>-13504</v>
      </c>
      <c r="C175" s="88">
        <v>-19615</v>
      </c>
      <c r="D175" s="84" t="s">
        <v>1518</v>
      </c>
    </row>
    <row r="176" spans="1:4" ht="26.25" thickBot="1">
      <c r="A176" s="85" t="s">
        <v>1519</v>
      </c>
      <c r="B176" s="88">
        <v>62526</v>
      </c>
      <c r="C176" s="88">
        <v>88661</v>
      </c>
      <c r="D176" s="84" t="s">
        <v>1520</v>
      </c>
    </row>
    <row r="177" spans="1:4" ht="26.25" thickBot="1">
      <c r="A177" s="85" t="s">
        <v>1521</v>
      </c>
      <c r="B177" s="88"/>
      <c r="C177" s="88"/>
      <c r="D177" s="84" t="s">
        <v>1522</v>
      </c>
    </row>
    <row r="178" spans="1:4" ht="26.25" thickBot="1">
      <c r="A178" s="85" t="s">
        <v>1523</v>
      </c>
      <c r="B178" s="88"/>
      <c r="C178" s="88"/>
      <c r="D178" s="84" t="s">
        <v>1524</v>
      </c>
    </row>
    <row r="179" spans="1:4" ht="26.25" thickBot="1">
      <c r="A179" s="85" t="s">
        <v>1525</v>
      </c>
      <c r="B179" s="88"/>
      <c r="C179" s="88"/>
      <c r="D179" s="84" t="s">
        <v>1526</v>
      </c>
    </row>
    <row r="180" spans="1:4" ht="26.25" thickBot="1">
      <c r="A180" s="85" t="s">
        <v>1527</v>
      </c>
      <c r="B180" s="88">
        <v>49022</v>
      </c>
      <c r="C180" s="88">
        <v>69046</v>
      </c>
      <c r="D180" s="84" t="s">
        <v>1528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2079B44D-CB65-4CDD-9127-824CEB5C2F98}">
      <formula1>-9.99999999999999E+33</formula1>
      <formula2>9.99999999999999E+33</formula2>
    </dataValidation>
  </dataValidations>
  <pageMargins left="0.15" right="0.15" top="0.15" bottom="0.15" header="0.5" footer="0.5"/>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98EF59-586A-49DF-BCFD-CCCAEC3A1BDA}">
  <dimension ref="A1:C63"/>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1529</v>
      </c>
    </row>
    <row r="3" spans="1:3" ht="34.5">
      <c r="A3" s="92" t="s">
        <v>1530</v>
      </c>
      <c r="B3" s="275" t="s">
        <v>1531</v>
      </c>
      <c r="C3" s="275"/>
    </row>
    <row r="4" spans="1:3">
      <c r="A4" s="93"/>
      <c r="B4" s="94" t="s">
        <v>104</v>
      </c>
    </row>
    <row r="5" spans="1:3" ht="15.75" thickBot="1">
      <c r="A5" s="95" t="s">
        <v>1530</v>
      </c>
      <c r="B5" s="96"/>
      <c r="C5" s="97" t="s">
        <v>1531</v>
      </c>
    </row>
    <row r="6" spans="1:3" ht="75" customHeight="1" thickBot="1">
      <c r="A6" s="98" t="s">
        <v>1532</v>
      </c>
      <c r="B6" s="99" t="s">
        <v>1533</v>
      </c>
      <c r="C6" s="97" t="s">
        <v>1534</v>
      </c>
    </row>
    <row r="7" spans="1:3" ht="75" customHeight="1" thickBot="1">
      <c r="A7" s="98" t="s">
        <v>1535</v>
      </c>
      <c r="B7" s="99" t="s">
        <v>1536</v>
      </c>
      <c r="C7" s="97" t="s">
        <v>1537</v>
      </c>
    </row>
    <row r="8" spans="1:3" ht="75" customHeight="1" thickBot="1">
      <c r="A8" s="98" t="s">
        <v>433</v>
      </c>
      <c r="B8" s="99" t="s">
        <v>1538</v>
      </c>
      <c r="C8" s="97" t="s">
        <v>434</v>
      </c>
    </row>
    <row r="9" spans="1:3" ht="75" customHeight="1" thickBot="1">
      <c r="A9" s="98" t="s">
        <v>1539</v>
      </c>
      <c r="B9" s="99" t="s">
        <v>1540</v>
      </c>
      <c r="C9" s="97" t="s">
        <v>1541</v>
      </c>
    </row>
    <row r="10" spans="1:3" ht="75" customHeight="1" thickBot="1">
      <c r="A10" s="98" t="s">
        <v>1542</v>
      </c>
      <c r="B10" s="99" t="s">
        <v>1543</v>
      </c>
      <c r="C10" s="97" t="s">
        <v>1544</v>
      </c>
    </row>
    <row r="11" spans="1:3" ht="75" customHeight="1" thickBot="1">
      <c r="A11" s="98" t="s">
        <v>1545</v>
      </c>
      <c r="B11" s="99" t="s">
        <v>1546</v>
      </c>
      <c r="C11" s="97" t="s">
        <v>1547</v>
      </c>
    </row>
    <row r="12" spans="1:3" ht="75" customHeight="1" thickBot="1">
      <c r="A12" s="98" t="s">
        <v>624</v>
      </c>
      <c r="B12" s="99" t="s">
        <v>1548</v>
      </c>
      <c r="C12" s="97" t="s">
        <v>1549</v>
      </c>
    </row>
    <row r="13" spans="1:3" ht="75" customHeight="1" thickBot="1">
      <c r="A13" s="98" t="s">
        <v>1550</v>
      </c>
      <c r="B13" s="99" t="s">
        <v>1546</v>
      </c>
      <c r="C13" s="97" t="s">
        <v>623</v>
      </c>
    </row>
    <row r="14" spans="1:3" ht="75" customHeight="1" thickBot="1">
      <c r="A14" s="98" t="s">
        <v>1551</v>
      </c>
      <c r="B14" s="99" t="s">
        <v>1546</v>
      </c>
      <c r="C14" s="97" t="s">
        <v>1552</v>
      </c>
    </row>
    <row r="15" spans="1:3" ht="75" customHeight="1" thickBot="1">
      <c r="A15" s="98" t="s">
        <v>616</v>
      </c>
      <c r="B15" s="99" t="s">
        <v>1546</v>
      </c>
      <c r="C15" s="97" t="s">
        <v>617</v>
      </c>
    </row>
    <row r="16" spans="1:3" ht="75" customHeight="1" thickBot="1">
      <c r="A16" s="98" t="s">
        <v>1553</v>
      </c>
      <c r="B16" s="99" t="s">
        <v>1554</v>
      </c>
      <c r="C16" s="97" t="s">
        <v>1555</v>
      </c>
    </row>
    <row r="17" spans="1:3" ht="75" customHeight="1" thickBot="1">
      <c r="A17" s="98" t="s">
        <v>644</v>
      </c>
      <c r="B17" s="99" t="s">
        <v>1546</v>
      </c>
      <c r="C17" s="97" t="s">
        <v>645</v>
      </c>
    </row>
    <row r="18" spans="1:3" ht="75" customHeight="1" thickBot="1">
      <c r="A18" s="98" t="s">
        <v>1556</v>
      </c>
      <c r="B18" s="99" t="s">
        <v>1557</v>
      </c>
      <c r="C18" s="97" t="s">
        <v>1558</v>
      </c>
    </row>
    <row r="19" spans="1:3" ht="75" customHeight="1" thickBot="1">
      <c r="A19" s="98" t="s">
        <v>1559</v>
      </c>
      <c r="B19" s="99" t="s">
        <v>1560</v>
      </c>
      <c r="C19" s="97" t="s">
        <v>1561</v>
      </c>
    </row>
    <row r="20" spans="1:3" ht="75" customHeight="1" thickBot="1">
      <c r="A20" s="98" t="s">
        <v>1562</v>
      </c>
      <c r="B20" s="99" t="s">
        <v>1546</v>
      </c>
      <c r="C20" s="97" t="s">
        <v>1563</v>
      </c>
    </row>
    <row r="21" spans="1:3" ht="75" customHeight="1" thickBot="1">
      <c r="A21" s="98" t="s">
        <v>1564</v>
      </c>
      <c r="B21" s="99" t="s">
        <v>1565</v>
      </c>
      <c r="C21" s="97" t="s">
        <v>1566</v>
      </c>
    </row>
    <row r="22" spans="1:3" ht="75" customHeight="1" thickBot="1">
      <c r="A22" s="98" t="s">
        <v>1567</v>
      </c>
      <c r="B22" s="99" t="s">
        <v>1568</v>
      </c>
      <c r="C22" s="97" t="s">
        <v>1569</v>
      </c>
    </row>
    <row r="23" spans="1:3" ht="75" customHeight="1" thickBot="1">
      <c r="A23" s="98" t="s">
        <v>1570</v>
      </c>
      <c r="B23" s="99" t="s">
        <v>1571</v>
      </c>
      <c r="C23" s="97" t="s">
        <v>1572</v>
      </c>
    </row>
    <row r="24" spans="1:3" ht="75" customHeight="1" thickBot="1">
      <c r="A24" s="98" t="s">
        <v>1573</v>
      </c>
      <c r="B24" s="99" t="s">
        <v>1574</v>
      </c>
      <c r="C24" s="97" t="s">
        <v>1575</v>
      </c>
    </row>
    <row r="25" spans="1:3" ht="75" customHeight="1" thickBot="1">
      <c r="A25" s="98" t="s">
        <v>1576</v>
      </c>
      <c r="B25" s="99" t="s">
        <v>1577</v>
      </c>
      <c r="C25" s="97" t="s">
        <v>1578</v>
      </c>
    </row>
    <row r="26" spans="1:3" ht="75" customHeight="1" thickBot="1">
      <c r="A26" s="98" t="s">
        <v>1579</v>
      </c>
      <c r="B26" s="99" t="s">
        <v>1580</v>
      </c>
      <c r="C26" s="97" t="s">
        <v>1581</v>
      </c>
    </row>
    <row r="27" spans="1:3" ht="75" customHeight="1" thickBot="1">
      <c r="A27" s="98" t="s">
        <v>1582</v>
      </c>
      <c r="B27" s="99" t="s">
        <v>1546</v>
      </c>
      <c r="C27" s="97" t="s">
        <v>1583</v>
      </c>
    </row>
    <row r="28" spans="1:3" ht="75" customHeight="1" thickBot="1">
      <c r="A28" s="98" t="s">
        <v>1584</v>
      </c>
      <c r="B28" s="99" t="s">
        <v>1585</v>
      </c>
      <c r="C28" s="97" t="s">
        <v>1586</v>
      </c>
    </row>
    <row r="29" spans="1:3" ht="75" customHeight="1" thickBot="1">
      <c r="A29" s="98" t="s">
        <v>1587</v>
      </c>
      <c r="B29" s="99" t="s">
        <v>1546</v>
      </c>
      <c r="C29" s="97" t="s">
        <v>1588</v>
      </c>
    </row>
    <row r="30" spans="1:3" ht="75" customHeight="1" thickBot="1">
      <c r="A30" s="98" t="s">
        <v>1589</v>
      </c>
      <c r="B30" s="99" t="s">
        <v>1590</v>
      </c>
      <c r="C30" s="97" t="s">
        <v>1591</v>
      </c>
    </row>
    <row r="31" spans="1:3" ht="75" customHeight="1" thickBot="1">
      <c r="A31" s="98" t="s">
        <v>1592</v>
      </c>
      <c r="B31" s="99" t="s">
        <v>1593</v>
      </c>
      <c r="C31" s="97" t="s">
        <v>1594</v>
      </c>
    </row>
    <row r="32" spans="1:3" ht="75" customHeight="1" thickBot="1">
      <c r="A32" s="98" t="s">
        <v>1595</v>
      </c>
      <c r="B32" s="99" t="s">
        <v>1596</v>
      </c>
      <c r="C32" s="97" t="s">
        <v>1597</v>
      </c>
    </row>
    <row r="33" spans="1:3" ht="75" customHeight="1" thickBot="1">
      <c r="A33" s="98" t="s">
        <v>1598</v>
      </c>
      <c r="B33" s="99" t="s">
        <v>1599</v>
      </c>
      <c r="C33" s="97" t="s">
        <v>1600</v>
      </c>
    </row>
    <row r="34" spans="1:3" ht="75" customHeight="1" thickBot="1">
      <c r="A34" s="98" t="s">
        <v>1601</v>
      </c>
      <c r="B34" s="99" t="s">
        <v>1546</v>
      </c>
      <c r="C34" s="97" t="s">
        <v>1602</v>
      </c>
    </row>
    <row r="35" spans="1:3" ht="75" customHeight="1" thickBot="1">
      <c r="A35" s="98" t="s">
        <v>1603</v>
      </c>
      <c r="B35" s="99" t="s">
        <v>1546</v>
      </c>
      <c r="C35" s="97" t="s">
        <v>1604</v>
      </c>
    </row>
    <row r="36" spans="1:3" ht="75" customHeight="1" thickBot="1">
      <c r="A36" s="98" t="s">
        <v>1605</v>
      </c>
      <c r="B36" s="99" t="s">
        <v>1546</v>
      </c>
      <c r="C36" s="97" t="s">
        <v>1606</v>
      </c>
    </row>
    <row r="37" spans="1:3" ht="75" customHeight="1" thickBot="1">
      <c r="A37" s="98" t="s">
        <v>437</v>
      </c>
      <c r="B37" s="99" t="s">
        <v>1546</v>
      </c>
      <c r="C37" s="97" t="s">
        <v>1607</v>
      </c>
    </row>
    <row r="38" spans="1:3" ht="75" customHeight="1" thickBot="1">
      <c r="A38" s="98" t="s">
        <v>626</v>
      </c>
      <c r="B38" s="99" t="s">
        <v>1608</v>
      </c>
      <c r="C38" s="97" t="s">
        <v>627</v>
      </c>
    </row>
    <row r="39" spans="1:3" ht="75" customHeight="1" thickBot="1">
      <c r="A39" s="98" t="s">
        <v>620</v>
      </c>
      <c r="B39" s="99" t="s">
        <v>1609</v>
      </c>
      <c r="C39" s="97" t="s">
        <v>621</v>
      </c>
    </row>
    <row r="40" spans="1:3" ht="75" customHeight="1" thickBot="1">
      <c r="A40" s="98" t="s">
        <v>660</v>
      </c>
      <c r="B40" s="99" t="s">
        <v>1593</v>
      </c>
      <c r="C40" s="97" t="s">
        <v>660</v>
      </c>
    </row>
    <row r="41" spans="1:3" ht="75" customHeight="1" thickBot="1">
      <c r="A41" s="98" t="s">
        <v>563</v>
      </c>
      <c r="B41" s="99" t="s">
        <v>1610</v>
      </c>
      <c r="C41" s="97" t="s">
        <v>1611</v>
      </c>
    </row>
    <row r="42" spans="1:3" ht="75" customHeight="1" thickBot="1">
      <c r="A42" s="98" t="s">
        <v>1612</v>
      </c>
      <c r="B42" s="99" t="s">
        <v>1613</v>
      </c>
      <c r="C42" s="97" t="s">
        <v>1614</v>
      </c>
    </row>
    <row r="43" spans="1:3" ht="75" customHeight="1" thickBot="1">
      <c r="A43" s="98" t="s">
        <v>1615</v>
      </c>
      <c r="B43" s="99" t="s">
        <v>1546</v>
      </c>
      <c r="C43" s="97" t="s">
        <v>1616</v>
      </c>
    </row>
    <row r="44" spans="1:3" ht="75" customHeight="1" thickBot="1">
      <c r="A44" s="98" t="s">
        <v>1617</v>
      </c>
      <c r="B44" s="99" t="s">
        <v>1546</v>
      </c>
      <c r="C44" s="97" t="s">
        <v>1618</v>
      </c>
    </row>
    <row r="45" spans="1:3" ht="75" customHeight="1" thickBot="1">
      <c r="A45" s="98" t="s">
        <v>1619</v>
      </c>
      <c r="B45" s="99" t="s">
        <v>1546</v>
      </c>
      <c r="C45" s="97" t="s">
        <v>1620</v>
      </c>
    </row>
    <row r="46" spans="1:3" ht="75" customHeight="1" thickBot="1">
      <c r="A46" s="98" t="s">
        <v>632</v>
      </c>
      <c r="B46" s="99" t="s">
        <v>1546</v>
      </c>
      <c r="C46" s="97" t="s">
        <v>1621</v>
      </c>
    </row>
    <row r="47" spans="1:3" ht="75" customHeight="1" thickBot="1">
      <c r="A47" s="98" t="s">
        <v>634</v>
      </c>
      <c r="B47" s="99" t="s">
        <v>1546</v>
      </c>
      <c r="C47" s="97" t="s">
        <v>635</v>
      </c>
    </row>
    <row r="48" spans="1:3" ht="75" customHeight="1" thickBot="1">
      <c r="A48" s="98" t="s">
        <v>1622</v>
      </c>
      <c r="B48" s="99" t="s">
        <v>1546</v>
      </c>
      <c r="C48" s="97" t="s">
        <v>1623</v>
      </c>
    </row>
    <row r="49" spans="1:3" ht="75" customHeight="1" thickBot="1">
      <c r="A49" s="98" t="s">
        <v>1624</v>
      </c>
      <c r="B49" s="99" t="s">
        <v>1546</v>
      </c>
      <c r="C49" s="97" t="s">
        <v>1625</v>
      </c>
    </row>
    <row r="50" spans="1:3" ht="75" customHeight="1" thickBot="1">
      <c r="A50" s="98" t="s">
        <v>1626</v>
      </c>
      <c r="B50" s="99" t="s">
        <v>1546</v>
      </c>
      <c r="C50" s="97" t="s">
        <v>1627</v>
      </c>
    </row>
    <row r="51" spans="1:3" ht="75" customHeight="1" thickBot="1">
      <c r="A51" s="98" t="s">
        <v>1628</v>
      </c>
      <c r="B51" s="99" t="s">
        <v>1546</v>
      </c>
      <c r="C51" s="97" t="s">
        <v>1629</v>
      </c>
    </row>
    <row r="52" spans="1:3" ht="75" customHeight="1" thickBot="1">
      <c r="A52" s="98" t="s">
        <v>1630</v>
      </c>
      <c r="B52" s="99" t="s">
        <v>1546</v>
      </c>
      <c r="C52" s="97" t="s">
        <v>1631</v>
      </c>
    </row>
    <row r="53" spans="1:3" ht="75" customHeight="1" thickBot="1">
      <c r="A53" s="98" t="s">
        <v>1632</v>
      </c>
      <c r="B53" s="99" t="s">
        <v>1546</v>
      </c>
      <c r="C53" s="97" t="s">
        <v>1633</v>
      </c>
    </row>
    <row r="54" spans="1:3" ht="75" customHeight="1" thickBot="1">
      <c r="A54" s="98" t="s">
        <v>919</v>
      </c>
      <c r="B54" s="99" t="s">
        <v>1546</v>
      </c>
      <c r="C54" s="97" t="s">
        <v>1634</v>
      </c>
    </row>
    <row r="55" spans="1:3" ht="75" customHeight="1" thickBot="1">
      <c r="A55" s="98" t="s">
        <v>1635</v>
      </c>
      <c r="B55" s="99" t="s">
        <v>1546</v>
      </c>
      <c r="C55" s="97" t="s">
        <v>1636</v>
      </c>
    </row>
    <row r="56" spans="1:3" ht="75" customHeight="1" thickBot="1">
      <c r="A56" s="98" t="s">
        <v>1637</v>
      </c>
      <c r="B56" s="99" t="s">
        <v>1546</v>
      </c>
      <c r="C56" s="97" t="s">
        <v>1638</v>
      </c>
    </row>
    <row r="57" spans="1:3" ht="75" customHeight="1" thickBot="1">
      <c r="A57" s="98" t="s">
        <v>1639</v>
      </c>
      <c r="B57" s="99" t="s">
        <v>1640</v>
      </c>
      <c r="C57" s="97" t="s">
        <v>1641</v>
      </c>
    </row>
    <row r="58" spans="1:3" ht="75" customHeight="1" thickBot="1">
      <c r="A58" s="98" t="s">
        <v>1642</v>
      </c>
      <c r="B58" s="99" t="s">
        <v>1643</v>
      </c>
      <c r="C58" s="97" t="s">
        <v>1644</v>
      </c>
    </row>
    <row r="59" spans="1:3" ht="75" customHeight="1" thickBot="1">
      <c r="A59" s="98" t="s">
        <v>1645</v>
      </c>
      <c r="B59" s="99" t="s">
        <v>1546</v>
      </c>
      <c r="C59" s="97" t="s">
        <v>1646</v>
      </c>
    </row>
    <row r="60" spans="1:3" ht="75" customHeight="1" thickBot="1">
      <c r="A60" s="98" t="s">
        <v>1647</v>
      </c>
      <c r="B60" s="99" t="s">
        <v>1546</v>
      </c>
      <c r="C60" s="97" t="s">
        <v>1648</v>
      </c>
    </row>
    <row r="61" spans="1:3" ht="75" customHeight="1" thickBot="1">
      <c r="A61" s="98" t="s">
        <v>1649</v>
      </c>
      <c r="B61" s="99" t="s">
        <v>1590</v>
      </c>
      <c r="C61" s="97" t="s">
        <v>1650</v>
      </c>
    </row>
    <row r="62" spans="1:3" ht="75" customHeight="1" thickBot="1">
      <c r="A62" s="98" t="s">
        <v>1651</v>
      </c>
      <c r="B62" s="99" t="s">
        <v>1546</v>
      </c>
      <c r="C62" s="97" t="s">
        <v>1652</v>
      </c>
    </row>
    <row r="63" spans="1:3" ht="75" customHeight="1" thickBot="1">
      <c r="A63" s="98" t="s">
        <v>1653</v>
      </c>
      <c r="B63" s="99" t="s">
        <v>1546</v>
      </c>
      <c r="C63" s="97" t="s">
        <v>1654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770BF613-8168-47BD-881E-99579232EB39}">
      <formula1>0</formula1>
    </dataValidation>
  </dataValidations>
  <pageMargins left="0.15" right="0.15" top="0.15" bottom="0.15" header="0.5" footer="0.5"/>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EF58F7-E37F-4148-8E1B-38F29A078F1F}">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1655</v>
      </c>
    </row>
    <row r="3" spans="1:13" ht="17.25" customHeight="1">
      <c r="A3" s="280" t="s">
        <v>624</v>
      </c>
      <c r="B3" s="280"/>
      <c r="C3" s="280"/>
      <c r="D3" s="280"/>
      <c r="E3" s="280"/>
      <c r="F3" s="280"/>
      <c r="G3" s="281" t="s">
        <v>625</v>
      </c>
      <c r="H3" s="281"/>
      <c r="I3" s="281"/>
      <c r="J3" s="281"/>
      <c r="K3" s="281"/>
      <c r="L3" s="281"/>
      <c r="M3" s="281"/>
    </row>
    <row r="4" spans="1:13">
      <c r="A4" s="282"/>
      <c r="B4" s="282"/>
      <c r="C4" s="283" t="s">
        <v>1656</v>
      </c>
      <c r="D4" s="283"/>
      <c r="E4" s="283"/>
      <c r="F4" s="283"/>
      <c r="G4" s="283"/>
      <c r="H4" s="283"/>
      <c r="I4" s="283"/>
      <c r="J4" s="283"/>
      <c r="K4" s="283"/>
      <c r="L4" s="282"/>
      <c r="M4" s="282"/>
    </row>
    <row r="5" spans="1:13" ht="23.25">
      <c r="A5" s="282"/>
      <c r="B5" s="282"/>
      <c r="C5" s="102" t="s">
        <v>624</v>
      </c>
      <c r="D5" s="102" t="s">
        <v>1657</v>
      </c>
      <c r="E5" s="102" t="s">
        <v>1658</v>
      </c>
      <c r="F5" s="102" t="s">
        <v>1659</v>
      </c>
      <c r="G5" s="102" t="s">
        <v>1660</v>
      </c>
      <c r="H5" s="102" t="s">
        <v>1661</v>
      </c>
      <c r="I5" s="102" t="s">
        <v>1662</v>
      </c>
      <c r="J5" s="102" t="s">
        <v>1663</v>
      </c>
      <c r="K5" s="102" t="s">
        <v>624</v>
      </c>
      <c r="L5" s="282"/>
      <c r="M5" s="282"/>
    </row>
    <row r="6" spans="1:13" ht="15.75" thickBot="1">
      <c r="A6" s="276" t="s">
        <v>1664</v>
      </c>
      <c r="B6" s="103" t="s">
        <v>1665</v>
      </c>
      <c r="C6" s="104">
        <v>427679</v>
      </c>
      <c r="D6" s="104"/>
      <c r="E6" s="105"/>
      <c r="F6" s="104"/>
      <c r="G6" s="104"/>
      <c r="H6" s="104"/>
      <c r="I6" s="104"/>
      <c r="J6" s="105"/>
      <c r="K6" s="104">
        <v>427679</v>
      </c>
      <c r="L6" s="106" t="s">
        <v>1666</v>
      </c>
      <c r="M6" s="278" t="s">
        <v>1667</v>
      </c>
    </row>
    <row r="7" spans="1:13" ht="26.25" thickBot="1">
      <c r="A7" s="276"/>
      <c r="B7" s="103" t="s">
        <v>1668</v>
      </c>
      <c r="C7" s="104">
        <v>240231</v>
      </c>
      <c r="D7" s="104"/>
      <c r="E7" s="105"/>
      <c r="F7" s="104">
        <v>365</v>
      </c>
      <c r="G7" s="104"/>
      <c r="H7" s="104"/>
      <c r="I7" s="104"/>
      <c r="J7" s="105"/>
      <c r="K7" s="104">
        <v>240596</v>
      </c>
      <c r="L7" s="106" t="s">
        <v>1669</v>
      </c>
      <c r="M7" s="278"/>
    </row>
    <row r="8" spans="1:13" ht="15.75" thickBot="1">
      <c r="A8" s="276"/>
      <c r="B8" s="103" t="s">
        <v>1670</v>
      </c>
      <c r="C8" s="104">
        <v>384264</v>
      </c>
      <c r="D8" s="104"/>
      <c r="E8" s="105">
        <v>559</v>
      </c>
      <c r="F8" s="104">
        <v>7654</v>
      </c>
      <c r="G8" s="104"/>
      <c r="H8" s="104"/>
      <c r="I8" s="104"/>
      <c r="J8" s="105"/>
      <c r="K8" s="104">
        <v>391359</v>
      </c>
      <c r="L8" s="106" t="s">
        <v>1671</v>
      </c>
      <c r="M8" s="278"/>
    </row>
    <row r="9" spans="1:13" ht="15.75" thickBot="1">
      <c r="A9" s="276"/>
      <c r="B9" s="103" t="s">
        <v>1672</v>
      </c>
      <c r="C9" s="104">
        <v>27562</v>
      </c>
      <c r="D9" s="104">
        <v>13</v>
      </c>
      <c r="E9" s="105">
        <v>88</v>
      </c>
      <c r="F9" s="104">
        <v>2655</v>
      </c>
      <c r="G9" s="104"/>
      <c r="H9" s="104"/>
      <c r="I9" s="104"/>
      <c r="J9" s="105"/>
      <c r="K9" s="104">
        <v>30142</v>
      </c>
      <c r="L9" s="106" t="s">
        <v>1673</v>
      </c>
      <c r="M9" s="278"/>
    </row>
    <row r="10" spans="1:13" ht="15.75" thickBot="1">
      <c r="A10" s="276"/>
      <c r="B10" s="103" t="s">
        <v>1674</v>
      </c>
      <c r="C10" s="104"/>
      <c r="D10" s="104"/>
      <c r="E10" s="105"/>
      <c r="F10" s="104"/>
      <c r="G10" s="104"/>
      <c r="H10" s="104"/>
      <c r="I10" s="104"/>
      <c r="J10" s="105"/>
      <c r="K10" s="104"/>
      <c r="L10" s="106" t="s">
        <v>1675</v>
      </c>
      <c r="M10" s="278"/>
    </row>
    <row r="11" spans="1:13" ht="26.25" thickBot="1">
      <c r="A11" s="276"/>
      <c r="B11" s="103" t="s">
        <v>1676</v>
      </c>
      <c r="C11" s="104">
        <v>15714</v>
      </c>
      <c r="D11" s="104">
        <v>295</v>
      </c>
      <c r="E11" s="105">
        <v>202</v>
      </c>
      <c r="F11" s="104">
        <v>492</v>
      </c>
      <c r="G11" s="104"/>
      <c r="H11" s="104"/>
      <c r="I11" s="104"/>
      <c r="J11" s="105"/>
      <c r="K11" s="104">
        <v>16299</v>
      </c>
      <c r="L11" s="106" t="s">
        <v>1677</v>
      </c>
      <c r="M11" s="278"/>
    </row>
    <row r="12" spans="1:13" ht="15.75" thickBot="1">
      <c r="A12" s="276"/>
      <c r="B12" s="103" t="s">
        <v>1678</v>
      </c>
      <c r="C12" s="104">
        <v>12328</v>
      </c>
      <c r="D12" s="104"/>
      <c r="E12" s="105"/>
      <c r="F12" s="104"/>
      <c r="G12" s="104"/>
      <c r="H12" s="104"/>
      <c r="I12" s="104"/>
      <c r="J12" s="105"/>
      <c r="K12" s="104">
        <v>12328</v>
      </c>
      <c r="L12" s="106" t="s">
        <v>1679</v>
      </c>
      <c r="M12" s="278"/>
    </row>
    <row r="13" spans="1:13" ht="15.75" thickBot="1">
      <c r="A13" s="276"/>
      <c r="B13" s="103" t="s">
        <v>1680</v>
      </c>
      <c r="C13" s="104"/>
      <c r="D13" s="104"/>
      <c r="E13" s="105"/>
      <c r="F13" s="104"/>
      <c r="G13" s="104"/>
      <c r="H13" s="104"/>
      <c r="I13" s="104"/>
      <c r="J13" s="105"/>
      <c r="K13" s="104"/>
      <c r="L13" s="106" t="s">
        <v>1681</v>
      </c>
      <c r="M13" s="278"/>
    </row>
    <row r="14" spans="1:13" ht="15.75" thickBot="1">
      <c r="A14" s="276"/>
      <c r="B14" s="103" t="s">
        <v>1682</v>
      </c>
      <c r="C14" s="104"/>
      <c r="D14" s="104"/>
      <c r="E14" s="105"/>
      <c r="F14" s="104"/>
      <c r="G14" s="104"/>
      <c r="H14" s="104"/>
      <c r="I14" s="104"/>
      <c r="J14" s="105"/>
      <c r="K14" s="104"/>
      <c r="L14" s="106" t="s">
        <v>1683</v>
      </c>
      <c r="M14" s="278"/>
    </row>
    <row r="15" spans="1:13" ht="15.75" thickBot="1">
      <c r="A15" s="276"/>
      <c r="B15" s="103" t="s">
        <v>1684</v>
      </c>
      <c r="C15" s="104"/>
      <c r="D15" s="104"/>
      <c r="E15" s="105"/>
      <c r="F15" s="104"/>
      <c r="G15" s="104"/>
      <c r="H15" s="104"/>
      <c r="I15" s="104"/>
      <c r="J15" s="105"/>
      <c r="K15" s="104"/>
      <c r="L15" s="106" t="s">
        <v>1685</v>
      </c>
      <c r="M15" s="278"/>
    </row>
    <row r="16" spans="1:13" ht="15.75" thickBot="1">
      <c r="A16" s="276"/>
      <c r="B16" s="103" t="s">
        <v>1686</v>
      </c>
      <c r="C16" s="104"/>
      <c r="D16" s="104"/>
      <c r="E16" s="105"/>
      <c r="F16" s="104"/>
      <c r="G16" s="104"/>
      <c r="H16" s="104"/>
      <c r="I16" s="104"/>
      <c r="J16" s="105"/>
      <c r="K16" s="104"/>
      <c r="L16" s="106" t="s">
        <v>1687</v>
      </c>
      <c r="M16" s="278"/>
    </row>
    <row r="17" spans="1:13" ht="26.25" thickBot="1">
      <c r="A17" s="276"/>
      <c r="B17" s="103" t="s">
        <v>1688</v>
      </c>
      <c r="C17" s="104"/>
      <c r="D17" s="104"/>
      <c r="E17" s="105"/>
      <c r="F17" s="104"/>
      <c r="G17" s="104"/>
      <c r="H17" s="104"/>
      <c r="I17" s="104"/>
      <c r="J17" s="105"/>
      <c r="K17" s="104"/>
      <c r="L17" s="106" t="s">
        <v>1689</v>
      </c>
      <c r="M17" s="278"/>
    </row>
    <row r="18" spans="1:13" ht="15.75" thickBot="1">
      <c r="A18" s="276"/>
      <c r="B18" s="103" t="s">
        <v>1690</v>
      </c>
      <c r="C18" s="104"/>
      <c r="D18" s="104"/>
      <c r="E18" s="105"/>
      <c r="F18" s="104"/>
      <c r="G18" s="104"/>
      <c r="H18" s="104"/>
      <c r="I18" s="104"/>
      <c r="J18" s="105"/>
      <c r="K18" s="104"/>
      <c r="L18" s="106" t="s">
        <v>1691</v>
      </c>
      <c r="M18" s="278"/>
    </row>
    <row r="19" spans="1:13" ht="15.75" thickBot="1">
      <c r="A19" s="276"/>
      <c r="B19" s="103" t="s">
        <v>1692</v>
      </c>
      <c r="C19" s="104"/>
      <c r="D19" s="104"/>
      <c r="E19" s="105"/>
      <c r="F19" s="104"/>
      <c r="G19" s="104"/>
      <c r="H19" s="104"/>
      <c r="I19" s="104"/>
      <c r="J19" s="105"/>
      <c r="K19" s="104"/>
      <c r="L19" s="106" t="s">
        <v>1693</v>
      </c>
      <c r="M19" s="278"/>
    </row>
    <row r="20" spans="1:13" ht="15.75" thickBot="1">
      <c r="A20" s="276"/>
      <c r="B20" s="103" t="s">
        <v>1694</v>
      </c>
      <c r="C20" s="104">
        <v>1107778</v>
      </c>
      <c r="D20" s="104">
        <v>308</v>
      </c>
      <c r="E20" s="105">
        <v>849</v>
      </c>
      <c r="F20" s="104">
        <v>11166</v>
      </c>
      <c r="G20" s="104"/>
      <c r="H20" s="104"/>
      <c r="I20" s="104"/>
      <c r="J20" s="105"/>
      <c r="K20" s="104">
        <v>1118403</v>
      </c>
      <c r="L20" s="106" t="s">
        <v>1695</v>
      </c>
      <c r="M20" s="278"/>
    </row>
    <row r="21" spans="1:13" ht="15.75" thickBot="1">
      <c r="A21" s="276"/>
      <c r="B21" s="103" t="s">
        <v>1696</v>
      </c>
      <c r="C21" s="104"/>
      <c r="D21" s="104"/>
      <c r="E21" s="105"/>
      <c r="F21" s="104"/>
      <c r="G21" s="104"/>
      <c r="H21" s="104"/>
      <c r="I21" s="104"/>
      <c r="J21" s="105"/>
      <c r="K21" s="104"/>
      <c r="L21" s="106" t="s">
        <v>1697</v>
      </c>
      <c r="M21" s="278"/>
    </row>
    <row r="22" spans="1:13" ht="26.25" thickBot="1">
      <c r="A22" s="276"/>
      <c r="B22" s="103" t="s">
        <v>1698</v>
      </c>
      <c r="C22" s="104"/>
      <c r="D22" s="104"/>
      <c r="E22" s="105"/>
      <c r="F22" s="104"/>
      <c r="G22" s="104"/>
      <c r="H22" s="104"/>
      <c r="I22" s="104"/>
      <c r="J22" s="105"/>
      <c r="K22" s="104"/>
      <c r="L22" s="106" t="s">
        <v>1699</v>
      </c>
      <c r="M22" s="278"/>
    </row>
    <row r="23" spans="1:13" ht="15.75" thickBot="1">
      <c r="A23" s="276"/>
      <c r="B23" s="103" t="s">
        <v>1700</v>
      </c>
      <c r="C23" s="104"/>
      <c r="D23" s="104"/>
      <c r="E23" s="105"/>
      <c r="F23" s="104"/>
      <c r="G23" s="104"/>
      <c r="H23" s="104"/>
      <c r="I23" s="104"/>
      <c r="J23" s="105"/>
      <c r="K23" s="104"/>
      <c r="L23" s="106" t="s">
        <v>1701</v>
      </c>
      <c r="M23" s="278"/>
    </row>
    <row r="24" spans="1:13" ht="15.75" thickBot="1">
      <c r="A24" s="276"/>
      <c r="B24" s="103" t="s">
        <v>1702</v>
      </c>
      <c r="C24" s="104">
        <v>8324</v>
      </c>
      <c r="D24" s="104"/>
      <c r="E24" s="105"/>
      <c r="F24" s="104"/>
      <c r="G24" s="104"/>
      <c r="H24" s="104"/>
      <c r="I24" s="104"/>
      <c r="J24" s="105"/>
      <c r="K24" s="104">
        <v>8324</v>
      </c>
      <c r="L24" s="106" t="s">
        <v>1703</v>
      </c>
      <c r="M24" s="278"/>
    </row>
    <row r="25" spans="1:13" ht="26.25" thickBot="1">
      <c r="A25" s="276"/>
      <c r="B25" s="103" t="s">
        <v>1704</v>
      </c>
      <c r="C25" s="104"/>
      <c r="D25" s="104"/>
      <c r="E25" s="105"/>
      <c r="F25" s="104"/>
      <c r="G25" s="104"/>
      <c r="H25" s="104"/>
      <c r="I25" s="104"/>
      <c r="J25" s="105"/>
      <c r="K25" s="104"/>
      <c r="L25" s="106" t="s">
        <v>1705</v>
      </c>
      <c r="M25" s="278"/>
    </row>
    <row r="26" spans="1:13" ht="15.75" thickBot="1">
      <c r="A26" s="276"/>
      <c r="B26" s="103" t="s">
        <v>1706</v>
      </c>
      <c r="C26" s="104">
        <v>2662</v>
      </c>
      <c r="D26" s="104"/>
      <c r="E26" s="105"/>
      <c r="F26" s="104"/>
      <c r="G26" s="104"/>
      <c r="H26" s="104"/>
      <c r="I26" s="104"/>
      <c r="J26" s="105"/>
      <c r="K26" s="104">
        <v>2662</v>
      </c>
      <c r="L26" s="106" t="s">
        <v>1707</v>
      </c>
      <c r="M26" s="278"/>
    </row>
    <row r="27" spans="1:13" ht="15.75" thickBot="1">
      <c r="A27" s="276"/>
      <c r="B27" s="103" t="s">
        <v>1708</v>
      </c>
      <c r="C27" s="104"/>
      <c r="D27" s="104"/>
      <c r="E27" s="105"/>
      <c r="F27" s="104"/>
      <c r="G27" s="104"/>
      <c r="H27" s="104"/>
      <c r="I27" s="104"/>
      <c r="J27" s="105"/>
      <c r="K27" s="104"/>
      <c r="L27" s="106" t="s">
        <v>1709</v>
      </c>
      <c r="M27" s="278"/>
    </row>
    <row r="28" spans="1:13" ht="15.75" thickBot="1">
      <c r="A28" s="276"/>
      <c r="B28" s="103" t="s">
        <v>1710</v>
      </c>
      <c r="C28" s="104"/>
      <c r="D28" s="104"/>
      <c r="E28" s="105"/>
      <c r="F28" s="104"/>
      <c r="G28" s="104"/>
      <c r="H28" s="104"/>
      <c r="I28" s="104"/>
      <c r="J28" s="105"/>
      <c r="K28" s="104"/>
      <c r="L28" s="106" t="s">
        <v>1711</v>
      </c>
      <c r="M28" s="278"/>
    </row>
    <row r="29" spans="1:13" ht="15.75" thickBot="1">
      <c r="A29" s="276"/>
      <c r="B29" s="103" t="s">
        <v>1712</v>
      </c>
      <c r="C29" s="104"/>
      <c r="D29" s="104"/>
      <c r="E29" s="105"/>
      <c r="F29" s="104"/>
      <c r="G29" s="104"/>
      <c r="H29" s="104"/>
      <c r="I29" s="104"/>
      <c r="J29" s="105"/>
      <c r="K29" s="104"/>
      <c r="L29" s="106" t="s">
        <v>1713</v>
      </c>
      <c r="M29" s="278"/>
    </row>
    <row r="30" spans="1:13" ht="15.75" thickBot="1">
      <c r="A30" s="276"/>
      <c r="B30" s="103" t="s">
        <v>1714</v>
      </c>
      <c r="C30" s="104"/>
      <c r="D30" s="104"/>
      <c r="E30" s="105"/>
      <c r="F30" s="104"/>
      <c r="G30" s="104"/>
      <c r="H30" s="104"/>
      <c r="I30" s="104"/>
      <c r="J30" s="105"/>
      <c r="K30" s="104"/>
      <c r="L30" s="106" t="s">
        <v>1715</v>
      </c>
      <c r="M30" s="278"/>
    </row>
    <row r="31" spans="1:13" ht="26.25" thickBot="1">
      <c r="A31" s="276"/>
      <c r="B31" s="103" t="s">
        <v>1716</v>
      </c>
      <c r="C31" s="104"/>
      <c r="D31" s="104"/>
      <c r="E31" s="105"/>
      <c r="F31" s="104"/>
      <c r="G31" s="104"/>
      <c r="H31" s="104"/>
      <c r="I31" s="104"/>
      <c r="J31" s="105"/>
      <c r="K31" s="104"/>
      <c r="L31" s="106" t="s">
        <v>1717</v>
      </c>
      <c r="M31" s="278"/>
    </row>
    <row r="32" spans="1:13" ht="15.75" thickBot="1">
      <c r="A32" s="276"/>
      <c r="B32" s="103" t="s">
        <v>1718</v>
      </c>
      <c r="C32" s="104"/>
      <c r="D32" s="104"/>
      <c r="E32" s="105"/>
      <c r="F32" s="104"/>
      <c r="G32" s="104"/>
      <c r="H32" s="104"/>
      <c r="I32" s="104"/>
      <c r="J32" s="105"/>
      <c r="K32" s="104"/>
      <c r="L32" s="106" t="s">
        <v>1719</v>
      </c>
      <c r="M32" s="278"/>
    </row>
    <row r="33" spans="1:13" ht="15.75" thickBot="1">
      <c r="A33" s="276"/>
      <c r="B33" s="103" t="s">
        <v>1720</v>
      </c>
      <c r="C33" s="104"/>
      <c r="D33" s="104"/>
      <c r="E33" s="105"/>
      <c r="F33" s="104"/>
      <c r="G33" s="104"/>
      <c r="H33" s="104"/>
      <c r="I33" s="104"/>
      <c r="J33" s="105"/>
      <c r="K33" s="104"/>
      <c r="L33" s="106" t="s">
        <v>1721</v>
      </c>
      <c r="M33" s="278"/>
    </row>
    <row r="34" spans="1:13" ht="15.75" thickBot="1">
      <c r="A34" s="276"/>
      <c r="B34" s="103" t="s">
        <v>626</v>
      </c>
      <c r="C34" s="104">
        <v>10986</v>
      </c>
      <c r="D34" s="104"/>
      <c r="E34" s="105"/>
      <c r="F34" s="104"/>
      <c r="G34" s="104"/>
      <c r="H34" s="104"/>
      <c r="I34" s="104"/>
      <c r="J34" s="105"/>
      <c r="K34" s="104">
        <v>10986</v>
      </c>
      <c r="L34" s="106" t="s">
        <v>627</v>
      </c>
      <c r="M34" s="278"/>
    </row>
    <row r="35" spans="1:13" ht="15.75" thickBot="1">
      <c r="A35" s="276"/>
      <c r="B35" s="103" t="s">
        <v>1722</v>
      </c>
      <c r="C35" s="104">
        <v>412</v>
      </c>
      <c r="D35" s="104">
        <v>373</v>
      </c>
      <c r="E35" s="105"/>
      <c r="F35" s="104">
        <v>-373</v>
      </c>
      <c r="G35" s="104"/>
      <c r="H35" s="104"/>
      <c r="I35" s="104"/>
      <c r="J35" s="105"/>
      <c r="K35" s="104">
        <v>412</v>
      </c>
      <c r="L35" s="106" t="s">
        <v>1723</v>
      </c>
      <c r="M35" s="278"/>
    </row>
    <row r="36" spans="1:13" ht="26.25" thickBot="1">
      <c r="A36" s="276"/>
      <c r="B36" s="103" t="s">
        <v>1724</v>
      </c>
      <c r="C36" s="104">
        <v>5672</v>
      </c>
      <c r="D36" s="104">
        <v>11556</v>
      </c>
      <c r="E36" s="105"/>
      <c r="F36" s="104">
        <v>-10793</v>
      </c>
      <c r="G36" s="104"/>
      <c r="H36" s="104"/>
      <c r="I36" s="104"/>
      <c r="J36" s="105"/>
      <c r="K36" s="104">
        <v>6435</v>
      </c>
      <c r="L36" s="106" t="s">
        <v>1725</v>
      </c>
      <c r="M36" s="278"/>
    </row>
    <row r="37" spans="1:13" ht="26.25" thickBot="1">
      <c r="A37" s="276"/>
      <c r="B37" s="103" t="s">
        <v>1726</v>
      </c>
      <c r="C37" s="104"/>
      <c r="D37" s="104"/>
      <c r="E37" s="105"/>
      <c r="F37" s="104"/>
      <c r="G37" s="104"/>
      <c r="H37" s="104"/>
      <c r="I37" s="104"/>
      <c r="J37" s="105"/>
      <c r="K37" s="104"/>
      <c r="L37" s="106" t="s">
        <v>1727</v>
      </c>
      <c r="M37" s="278"/>
    </row>
    <row r="38" spans="1:13" ht="26.25" thickBot="1">
      <c r="A38" s="276"/>
      <c r="B38" s="103" t="s">
        <v>1728</v>
      </c>
      <c r="C38" s="104"/>
      <c r="D38" s="104"/>
      <c r="E38" s="105"/>
      <c r="F38" s="104"/>
      <c r="G38" s="104"/>
      <c r="H38" s="104"/>
      <c r="I38" s="104"/>
      <c r="J38" s="105"/>
      <c r="K38" s="104"/>
      <c r="L38" s="106" t="s">
        <v>1729</v>
      </c>
      <c r="M38" s="278"/>
    </row>
    <row r="39" spans="1:13" ht="26.25" thickBot="1">
      <c r="A39" s="276"/>
      <c r="B39" s="103" t="s">
        <v>1730</v>
      </c>
      <c r="C39" s="104"/>
      <c r="D39" s="104"/>
      <c r="E39" s="105"/>
      <c r="F39" s="104"/>
      <c r="G39" s="104"/>
      <c r="H39" s="104"/>
      <c r="I39" s="104"/>
      <c r="J39" s="105"/>
      <c r="K39" s="104"/>
      <c r="L39" s="106" t="s">
        <v>1731</v>
      </c>
      <c r="M39" s="278"/>
    </row>
    <row r="40" spans="1:13" ht="26.25" thickBot="1">
      <c r="A40" s="276"/>
      <c r="B40" s="103" t="s">
        <v>1732</v>
      </c>
      <c r="C40" s="104"/>
      <c r="D40" s="104"/>
      <c r="E40" s="105"/>
      <c r="F40" s="104"/>
      <c r="G40" s="104"/>
      <c r="H40" s="104"/>
      <c r="I40" s="104"/>
      <c r="J40" s="105"/>
      <c r="K40" s="104"/>
      <c r="L40" s="106" t="s">
        <v>1733</v>
      </c>
      <c r="M40" s="278"/>
    </row>
    <row r="41" spans="1:13" ht="15.75" thickBot="1">
      <c r="A41" s="276"/>
      <c r="B41" s="103" t="s">
        <v>1734</v>
      </c>
      <c r="C41" s="104">
        <v>0</v>
      </c>
      <c r="D41" s="104"/>
      <c r="E41" s="105"/>
      <c r="F41" s="104"/>
      <c r="G41" s="104"/>
      <c r="H41" s="104"/>
      <c r="I41" s="104"/>
      <c r="J41" s="105"/>
      <c r="K41" s="104"/>
      <c r="L41" s="106" t="s">
        <v>1735</v>
      </c>
      <c r="M41" s="278"/>
    </row>
    <row r="42" spans="1:13" ht="15.75" thickBot="1">
      <c r="A42" s="276"/>
      <c r="B42" s="103" t="s">
        <v>1736</v>
      </c>
      <c r="C42" s="104">
        <v>6084</v>
      </c>
      <c r="D42" s="104">
        <v>11929</v>
      </c>
      <c r="E42" s="105"/>
      <c r="F42" s="104">
        <v>-11166</v>
      </c>
      <c r="G42" s="104"/>
      <c r="H42" s="104"/>
      <c r="I42" s="104"/>
      <c r="J42" s="105"/>
      <c r="K42" s="104">
        <v>6847</v>
      </c>
      <c r="L42" s="106" t="s">
        <v>1737</v>
      </c>
      <c r="M42" s="278"/>
    </row>
    <row r="43" spans="1:13" ht="15.75" thickBot="1">
      <c r="A43" s="277"/>
      <c r="B43" s="103" t="s">
        <v>624</v>
      </c>
      <c r="C43" s="104">
        <v>1124848</v>
      </c>
      <c r="D43" s="104">
        <v>12237</v>
      </c>
      <c r="E43" s="105">
        <v>849</v>
      </c>
      <c r="F43" s="104">
        <v>0</v>
      </c>
      <c r="G43" s="104"/>
      <c r="H43" s="104"/>
      <c r="I43" s="104"/>
      <c r="J43" s="105"/>
      <c r="K43" s="104">
        <v>1136236</v>
      </c>
      <c r="L43" s="106" t="s">
        <v>625</v>
      </c>
      <c r="M43" s="279"/>
    </row>
    <row r="44" spans="1:13" ht="15.75" thickBot="1">
      <c r="A44" s="284" t="s">
        <v>1738</v>
      </c>
      <c r="B44" s="103" t="s">
        <v>1665</v>
      </c>
      <c r="C44" s="104"/>
      <c r="D44" s="104"/>
      <c r="E44" s="105"/>
      <c r="F44" s="104"/>
      <c r="G44" s="104"/>
      <c r="H44" s="104"/>
      <c r="I44" s="104"/>
      <c r="J44" s="105"/>
      <c r="K44" s="104"/>
      <c r="L44" s="106" t="s">
        <v>1666</v>
      </c>
      <c r="M44" s="285" t="s">
        <v>1739</v>
      </c>
    </row>
    <row r="45" spans="1:13" ht="26.25" thickBot="1">
      <c r="A45" s="276"/>
      <c r="B45" s="103" t="s">
        <v>1668</v>
      </c>
      <c r="C45" s="104">
        <v>0</v>
      </c>
      <c r="D45" s="104">
        <v>10888</v>
      </c>
      <c r="E45" s="105"/>
      <c r="F45" s="104"/>
      <c r="G45" s="104"/>
      <c r="H45" s="104"/>
      <c r="I45" s="104"/>
      <c r="J45" s="105"/>
      <c r="K45" s="104">
        <v>10888</v>
      </c>
      <c r="L45" s="106" t="s">
        <v>1669</v>
      </c>
      <c r="M45" s="278"/>
    </row>
    <row r="46" spans="1:13" ht="15.75" thickBot="1">
      <c r="A46" s="276"/>
      <c r="B46" s="103" t="s">
        <v>1670</v>
      </c>
      <c r="C46" s="104">
        <v>0</v>
      </c>
      <c r="D46" s="104">
        <v>22501</v>
      </c>
      <c r="E46" s="105"/>
      <c r="F46" s="104"/>
      <c r="G46" s="104"/>
      <c r="H46" s="104"/>
      <c r="I46" s="104"/>
      <c r="J46" s="105"/>
      <c r="K46" s="104">
        <v>22501</v>
      </c>
      <c r="L46" s="106" t="s">
        <v>1671</v>
      </c>
      <c r="M46" s="278"/>
    </row>
    <row r="47" spans="1:13" ht="15.75" thickBot="1">
      <c r="A47" s="276"/>
      <c r="B47" s="103" t="s">
        <v>1672</v>
      </c>
      <c r="C47" s="104">
        <v>18442</v>
      </c>
      <c r="D47" s="104">
        <v>1935</v>
      </c>
      <c r="E47" s="105">
        <v>86</v>
      </c>
      <c r="F47" s="104"/>
      <c r="G47" s="104"/>
      <c r="H47" s="104"/>
      <c r="I47" s="104"/>
      <c r="J47" s="105"/>
      <c r="K47" s="104">
        <v>20291</v>
      </c>
      <c r="L47" s="106" t="s">
        <v>1673</v>
      </c>
      <c r="M47" s="278"/>
    </row>
    <row r="48" spans="1:13" ht="15.75" thickBot="1">
      <c r="A48" s="276"/>
      <c r="B48" s="103" t="s">
        <v>1674</v>
      </c>
      <c r="C48" s="104"/>
      <c r="D48" s="104"/>
      <c r="E48" s="105"/>
      <c r="F48" s="104"/>
      <c r="G48" s="104"/>
      <c r="H48" s="104"/>
      <c r="I48" s="104"/>
      <c r="J48" s="105"/>
      <c r="K48" s="104"/>
      <c r="L48" s="106" t="s">
        <v>1675</v>
      </c>
      <c r="M48" s="278"/>
    </row>
    <row r="49" spans="1:13" ht="26.25" thickBot="1">
      <c r="A49" s="276"/>
      <c r="B49" s="103" t="s">
        <v>1676</v>
      </c>
      <c r="C49" s="104">
        <v>11108</v>
      </c>
      <c r="D49" s="104">
        <v>1064</v>
      </c>
      <c r="E49" s="105">
        <v>198</v>
      </c>
      <c r="F49" s="104"/>
      <c r="G49" s="104"/>
      <c r="H49" s="104"/>
      <c r="I49" s="104"/>
      <c r="J49" s="105"/>
      <c r="K49" s="104">
        <v>11974</v>
      </c>
      <c r="L49" s="106" t="s">
        <v>1677</v>
      </c>
      <c r="M49" s="278"/>
    </row>
    <row r="50" spans="1:13" ht="15.75" thickBot="1">
      <c r="A50" s="276"/>
      <c r="B50" s="103" t="s">
        <v>1678</v>
      </c>
      <c r="C50" s="104">
        <v>12183</v>
      </c>
      <c r="D50" s="104">
        <v>139</v>
      </c>
      <c r="E50" s="105"/>
      <c r="F50" s="104"/>
      <c r="G50" s="104"/>
      <c r="H50" s="104"/>
      <c r="I50" s="104"/>
      <c r="J50" s="105"/>
      <c r="K50" s="104">
        <v>12322</v>
      </c>
      <c r="L50" s="106" t="s">
        <v>1679</v>
      </c>
      <c r="M50" s="278"/>
    </row>
    <row r="51" spans="1:13" ht="15.75" thickBot="1">
      <c r="A51" s="276"/>
      <c r="B51" s="103" t="s">
        <v>1680</v>
      </c>
      <c r="C51" s="104"/>
      <c r="D51" s="104"/>
      <c r="E51" s="105"/>
      <c r="F51" s="104"/>
      <c r="G51" s="104"/>
      <c r="H51" s="104"/>
      <c r="I51" s="104"/>
      <c r="J51" s="105"/>
      <c r="K51" s="104"/>
      <c r="L51" s="106" t="s">
        <v>1681</v>
      </c>
      <c r="M51" s="278"/>
    </row>
    <row r="52" spans="1:13" ht="15.75" thickBot="1">
      <c r="A52" s="276"/>
      <c r="B52" s="103" t="s">
        <v>1682</v>
      </c>
      <c r="C52" s="104"/>
      <c r="D52" s="104"/>
      <c r="E52" s="105"/>
      <c r="F52" s="104"/>
      <c r="G52" s="104"/>
      <c r="H52" s="104"/>
      <c r="I52" s="104"/>
      <c r="J52" s="105"/>
      <c r="K52" s="104"/>
      <c r="L52" s="106" t="s">
        <v>1683</v>
      </c>
      <c r="M52" s="278"/>
    </row>
    <row r="53" spans="1:13" ht="15.75" thickBot="1">
      <c r="A53" s="276"/>
      <c r="B53" s="103" t="s">
        <v>1684</v>
      </c>
      <c r="C53" s="104"/>
      <c r="D53" s="104"/>
      <c r="E53" s="105"/>
      <c r="F53" s="104"/>
      <c r="G53" s="104"/>
      <c r="H53" s="104"/>
      <c r="I53" s="104"/>
      <c r="J53" s="105"/>
      <c r="K53" s="104"/>
      <c r="L53" s="106" t="s">
        <v>1685</v>
      </c>
      <c r="M53" s="278"/>
    </row>
    <row r="54" spans="1:13" ht="15.75" thickBot="1">
      <c r="A54" s="276"/>
      <c r="B54" s="103" t="s">
        <v>1686</v>
      </c>
      <c r="C54" s="104"/>
      <c r="D54" s="104"/>
      <c r="E54" s="105"/>
      <c r="F54" s="104"/>
      <c r="G54" s="104"/>
      <c r="H54" s="104"/>
      <c r="I54" s="104"/>
      <c r="J54" s="105"/>
      <c r="K54" s="104"/>
      <c r="L54" s="106" t="s">
        <v>1687</v>
      </c>
      <c r="M54" s="278"/>
    </row>
    <row r="55" spans="1:13" ht="26.25" thickBot="1">
      <c r="A55" s="276"/>
      <c r="B55" s="103" t="s">
        <v>1688</v>
      </c>
      <c r="C55" s="104"/>
      <c r="D55" s="104"/>
      <c r="E55" s="105"/>
      <c r="F55" s="104"/>
      <c r="G55" s="104"/>
      <c r="H55" s="104"/>
      <c r="I55" s="104"/>
      <c r="J55" s="105"/>
      <c r="K55" s="104"/>
      <c r="L55" s="106" t="s">
        <v>1689</v>
      </c>
      <c r="M55" s="278"/>
    </row>
    <row r="56" spans="1:13" ht="15.75" thickBot="1">
      <c r="A56" s="276"/>
      <c r="B56" s="103" t="s">
        <v>1690</v>
      </c>
      <c r="C56" s="104"/>
      <c r="D56" s="104"/>
      <c r="E56" s="105"/>
      <c r="F56" s="104"/>
      <c r="G56" s="104"/>
      <c r="H56" s="104"/>
      <c r="I56" s="104"/>
      <c r="J56" s="105"/>
      <c r="K56" s="104"/>
      <c r="L56" s="106" t="s">
        <v>1691</v>
      </c>
      <c r="M56" s="278"/>
    </row>
    <row r="57" spans="1:13" ht="15.75" thickBot="1">
      <c r="A57" s="276"/>
      <c r="B57" s="103" t="s">
        <v>1692</v>
      </c>
      <c r="C57" s="104"/>
      <c r="D57" s="104"/>
      <c r="E57" s="105"/>
      <c r="F57" s="104"/>
      <c r="G57" s="104"/>
      <c r="H57" s="104"/>
      <c r="I57" s="104"/>
      <c r="J57" s="105"/>
      <c r="K57" s="104"/>
      <c r="L57" s="106" t="s">
        <v>1693</v>
      </c>
      <c r="M57" s="278"/>
    </row>
    <row r="58" spans="1:13" ht="15.75" thickBot="1">
      <c r="A58" s="276"/>
      <c r="B58" s="103" t="s">
        <v>1694</v>
      </c>
      <c r="C58" s="104">
        <v>41733</v>
      </c>
      <c r="D58" s="104">
        <v>36527</v>
      </c>
      <c r="E58" s="105">
        <v>284</v>
      </c>
      <c r="F58" s="104"/>
      <c r="G58" s="104"/>
      <c r="H58" s="104"/>
      <c r="I58" s="104"/>
      <c r="J58" s="105"/>
      <c r="K58" s="104">
        <v>77976</v>
      </c>
      <c r="L58" s="106" t="s">
        <v>1695</v>
      </c>
      <c r="M58" s="278"/>
    </row>
    <row r="59" spans="1:13" ht="15.75" thickBot="1">
      <c r="A59" s="276"/>
      <c r="B59" s="103" t="s">
        <v>1696</v>
      </c>
      <c r="C59" s="104"/>
      <c r="D59" s="104"/>
      <c r="E59" s="105"/>
      <c r="F59" s="104"/>
      <c r="G59" s="104"/>
      <c r="H59" s="104"/>
      <c r="I59" s="104"/>
      <c r="J59" s="105"/>
      <c r="K59" s="104"/>
      <c r="L59" s="106" t="s">
        <v>1697</v>
      </c>
      <c r="M59" s="278"/>
    </row>
    <row r="60" spans="1:13" ht="26.25" thickBot="1">
      <c r="A60" s="276"/>
      <c r="B60" s="103" t="s">
        <v>1698</v>
      </c>
      <c r="C60" s="104"/>
      <c r="D60" s="104"/>
      <c r="E60" s="105"/>
      <c r="F60" s="104"/>
      <c r="G60" s="104"/>
      <c r="H60" s="104"/>
      <c r="I60" s="104"/>
      <c r="J60" s="105"/>
      <c r="K60" s="104"/>
      <c r="L60" s="106" t="s">
        <v>1699</v>
      </c>
      <c r="M60" s="278"/>
    </row>
    <row r="61" spans="1:13" ht="15.75" thickBot="1">
      <c r="A61" s="276"/>
      <c r="B61" s="103" t="s">
        <v>1700</v>
      </c>
      <c r="C61" s="104"/>
      <c r="D61" s="104"/>
      <c r="E61" s="105"/>
      <c r="F61" s="104"/>
      <c r="G61" s="104"/>
      <c r="H61" s="104"/>
      <c r="I61" s="104"/>
      <c r="J61" s="105"/>
      <c r="K61" s="104"/>
      <c r="L61" s="106" t="s">
        <v>1701</v>
      </c>
      <c r="M61" s="278"/>
    </row>
    <row r="62" spans="1:13" ht="15.75" thickBot="1">
      <c r="A62" s="276"/>
      <c r="B62" s="103" t="s">
        <v>1702</v>
      </c>
      <c r="C62" s="104">
        <v>4006</v>
      </c>
      <c r="D62" s="104">
        <v>1109</v>
      </c>
      <c r="E62" s="105"/>
      <c r="F62" s="104"/>
      <c r="G62" s="104"/>
      <c r="H62" s="104"/>
      <c r="I62" s="104"/>
      <c r="J62" s="105"/>
      <c r="K62" s="104">
        <v>5115</v>
      </c>
      <c r="L62" s="106" t="s">
        <v>1703</v>
      </c>
      <c r="M62" s="278"/>
    </row>
    <row r="63" spans="1:13" ht="26.25" thickBot="1">
      <c r="A63" s="276"/>
      <c r="B63" s="103" t="s">
        <v>1704</v>
      </c>
      <c r="C63" s="104"/>
      <c r="D63" s="104"/>
      <c r="E63" s="105"/>
      <c r="F63" s="104"/>
      <c r="G63" s="104"/>
      <c r="H63" s="104"/>
      <c r="I63" s="104"/>
      <c r="J63" s="105"/>
      <c r="K63" s="104"/>
      <c r="L63" s="106" t="s">
        <v>1705</v>
      </c>
      <c r="M63" s="278"/>
    </row>
    <row r="64" spans="1:13" ht="15.75" thickBot="1">
      <c r="A64" s="276"/>
      <c r="B64" s="103" t="s">
        <v>1706</v>
      </c>
      <c r="C64" s="104">
        <v>513</v>
      </c>
      <c r="D64" s="104">
        <v>381</v>
      </c>
      <c r="E64" s="105"/>
      <c r="F64" s="104"/>
      <c r="G64" s="104"/>
      <c r="H64" s="104"/>
      <c r="I64" s="104"/>
      <c r="J64" s="105"/>
      <c r="K64" s="104">
        <v>894</v>
      </c>
      <c r="L64" s="106" t="s">
        <v>1707</v>
      </c>
      <c r="M64" s="278"/>
    </row>
    <row r="65" spans="1:13" ht="15.75" thickBot="1">
      <c r="A65" s="276"/>
      <c r="B65" s="103" t="s">
        <v>1708</v>
      </c>
      <c r="C65" s="104"/>
      <c r="D65" s="104"/>
      <c r="E65" s="105"/>
      <c r="F65" s="104"/>
      <c r="G65" s="104"/>
      <c r="H65" s="104"/>
      <c r="I65" s="104"/>
      <c r="J65" s="105"/>
      <c r="K65" s="104"/>
      <c r="L65" s="106" t="s">
        <v>1709</v>
      </c>
      <c r="M65" s="278"/>
    </row>
    <row r="66" spans="1:13" ht="15.75" thickBot="1">
      <c r="A66" s="276"/>
      <c r="B66" s="103" t="s">
        <v>1710</v>
      </c>
      <c r="C66" s="104"/>
      <c r="D66" s="104"/>
      <c r="E66" s="105"/>
      <c r="F66" s="104"/>
      <c r="G66" s="104"/>
      <c r="H66" s="104"/>
      <c r="I66" s="104"/>
      <c r="J66" s="105"/>
      <c r="K66" s="104"/>
      <c r="L66" s="106" t="s">
        <v>1711</v>
      </c>
      <c r="M66" s="278"/>
    </row>
    <row r="67" spans="1:13" ht="15.75" thickBot="1">
      <c r="A67" s="276"/>
      <c r="B67" s="103" t="s">
        <v>1712</v>
      </c>
      <c r="C67" s="104"/>
      <c r="D67" s="104"/>
      <c r="E67" s="105"/>
      <c r="F67" s="104"/>
      <c r="G67" s="104"/>
      <c r="H67" s="104"/>
      <c r="I67" s="104"/>
      <c r="J67" s="105"/>
      <c r="K67" s="104"/>
      <c r="L67" s="106" t="s">
        <v>1713</v>
      </c>
      <c r="M67" s="278"/>
    </row>
    <row r="68" spans="1:13" ht="15.75" thickBot="1">
      <c r="A68" s="276"/>
      <c r="B68" s="103" t="s">
        <v>1714</v>
      </c>
      <c r="C68" s="104"/>
      <c r="D68" s="104"/>
      <c r="E68" s="105"/>
      <c r="F68" s="104"/>
      <c r="G68" s="104"/>
      <c r="H68" s="104"/>
      <c r="I68" s="104"/>
      <c r="J68" s="105"/>
      <c r="K68" s="104"/>
      <c r="L68" s="106" t="s">
        <v>1715</v>
      </c>
      <c r="M68" s="278"/>
    </row>
    <row r="69" spans="1:13" ht="26.25" thickBot="1">
      <c r="A69" s="276"/>
      <c r="B69" s="103" t="s">
        <v>1716</v>
      </c>
      <c r="C69" s="104"/>
      <c r="D69" s="104"/>
      <c r="E69" s="105"/>
      <c r="F69" s="104"/>
      <c r="G69" s="104"/>
      <c r="H69" s="104"/>
      <c r="I69" s="104"/>
      <c r="J69" s="105"/>
      <c r="K69" s="104"/>
      <c r="L69" s="106" t="s">
        <v>1717</v>
      </c>
      <c r="M69" s="278"/>
    </row>
    <row r="70" spans="1:13" ht="15.75" thickBot="1">
      <c r="A70" s="276"/>
      <c r="B70" s="103" t="s">
        <v>1718</v>
      </c>
      <c r="C70" s="104"/>
      <c r="D70" s="104"/>
      <c r="E70" s="105"/>
      <c r="F70" s="104"/>
      <c r="G70" s="104"/>
      <c r="H70" s="104"/>
      <c r="I70" s="104"/>
      <c r="J70" s="105"/>
      <c r="K70" s="104"/>
      <c r="L70" s="106" t="s">
        <v>1719</v>
      </c>
      <c r="M70" s="278"/>
    </row>
    <row r="71" spans="1:13" ht="15.75" thickBot="1">
      <c r="A71" s="276"/>
      <c r="B71" s="103" t="s">
        <v>1720</v>
      </c>
      <c r="C71" s="104"/>
      <c r="D71" s="104"/>
      <c r="E71" s="105"/>
      <c r="F71" s="104"/>
      <c r="G71" s="104"/>
      <c r="H71" s="104"/>
      <c r="I71" s="104"/>
      <c r="J71" s="105"/>
      <c r="K71" s="104"/>
      <c r="L71" s="106" t="s">
        <v>1721</v>
      </c>
      <c r="M71" s="278"/>
    </row>
    <row r="72" spans="1:13" ht="15.75" thickBot="1">
      <c r="A72" s="276"/>
      <c r="B72" s="103" t="s">
        <v>626</v>
      </c>
      <c r="C72" s="104">
        <v>4519</v>
      </c>
      <c r="D72" s="104">
        <v>1490</v>
      </c>
      <c r="E72" s="105"/>
      <c r="F72" s="104"/>
      <c r="G72" s="104"/>
      <c r="H72" s="104"/>
      <c r="I72" s="104"/>
      <c r="J72" s="105"/>
      <c r="K72" s="104">
        <v>6009</v>
      </c>
      <c r="L72" s="106" t="s">
        <v>627</v>
      </c>
      <c r="M72" s="278"/>
    </row>
    <row r="73" spans="1:13" ht="15.75" thickBot="1">
      <c r="A73" s="276"/>
      <c r="B73" s="103" t="s">
        <v>1722</v>
      </c>
      <c r="C73" s="104"/>
      <c r="D73" s="104"/>
      <c r="E73" s="105"/>
      <c r="F73" s="104"/>
      <c r="G73" s="104"/>
      <c r="H73" s="104"/>
      <c r="I73" s="104"/>
      <c r="J73" s="105"/>
      <c r="K73" s="104"/>
      <c r="L73" s="106" t="s">
        <v>1723</v>
      </c>
      <c r="M73" s="278"/>
    </row>
    <row r="74" spans="1:13" ht="26.25" thickBot="1">
      <c r="A74" s="276"/>
      <c r="B74" s="103" t="s">
        <v>1724</v>
      </c>
      <c r="C74" s="104"/>
      <c r="D74" s="104"/>
      <c r="E74" s="105"/>
      <c r="F74" s="104"/>
      <c r="G74" s="104"/>
      <c r="H74" s="104"/>
      <c r="I74" s="104"/>
      <c r="J74" s="105"/>
      <c r="K74" s="104"/>
      <c r="L74" s="106" t="s">
        <v>1725</v>
      </c>
      <c r="M74" s="278"/>
    </row>
    <row r="75" spans="1:13" ht="26.25" thickBot="1">
      <c r="A75" s="276"/>
      <c r="B75" s="103" t="s">
        <v>1726</v>
      </c>
      <c r="C75" s="104"/>
      <c r="D75" s="104"/>
      <c r="E75" s="105"/>
      <c r="F75" s="104"/>
      <c r="G75" s="104"/>
      <c r="H75" s="104"/>
      <c r="I75" s="104"/>
      <c r="J75" s="105"/>
      <c r="K75" s="104"/>
      <c r="L75" s="106" t="s">
        <v>1727</v>
      </c>
      <c r="M75" s="278"/>
    </row>
    <row r="76" spans="1:13" ht="26.25" thickBot="1">
      <c r="A76" s="276"/>
      <c r="B76" s="103" t="s">
        <v>1728</v>
      </c>
      <c r="C76" s="104"/>
      <c r="D76" s="104"/>
      <c r="E76" s="105"/>
      <c r="F76" s="104"/>
      <c r="G76" s="104"/>
      <c r="H76" s="104"/>
      <c r="I76" s="104"/>
      <c r="J76" s="105"/>
      <c r="K76" s="104"/>
      <c r="L76" s="106" t="s">
        <v>1729</v>
      </c>
      <c r="M76" s="278"/>
    </row>
    <row r="77" spans="1:13" ht="26.25" thickBot="1">
      <c r="A77" s="276"/>
      <c r="B77" s="103" t="s">
        <v>1730</v>
      </c>
      <c r="C77" s="104"/>
      <c r="D77" s="104"/>
      <c r="E77" s="105"/>
      <c r="F77" s="104"/>
      <c r="G77" s="104"/>
      <c r="H77" s="104"/>
      <c r="I77" s="104"/>
      <c r="J77" s="105"/>
      <c r="K77" s="104"/>
      <c r="L77" s="106" t="s">
        <v>1731</v>
      </c>
      <c r="M77" s="278"/>
    </row>
    <row r="78" spans="1:13" ht="26.25" thickBot="1">
      <c r="A78" s="276"/>
      <c r="B78" s="103" t="s">
        <v>1732</v>
      </c>
      <c r="C78" s="104"/>
      <c r="D78" s="104"/>
      <c r="E78" s="105"/>
      <c r="F78" s="104"/>
      <c r="G78" s="104"/>
      <c r="H78" s="104"/>
      <c r="I78" s="104"/>
      <c r="J78" s="105"/>
      <c r="K78" s="104"/>
      <c r="L78" s="106" t="s">
        <v>1733</v>
      </c>
      <c r="M78" s="278"/>
    </row>
    <row r="79" spans="1:13" ht="15.75" thickBot="1">
      <c r="A79" s="276"/>
      <c r="B79" s="103" t="s">
        <v>1734</v>
      </c>
      <c r="C79" s="104"/>
      <c r="D79" s="104"/>
      <c r="E79" s="105"/>
      <c r="F79" s="104"/>
      <c r="G79" s="104"/>
      <c r="H79" s="104"/>
      <c r="I79" s="104"/>
      <c r="J79" s="105"/>
      <c r="K79" s="104"/>
      <c r="L79" s="106" t="s">
        <v>1735</v>
      </c>
      <c r="M79" s="278"/>
    </row>
    <row r="80" spans="1:13" ht="15.75" thickBot="1">
      <c r="A80" s="276"/>
      <c r="B80" s="103" t="s">
        <v>1736</v>
      </c>
      <c r="C80" s="104"/>
      <c r="D80" s="104"/>
      <c r="E80" s="105"/>
      <c r="F80" s="104"/>
      <c r="G80" s="104"/>
      <c r="H80" s="104"/>
      <c r="I80" s="104"/>
      <c r="J80" s="105"/>
      <c r="K80" s="104"/>
      <c r="L80" s="106" t="s">
        <v>1737</v>
      </c>
      <c r="M80" s="278"/>
    </row>
    <row r="81" spans="1:13" ht="15.75" thickBot="1">
      <c r="A81" s="277"/>
      <c r="B81" s="103" t="s">
        <v>624</v>
      </c>
      <c r="C81" s="104">
        <v>46252</v>
      </c>
      <c r="D81" s="104">
        <v>38017</v>
      </c>
      <c r="E81" s="105">
        <v>284</v>
      </c>
      <c r="F81" s="104">
        <v>0</v>
      </c>
      <c r="G81" s="104"/>
      <c r="H81" s="104"/>
      <c r="I81" s="104"/>
      <c r="J81" s="105"/>
      <c r="K81" s="104">
        <v>83985</v>
      </c>
      <c r="L81" s="106" t="s">
        <v>625</v>
      </c>
      <c r="M81" s="279"/>
    </row>
    <row r="82" spans="1:13" ht="17.25" customHeight="1">
      <c r="A82" s="286" t="s">
        <v>624</v>
      </c>
      <c r="B82" s="286"/>
      <c r="C82" s="286"/>
      <c r="D82" s="286"/>
      <c r="E82" s="286"/>
      <c r="F82" s="286"/>
      <c r="G82" s="287" t="s">
        <v>625</v>
      </c>
      <c r="H82" s="287"/>
      <c r="I82" s="287"/>
      <c r="J82" s="287"/>
      <c r="K82" s="287"/>
      <c r="L82" s="287"/>
      <c r="M82" s="287"/>
    </row>
    <row r="83" spans="1:13">
      <c r="A83" s="282"/>
      <c r="B83" s="282"/>
      <c r="C83" s="283" t="s">
        <v>1656</v>
      </c>
      <c r="D83" s="283"/>
      <c r="E83" s="283"/>
      <c r="F83" s="283"/>
      <c r="G83" s="283"/>
      <c r="H83" s="283"/>
      <c r="I83" s="283"/>
      <c r="J83" s="283"/>
      <c r="K83" s="283"/>
      <c r="L83" s="282"/>
      <c r="M83" s="282"/>
    </row>
    <row r="84" spans="1:13" ht="23.25">
      <c r="A84" s="282"/>
      <c r="B84" s="282"/>
      <c r="C84" s="102" t="s">
        <v>624</v>
      </c>
      <c r="D84" s="102" t="s">
        <v>1657</v>
      </c>
      <c r="E84" s="102" t="s">
        <v>1658</v>
      </c>
      <c r="F84" s="102" t="s">
        <v>1659</v>
      </c>
      <c r="G84" s="102" t="s">
        <v>1660</v>
      </c>
      <c r="H84" s="102" t="s">
        <v>1661</v>
      </c>
      <c r="I84" s="102" t="s">
        <v>1662</v>
      </c>
      <c r="J84" s="102" t="s">
        <v>1663</v>
      </c>
      <c r="K84" s="102" t="s">
        <v>624</v>
      </c>
      <c r="L84" s="282"/>
      <c r="M84" s="282"/>
    </row>
    <row r="85" spans="1:13" ht="15.75" thickBot="1">
      <c r="A85" s="103" t="s">
        <v>1740</v>
      </c>
      <c r="B85" s="103" t="s">
        <v>624</v>
      </c>
      <c r="C85" s="104">
        <v>1078596</v>
      </c>
      <c r="D85" s="104">
        <v>-25780</v>
      </c>
      <c r="E85" s="105">
        <v>565</v>
      </c>
      <c r="F85" s="104">
        <v>0</v>
      </c>
      <c r="G85" s="104"/>
      <c r="H85" s="104"/>
      <c r="I85" s="104"/>
      <c r="J85" s="105"/>
      <c r="K85" s="104">
        <v>1052251</v>
      </c>
      <c r="L85" s="106" t="s">
        <v>625</v>
      </c>
      <c r="M85" s="106" t="s">
        <v>1741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B6048C0B-5A72-4812-86CF-60C78410D3D7}">
      <formula1>-9.99999999999999E+33</formula1>
      <formula2>9.99999999999999E+33</formula2>
    </dataValidation>
  </dataValidations>
  <pageMargins left="0.15" right="0.15" top="0.15" bottom="0.15" header="0.5" footer="0.5"/>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4964D-4942-4BC2-8CBF-0657F954A39D}">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1742</v>
      </c>
    </row>
    <row r="3" spans="1:13" ht="17.25" customHeight="1">
      <c r="A3" s="298" t="s">
        <v>624</v>
      </c>
      <c r="B3" s="298"/>
      <c r="C3" s="298"/>
      <c r="D3" s="298"/>
      <c r="E3" s="298"/>
      <c r="F3" s="298"/>
      <c r="G3" s="299" t="s">
        <v>625</v>
      </c>
      <c r="H3" s="299"/>
      <c r="I3" s="299"/>
      <c r="J3" s="299"/>
      <c r="K3" s="299"/>
      <c r="L3" s="299"/>
      <c r="M3" s="299"/>
    </row>
    <row r="4" spans="1:13">
      <c r="A4" s="296"/>
      <c r="B4" s="296"/>
      <c r="C4" s="297" t="s">
        <v>1656</v>
      </c>
      <c r="D4" s="297"/>
      <c r="E4" s="297"/>
      <c r="F4" s="297"/>
      <c r="G4" s="297"/>
      <c r="H4" s="297"/>
      <c r="I4" s="297"/>
      <c r="J4" s="297"/>
      <c r="K4" s="297"/>
      <c r="L4" s="296"/>
      <c r="M4" s="296"/>
    </row>
    <row r="5" spans="1:13" ht="23.25">
      <c r="A5" s="296"/>
      <c r="B5" s="296"/>
      <c r="C5" s="109" t="s">
        <v>624</v>
      </c>
      <c r="D5" s="109" t="s">
        <v>1657</v>
      </c>
      <c r="E5" s="109" t="s">
        <v>1658</v>
      </c>
      <c r="F5" s="109" t="s">
        <v>1659</v>
      </c>
      <c r="G5" s="109" t="s">
        <v>1660</v>
      </c>
      <c r="H5" s="109" t="s">
        <v>1661</v>
      </c>
      <c r="I5" s="109" t="s">
        <v>1662</v>
      </c>
      <c r="J5" s="109" t="s">
        <v>1663</v>
      </c>
      <c r="K5" s="109" t="s">
        <v>624</v>
      </c>
      <c r="L5" s="296"/>
      <c r="M5" s="296"/>
    </row>
    <row r="6" spans="1:13" ht="15.75" thickBot="1">
      <c r="A6" s="289" t="s">
        <v>1664</v>
      </c>
      <c r="B6" s="110" t="s">
        <v>1665</v>
      </c>
      <c r="C6" s="111">
        <v>423939</v>
      </c>
      <c r="D6" s="111"/>
      <c r="E6" s="112"/>
      <c r="F6" s="111">
        <v>-49280</v>
      </c>
      <c r="G6" s="111"/>
      <c r="H6" s="111"/>
      <c r="I6" s="111">
        <v>53020</v>
      </c>
      <c r="J6" s="112"/>
      <c r="K6" s="111">
        <v>427679</v>
      </c>
      <c r="L6" s="113" t="s">
        <v>1666</v>
      </c>
      <c r="M6" s="292" t="s">
        <v>1667</v>
      </c>
    </row>
    <row r="7" spans="1:13" ht="26.25" thickBot="1">
      <c r="A7" s="289"/>
      <c r="B7" s="110" t="s">
        <v>1668</v>
      </c>
      <c r="C7" s="111">
        <v>244928</v>
      </c>
      <c r="D7" s="111">
        <v>3073</v>
      </c>
      <c r="E7" s="112">
        <v>153</v>
      </c>
      <c r="F7" s="111">
        <v>2877</v>
      </c>
      <c r="G7" s="111"/>
      <c r="H7" s="111"/>
      <c r="I7" s="111">
        <v>-10494</v>
      </c>
      <c r="J7" s="112"/>
      <c r="K7" s="111">
        <v>240231</v>
      </c>
      <c r="L7" s="113" t="s">
        <v>1669</v>
      </c>
      <c r="M7" s="292"/>
    </row>
    <row r="8" spans="1:13" ht="15.75" thickBot="1">
      <c r="A8" s="289"/>
      <c r="B8" s="110" t="s">
        <v>1670</v>
      </c>
      <c r="C8" s="111">
        <v>460969</v>
      </c>
      <c r="D8" s="111">
        <v>2640</v>
      </c>
      <c r="E8" s="112">
        <v>154</v>
      </c>
      <c r="F8" s="111">
        <v>-12235</v>
      </c>
      <c r="G8" s="111"/>
      <c r="H8" s="111"/>
      <c r="I8" s="111">
        <v>-66956</v>
      </c>
      <c r="J8" s="112"/>
      <c r="K8" s="111">
        <v>384264</v>
      </c>
      <c r="L8" s="113" t="s">
        <v>1671</v>
      </c>
      <c r="M8" s="292"/>
    </row>
    <row r="9" spans="1:13" ht="15.75" thickBot="1">
      <c r="A9" s="289"/>
      <c r="B9" s="110" t="s">
        <v>1672</v>
      </c>
      <c r="C9" s="111">
        <v>22822</v>
      </c>
      <c r="D9" s="111">
        <v>535</v>
      </c>
      <c r="E9" s="112">
        <v>407</v>
      </c>
      <c r="F9" s="111">
        <v>4612</v>
      </c>
      <c r="G9" s="111"/>
      <c r="H9" s="111"/>
      <c r="I9" s="111"/>
      <c r="J9" s="112"/>
      <c r="K9" s="111">
        <v>27562</v>
      </c>
      <c r="L9" s="113" t="s">
        <v>1673</v>
      </c>
      <c r="M9" s="292"/>
    </row>
    <row r="10" spans="1:13" ht="15.75" thickBot="1">
      <c r="A10" s="289"/>
      <c r="B10" s="110" t="s">
        <v>1674</v>
      </c>
      <c r="C10" s="111"/>
      <c r="D10" s="111"/>
      <c r="E10" s="112"/>
      <c r="F10" s="111"/>
      <c r="G10" s="111"/>
      <c r="H10" s="111"/>
      <c r="I10" s="111"/>
      <c r="J10" s="112"/>
      <c r="K10" s="111"/>
      <c r="L10" s="113" t="s">
        <v>1675</v>
      </c>
      <c r="M10" s="292"/>
    </row>
    <row r="11" spans="1:13" ht="26.25" thickBot="1">
      <c r="A11" s="289"/>
      <c r="B11" s="110" t="s">
        <v>1676</v>
      </c>
      <c r="C11" s="111">
        <v>13741</v>
      </c>
      <c r="D11" s="111">
        <v>401</v>
      </c>
      <c r="E11" s="112">
        <v>262</v>
      </c>
      <c r="F11" s="111">
        <v>1834</v>
      </c>
      <c r="G11" s="111"/>
      <c r="H11" s="111"/>
      <c r="I11" s="111"/>
      <c r="J11" s="112"/>
      <c r="K11" s="111">
        <v>15714</v>
      </c>
      <c r="L11" s="113" t="s">
        <v>1677</v>
      </c>
      <c r="M11" s="292"/>
    </row>
    <row r="12" spans="1:13" ht="15.75" thickBot="1">
      <c r="A12" s="289"/>
      <c r="B12" s="110" t="s">
        <v>1678</v>
      </c>
      <c r="C12" s="111">
        <v>15119</v>
      </c>
      <c r="D12" s="111"/>
      <c r="E12" s="112">
        <v>2791</v>
      </c>
      <c r="F12" s="111"/>
      <c r="G12" s="111"/>
      <c r="H12" s="111"/>
      <c r="I12" s="111"/>
      <c r="J12" s="112"/>
      <c r="K12" s="111">
        <v>12328</v>
      </c>
      <c r="L12" s="113" t="s">
        <v>1679</v>
      </c>
      <c r="M12" s="292"/>
    </row>
    <row r="13" spans="1:13" ht="15.75" thickBot="1">
      <c r="A13" s="289"/>
      <c r="B13" s="110" t="s">
        <v>1680</v>
      </c>
      <c r="C13" s="111"/>
      <c r="D13" s="111"/>
      <c r="E13" s="112"/>
      <c r="F13" s="111"/>
      <c r="G13" s="111"/>
      <c r="H13" s="111"/>
      <c r="I13" s="111"/>
      <c r="J13" s="112"/>
      <c r="K13" s="111"/>
      <c r="L13" s="113" t="s">
        <v>1681</v>
      </c>
      <c r="M13" s="292"/>
    </row>
    <row r="14" spans="1:13" ht="15.75" thickBot="1">
      <c r="A14" s="289"/>
      <c r="B14" s="110" t="s">
        <v>1682</v>
      </c>
      <c r="C14" s="111"/>
      <c r="D14" s="111"/>
      <c r="E14" s="112"/>
      <c r="F14" s="111"/>
      <c r="G14" s="111"/>
      <c r="H14" s="111"/>
      <c r="I14" s="111"/>
      <c r="J14" s="112"/>
      <c r="K14" s="111"/>
      <c r="L14" s="113" t="s">
        <v>1683</v>
      </c>
      <c r="M14" s="292"/>
    </row>
    <row r="15" spans="1:13" ht="15.75" thickBot="1">
      <c r="A15" s="289"/>
      <c r="B15" s="110" t="s">
        <v>1684</v>
      </c>
      <c r="C15" s="111"/>
      <c r="D15" s="111"/>
      <c r="E15" s="112"/>
      <c r="F15" s="111"/>
      <c r="G15" s="111"/>
      <c r="H15" s="111"/>
      <c r="I15" s="111"/>
      <c r="J15" s="112"/>
      <c r="K15" s="111"/>
      <c r="L15" s="113" t="s">
        <v>1685</v>
      </c>
      <c r="M15" s="292"/>
    </row>
    <row r="16" spans="1:13" ht="15.75" thickBot="1">
      <c r="A16" s="289"/>
      <c r="B16" s="110" t="s">
        <v>1686</v>
      </c>
      <c r="C16" s="111"/>
      <c r="D16" s="111"/>
      <c r="E16" s="112"/>
      <c r="F16" s="111"/>
      <c r="G16" s="111"/>
      <c r="H16" s="111"/>
      <c r="I16" s="111"/>
      <c r="J16" s="112"/>
      <c r="K16" s="111"/>
      <c r="L16" s="113" t="s">
        <v>1687</v>
      </c>
      <c r="M16" s="292"/>
    </row>
    <row r="17" spans="1:13" ht="26.25" thickBot="1">
      <c r="A17" s="289"/>
      <c r="B17" s="110" t="s">
        <v>1688</v>
      </c>
      <c r="C17" s="111"/>
      <c r="D17" s="111"/>
      <c r="E17" s="112"/>
      <c r="F17" s="111"/>
      <c r="G17" s="111"/>
      <c r="H17" s="111"/>
      <c r="I17" s="111"/>
      <c r="J17" s="112"/>
      <c r="K17" s="111"/>
      <c r="L17" s="113" t="s">
        <v>1689</v>
      </c>
      <c r="M17" s="292"/>
    </row>
    <row r="18" spans="1:13" ht="15.75" thickBot="1">
      <c r="A18" s="289"/>
      <c r="B18" s="110" t="s">
        <v>1690</v>
      </c>
      <c r="C18" s="111"/>
      <c r="D18" s="111"/>
      <c r="E18" s="112"/>
      <c r="F18" s="111"/>
      <c r="G18" s="111"/>
      <c r="H18" s="111"/>
      <c r="I18" s="111"/>
      <c r="J18" s="112"/>
      <c r="K18" s="111"/>
      <c r="L18" s="113" t="s">
        <v>1691</v>
      </c>
      <c r="M18" s="292"/>
    </row>
    <row r="19" spans="1:13" ht="15.75" thickBot="1">
      <c r="A19" s="289"/>
      <c r="B19" s="110" t="s">
        <v>1692</v>
      </c>
      <c r="C19" s="111"/>
      <c r="D19" s="111"/>
      <c r="E19" s="112"/>
      <c r="F19" s="111"/>
      <c r="G19" s="111"/>
      <c r="H19" s="111"/>
      <c r="I19" s="111"/>
      <c r="J19" s="112"/>
      <c r="K19" s="111"/>
      <c r="L19" s="113" t="s">
        <v>1693</v>
      </c>
      <c r="M19" s="292"/>
    </row>
    <row r="20" spans="1:13" ht="15.75" thickBot="1">
      <c r="A20" s="289"/>
      <c r="B20" s="110" t="s">
        <v>1694</v>
      </c>
      <c r="C20" s="111">
        <v>1181518</v>
      </c>
      <c r="D20" s="111">
        <v>6649</v>
      </c>
      <c r="E20" s="112">
        <v>3767</v>
      </c>
      <c r="F20" s="111">
        <v>-52192</v>
      </c>
      <c r="G20" s="111"/>
      <c r="H20" s="111"/>
      <c r="I20" s="111">
        <v>-24430</v>
      </c>
      <c r="J20" s="112"/>
      <c r="K20" s="111">
        <v>1107778</v>
      </c>
      <c r="L20" s="113" t="s">
        <v>1695</v>
      </c>
      <c r="M20" s="292"/>
    </row>
    <row r="21" spans="1:13" ht="15.75" thickBot="1">
      <c r="A21" s="289"/>
      <c r="B21" s="110" t="s">
        <v>1696</v>
      </c>
      <c r="C21" s="111"/>
      <c r="D21" s="111"/>
      <c r="E21" s="112"/>
      <c r="F21" s="111"/>
      <c r="G21" s="111"/>
      <c r="H21" s="111"/>
      <c r="I21" s="111"/>
      <c r="J21" s="112"/>
      <c r="K21" s="111"/>
      <c r="L21" s="113" t="s">
        <v>1697</v>
      </c>
      <c r="M21" s="292"/>
    </row>
    <row r="22" spans="1:13" ht="26.25" thickBot="1">
      <c r="A22" s="289"/>
      <c r="B22" s="110" t="s">
        <v>1698</v>
      </c>
      <c r="C22" s="111"/>
      <c r="D22" s="111"/>
      <c r="E22" s="112"/>
      <c r="F22" s="111"/>
      <c r="G22" s="111"/>
      <c r="H22" s="111"/>
      <c r="I22" s="111"/>
      <c r="J22" s="112"/>
      <c r="K22" s="111"/>
      <c r="L22" s="113" t="s">
        <v>1699</v>
      </c>
      <c r="M22" s="292"/>
    </row>
    <row r="23" spans="1:13" ht="15.75" thickBot="1">
      <c r="A23" s="289"/>
      <c r="B23" s="110" t="s">
        <v>1700</v>
      </c>
      <c r="C23" s="111"/>
      <c r="D23" s="111"/>
      <c r="E23" s="112"/>
      <c r="F23" s="111"/>
      <c r="G23" s="111"/>
      <c r="H23" s="111"/>
      <c r="I23" s="111"/>
      <c r="J23" s="112"/>
      <c r="K23" s="111"/>
      <c r="L23" s="113" t="s">
        <v>1701</v>
      </c>
      <c r="M23" s="292"/>
    </row>
    <row r="24" spans="1:13" ht="15.75" thickBot="1">
      <c r="A24" s="289"/>
      <c r="B24" s="110" t="s">
        <v>1702</v>
      </c>
      <c r="C24" s="111">
        <v>6887</v>
      </c>
      <c r="D24" s="111">
        <v>1437</v>
      </c>
      <c r="E24" s="112"/>
      <c r="F24" s="111"/>
      <c r="G24" s="111"/>
      <c r="H24" s="111"/>
      <c r="I24" s="111"/>
      <c r="J24" s="112"/>
      <c r="K24" s="111">
        <v>8324</v>
      </c>
      <c r="L24" s="113" t="s">
        <v>1703</v>
      </c>
      <c r="M24" s="292"/>
    </row>
    <row r="25" spans="1:13" ht="26.25" thickBot="1">
      <c r="A25" s="289"/>
      <c r="B25" s="110" t="s">
        <v>1704</v>
      </c>
      <c r="C25" s="111"/>
      <c r="D25" s="111"/>
      <c r="E25" s="112"/>
      <c r="F25" s="111"/>
      <c r="G25" s="111"/>
      <c r="H25" s="111"/>
      <c r="I25" s="111"/>
      <c r="J25" s="112"/>
      <c r="K25" s="111"/>
      <c r="L25" s="113" t="s">
        <v>1705</v>
      </c>
      <c r="M25" s="292"/>
    </row>
    <row r="26" spans="1:13" ht="15.75" thickBot="1">
      <c r="A26" s="289"/>
      <c r="B26" s="110" t="s">
        <v>1706</v>
      </c>
      <c r="C26" s="111"/>
      <c r="D26" s="111">
        <v>2662</v>
      </c>
      <c r="E26" s="112"/>
      <c r="F26" s="111"/>
      <c r="G26" s="111"/>
      <c r="H26" s="111"/>
      <c r="I26" s="111"/>
      <c r="J26" s="112"/>
      <c r="K26" s="111">
        <v>2662</v>
      </c>
      <c r="L26" s="113" t="s">
        <v>1707</v>
      </c>
      <c r="M26" s="292"/>
    </row>
    <row r="27" spans="1:13" ht="15.75" thickBot="1">
      <c r="A27" s="289"/>
      <c r="B27" s="110" t="s">
        <v>1708</v>
      </c>
      <c r="C27" s="111"/>
      <c r="D27" s="111"/>
      <c r="E27" s="112"/>
      <c r="F27" s="111"/>
      <c r="G27" s="111"/>
      <c r="H27" s="111"/>
      <c r="I27" s="111"/>
      <c r="J27" s="112"/>
      <c r="K27" s="111"/>
      <c r="L27" s="113" t="s">
        <v>1709</v>
      </c>
      <c r="M27" s="292"/>
    </row>
    <row r="28" spans="1:13" ht="15.75" thickBot="1">
      <c r="A28" s="289"/>
      <c r="B28" s="110" t="s">
        <v>1710</v>
      </c>
      <c r="C28" s="111"/>
      <c r="D28" s="111"/>
      <c r="E28" s="112"/>
      <c r="F28" s="111"/>
      <c r="G28" s="111"/>
      <c r="H28" s="111"/>
      <c r="I28" s="111"/>
      <c r="J28" s="112"/>
      <c r="K28" s="111"/>
      <c r="L28" s="113" t="s">
        <v>1711</v>
      </c>
      <c r="M28" s="292"/>
    </row>
    <row r="29" spans="1:13" ht="15.75" thickBot="1">
      <c r="A29" s="289"/>
      <c r="B29" s="110" t="s">
        <v>1712</v>
      </c>
      <c r="C29" s="111"/>
      <c r="D29" s="111"/>
      <c r="E29" s="112"/>
      <c r="F29" s="111"/>
      <c r="G29" s="111"/>
      <c r="H29" s="111"/>
      <c r="I29" s="111"/>
      <c r="J29" s="112"/>
      <c r="K29" s="111"/>
      <c r="L29" s="113" t="s">
        <v>1713</v>
      </c>
      <c r="M29" s="292"/>
    </row>
    <row r="30" spans="1:13" ht="15.75" thickBot="1">
      <c r="A30" s="289"/>
      <c r="B30" s="110" t="s">
        <v>1714</v>
      </c>
      <c r="C30" s="111"/>
      <c r="D30" s="111"/>
      <c r="E30" s="112"/>
      <c r="F30" s="111"/>
      <c r="G30" s="111"/>
      <c r="H30" s="111"/>
      <c r="I30" s="111"/>
      <c r="J30" s="112"/>
      <c r="K30" s="111"/>
      <c r="L30" s="113" t="s">
        <v>1715</v>
      </c>
      <c r="M30" s="292"/>
    </row>
    <row r="31" spans="1:13" ht="26.25" thickBot="1">
      <c r="A31" s="289"/>
      <c r="B31" s="110" t="s">
        <v>1716</v>
      </c>
      <c r="C31" s="111"/>
      <c r="D31" s="111"/>
      <c r="E31" s="112"/>
      <c r="F31" s="111"/>
      <c r="G31" s="111"/>
      <c r="H31" s="111"/>
      <c r="I31" s="111"/>
      <c r="J31" s="112"/>
      <c r="K31" s="111"/>
      <c r="L31" s="113" t="s">
        <v>1717</v>
      </c>
      <c r="M31" s="292"/>
    </row>
    <row r="32" spans="1:13" ht="15.75" thickBot="1">
      <c r="A32" s="289"/>
      <c r="B32" s="110" t="s">
        <v>1718</v>
      </c>
      <c r="C32" s="111"/>
      <c r="D32" s="111"/>
      <c r="E32" s="112"/>
      <c r="F32" s="111"/>
      <c r="G32" s="111"/>
      <c r="H32" s="111"/>
      <c r="I32" s="111"/>
      <c r="J32" s="112"/>
      <c r="K32" s="111"/>
      <c r="L32" s="113" t="s">
        <v>1719</v>
      </c>
      <c r="M32" s="292"/>
    </row>
    <row r="33" spans="1:13" ht="15.75" thickBot="1">
      <c r="A33" s="289"/>
      <c r="B33" s="110" t="s">
        <v>1720</v>
      </c>
      <c r="C33" s="111"/>
      <c r="D33" s="111"/>
      <c r="E33" s="112"/>
      <c r="F33" s="111"/>
      <c r="G33" s="111"/>
      <c r="H33" s="111"/>
      <c r="I33" s="111"/>
      <c r="J33" s="112"/>
      <c r="K33" s="111"/>
      <c r="L33" s="113" t="s">
        <v>1721</v>
      </c>
      <c r="M33" s="292"/>
    </row>
    <row r="34" spans="1:13" ht="15.75" thickBot="1">
      <c r="A34" s="289"/>
      <c r="B34" s="110" t="s">
        <v>626</v>
      </c>
      <c r="C34" s="111">
        <v>6887</v>
      </c>
      <c r="D34" s="111">
        <v>4099</v>
      </c>
      <c r="E34" s="112"/>
      <c r="F34" s="111"/>
      <c r="G34" s="111"/>
      <c r="H34" s="111"/>
      <c r="I34" s="111"/>
      <c r="J34" s="112"/>
      <c r="K34" s="111">
        <v>10986</v>
      </c>
      <c r="L34" s="113" t="s">
        <v>627</v>
      </c>
      <c r="M34" s="292"/>
    </row>
    <row r="35" spans="1:13" ht="15.75" thickBot="1">
      <c r="A35" s="289"/>
      <c r="B35" s="110" t="s">
        <v>1722</v>
      </c>
      <c r="C35" s="111">
        <v>1877</v>
      </c>
      <c r="D35" s="111">
        <v>1412</v>
      </c>
      <c r="E35" s="112"/>
      <c r="F35" s="111">
        <v>-2877</v>
      </c>
      <c r="G35" s="111"/>
      <c r="H35" s="111"/>
      <c r="I35" s="111"/>
      <c r="J35" s="112"/>
      <c r="K35" s="111">
        <v>412</v>
      </c>
      <c r="L35" s="113" t="s">
        <v>1723</v>
      </c>
      <c r="M35" s="292"/>
    </row>
    <row r="36" spans="1:13" ht="26.25" thickBot="1">
      <c r="A36" s="289"/>
      <c r="B36" s="110" t="s">
        <v>1724</v>
      </c>
      <c r="C36" s="111">
        <v>7422</v>
      </c>
      <c r="D36" s="111">
        <v>10499</v>
      </c>
      <c r="E36" s="112">
        <v>414</v>
      </c>
      <c r="F36" s="111">
        <v>-11835</v>
      </c>
      <c r="G36" s="111"/>
      <c r="H36" s="111"/>
      <c r="I36" s="111"/>
      <c r="J36" s="112"/>
      <c r="K36" s="111">
        <v>5672</v>
      </c>
      <c r="L36" s="113" t="s">
        <v>1725</v>
      </c>
      <c r="M36" s="292"/>
    </row>
    <row r="37" spans="1:13" ht="26.25" thickBot="1">
      <c r="A37" s="289"/>
      <c r="B37" s="110" t="s">
        <v>1726</v>
      </c>
      <c r="C37" s="111"/>
      <c r="D37" s="111"/>
      <c r="E37" s="112"/>
      <c r="F37" s="111"/>
      <c r="G37" s="111"/>
      <c r="H37" s="111"/>
      <c r="I37" s="111"/>
      <c r="J37" s="112"/>
      <c r="K37" s="111"/>
      <c r="L37" s="113" t="s">
        <v>1727</v>
      </c>
      <c r="M37" s="292"/>
    </row>
    <row r="38" spans="1:13" ht="26.25" thickBot="1">
      <c r="A38" s="289"/>
      <c r="B38" s="110" t="s">
        <v>1728</v>
      </c>
      <c r="C38" s="111"/>
      <c r="D38" s="111"/>
      <c r="E38" s="112"/>
      <c r="F38" s="111"/>
      <c r="G38" s="111"/>
      <c r="H38" s="111"/>
      <c r="I38" s="111"/>
      <c r="J38" s="112"/>
      <c r="K38" s="111"/>
      <c r="L38" s="113" t="s">
        <v>1729</v>
      </c>
      <c r="M38" s="292"/>
    </row>
    <row r="39" spans="1:13" ht="26.25" thickBot="1">
      <c r="A39" s="289"/>
      <c r="B39" s="110" t="s">
        <v>1730</v>
      </c>
      <c r="C39" s="111"/>
      <c r="D39" s="111"/>
      <c r="E39" s="112"/>
      <c r="F39" s="111"/>
      <c r="G39" s="111"/>
      <c r="H39" s="111"/>
      <c r="I39" s="111"/>
      <c r="J39" s="112"/>
      <c r="K39" s="111"/>
      <c r="L39" s="113" t="s">
        <v>1731</v>
      </c>
      <c r="M39" s="292"/>
    </row>
    <row r="40" spans="1:13" ht="26.25" thickBot="1">
      <c r="A40" s="289"/>
      <c r="B40" s="110" t="s">
        <v>1732</v>
      </c>
      <c r="C40" s="111"/>
      <c r="D40" s="111"/>
      <c r="E40" s="112"/>
      <c r="F40" s="111"/>
      <c r="G40" s="111"/>
      <c r="H40" s="111"/>
      <c r="I40" s="111"/>
      <c r="J40" s="112"/>
      <c r="K40" s="111"/>
      <c r="L40" s="113" t="s">
        <v>1733</v>
      </c>
      <c r="M40" s="292"/>
    </row>
    <row r="41" spans="1:13" ht="15.75" thickBot="1">
      <c r="A41" s="289"/>
      <c r="B41" s="110" t="s">
        <v>1734</v>
      </c>
      <c r="C41" s="111">
        <v>450</v>
      </c>
      <c r="D41" s="111">
        <v>1385</v>
      </c>
      <c r="E41" s="112"/>
      <c r="F41" s="111">
        <v>-1835</v>
      </c>
      <c r="G41" s="111"/>
      <c r="H41" s="111"/>
      <c r="I41" s="111"/>
      <c r="J41" s="112"/>
      <c r="K41" s="111">
        <v>0</v>
      </c>
      <c r="L41" s="113" t="s">
        <v>1735</v>
      </c>
      <c r="M41" s="292"/>
    </row>
    <row r="42" spans="1:13" ht="15.75" thickBot="1">
      <c r="A42" s="289"/>
      <c r="B42" s="110" t="s">
        <v>1736</v>
      </c>
      <c r="C42" s="111">
        <v>9749</v>
      </c>
      <c r="D42" s="111">
        <v>13296</v>
      </c>
      <c r="E42" s="112">
        <v>414</v>
      </c>
      <c r="F42" s="111">
        <v>-16547</v>
      </c>
      <c r="G42" s="111"/>
      <c r="H42" s="111"/>
      <c r="I42" s="111"/>
      <c r="J42" s="112"/>
      <c r="K42" s="111">
        <v>6084</v>
      </c>
      <c r="L42" s="113" t="s">
        <v>1737</v>
      </c>
      <c r="M42" s="292"/>
    </row>
    <row r="43" spans="1:13" ht="15.75" thickBot="1">
      <c r="A43" s="290"/>
      <c r="B43" s="110" t="s">
        <v>624</v>
      </c>
      <c r="C43" s="111">
        <v>1198154</v>
      </c>
      <c r="D43" s="111">
        <v>24044</v>
      </c>
      <c r="E43" s="112">
        <v>4181</v>
      </c>
      <c r="F43" s="111">
        <v>-68739</v>
      </c>
      <c r="G43" s="111"/>
      <c r="H43" s="111"/>
      <c r="I43" s="111">
        <v>-24430</v>
      </c>
      <c r="J43" s="112"/>
      <c r="K43" s="111">
        <v>1124848</v>
      </c>
      <c r="L43" s="113" t="s">
        <v>625</v>
      </c>
      <c r="M43" s="293"/>
    </row>
    <row r="44" spans="1:13" ht="15.75" thickBot="1">
      <c r="A44" s="288" t="s">
        <v>1738</v>
      </c>
      <c r="B44" s="110" t="s">
        <v>1665</v>
      </c>
      <c r="C44" s="111"/>
      <c r="D44" s="111"/>
      <c r="E44" s="112"/>
      <c r="F44" s="111"/>
      <c r="G44" s="111"/>
      <c r="H44" s="111"/>
      <c r="I44" s="111"/>
      <c r="J44" s="112"/>
      <c r="K44" s="111"/>
      <c r="L44" s="113" t="s">
        <v>1666</v>
      </c>
      <c r="M44" s="291" t="s">
        <v>1739</v>
      </c>
    </row>
    <row r="45" spans="1:13" ht="26.25" thickBot="1">
      <c r="A45" s="289"/>
      <c r="B45" s="110" t="s">
        <v>1668</v>
      </c>
      <c r="C45" s="111">
        <v>72768</v>
      </c>
      <c r="D45" s="111">
        <v>17318</v>
      </c>
      <c r="E45" s="112">
        <v>105</v>
      </c>
      <c r="F45" s="111"/>
      <c r="G45" s="111"/>
      <c r="H45" s="111"/>
      <c r="I45" s="111">
        <v>-89981</v>
      </c>
      <c r="J45" s="112"/>
      <c r="K45" s="111">
        <v>0</v>
      </c>
      <c r="L45" s="113" t="s">
        <v>1669</v>
      </c>
      <c r="M45" s="292"/>
    </row>
    <row r="46" spans="1:13" ht="15.75" thickBot="1">
      <c r="A46" s="289"/>
      <c r="B46" s="110" t="s">
        <v>1670</v>
      </c>
      <c r="C46" s="111">
        <v>92685</v>
      </c>
      <c r="D46" s="111">
        <v>35995</v>
      </c>
      <c r="E46" s="112">
        <v>95</v>
      </c>
      <c r="F46" s="111">
        <v>-2714</v>
      </c>
      <c r="G46" s="111"/>
      <c r="H46" s="111"/>
      <c r="I46" s="111">
        <v>-125871</v>
      </c>
      <c r="J46" s="112"/>
      <c r="K46" s="111">
        <v>0</v>
      </c>
      <c r="L46" s="113" t="s">
        <v>1671</v>
      </c>
      <c r="M46" s="292"/>
    </row>
    <row r="47" spans="1:13" ht="15.75" thickBot="1">
      <c r="A47" s="289"/>
      <c r="B47" s="110" t="s">
        <v>1672</v>
      </c>
      <c r="C47" s="111">
        <v>15976</v>
      </c>
      <c r="D47" s="111">
        <v>2872</v>
      </c>
      <c r="E47" s="112">
        <v>406</v>
      </c>
      <c r="F47" s="111"/>
      <c r="G47" s="111"/>
      <c r="H47" s="111"/>
      <c r="I47" s="111"/>
      <c r="J47" s="112"/>
      <c r="K47" s="111">
        <v>18442</v>
      </c>
      <c r="L47" s="113" t="s">
        <v>1673</v>
      </c>
      <c r="M47" s="292"/>
    </row>
    <row r="48" spans="1:13" ht="15.75" thickBot="1">
      <c r="A48" s="289"/>
      <c r="B48" s="110" t="s">
        <v>1674</v>
      </c>
      <c r="C48" s="111"/>
      <c r="D48" s="111"/>
      <c r="E48" s="112"/>
      <c r="F48" s="111"/>
      <c r="G48" s="111"/>
      <c r="H48" s="111"/>
      <c r="I48" s="111"/>
      <c r="J48" s="112"/>
      <c r="K48" s="111"/>
      <c r="L48" s="113" t="s">
        <v>1675</v>
      </c>
      <c r="M48" s="292"/>
    </row>
    <row r="49" spans="1:13" ht="26.25" thickBot="1">
      <c r="A49" s="289"/>
      <c r="B49" s="110" t="s">
        <v>1676</v>
      </c>
      <c r="C49" s="111">
        <v>9878</v>
      </c>
      <c r="D49" s="111">
        <v>1453</v>
      </c>
      <c r="E49" s="112">
        <v>223</v>
      </c>
      <c r="F49" s="111"/>
      <c r="G49" s="111"/>
      <c r="H49" s="111"/>
      <c r="I49" s="111"/>
      <c r="J49" s="112"/>
      <c r="K49" s="111">
        <v>11108</v>
      </c>
      <c r="L49" s="113" t="s">
        <v>1677</v>
      </c>
      <c r="M49" s="292"/>
    </row>
    <row r="50" spans="1:13" ht="15.75" thickBot="1">
      <c r="A50" s="289"/>
      <c r="B50" s="110" t="s">
        <v>1678</v>
      </c>
      <c r="C50" s="111">
        <v>14351</v>
      </c>
      <c r="D50" s="111">
        <v>623</v>
      </c>
      <c r="E50" s="112">
        <v>2791</v>
      </c>
      <c r="F50" s="111"/>
      <c r="G50" s="111"/>
      <c r="H50" s="111"/>
      <c r="I50" s="111"/>
      <c r="J50" s="112"/>
      <c r="K50" s="111">
        <v>12183</v>
      </c>
      <c r="L50" s="113" t="s">
        <v>1679</v>
      </c>
      <c r="M50" s="292"/>
    </row>
    <row r="51" spans="1:13" ht="15.75" thickBot="1">
      <c r="A51" s="289"/>
      <c r="B51" s="110" t="s">
        <v>1680</v>
      </c>
      <c r="C51" s="111"/>
      <c r="D51" s="111"/>
      <c r="E51" s="112"/>
      <c r="F51" s="111"/>
      <c r="G51" s="111"/>
      <c r="H51" s="111"/>
      <c r="I51" s="111"/>
      <c r="J51" s="112"/>
      <c r="K51" s="111"/>
      <c r="L51" s="113" t="s">
        <v>1681</v>
      </c>
      <c r="M51" s="292"/>
    </row>
    <row r="52" spans="1:13" ht="15.75" thickBot="1">
      <c r="A52" s="289"/>
      <c r="B52" s="110" t="s">
        <v>1682</v>
      </c>
      <c r="C52" s="111"/>
      <c r="D52" s="111"/>
      <c r="E52" s="112"/>
      <c r="F52" s="111"/>
      <c r="G52" s="111"/>
      <c r="H52" s="111"/>
      <c r="I52" s="111"/>
      <c r="J52" s="112"/>
      <c r="K52" s="111"/>
      <c r="L52" s="113" t="s">
        <v>1683</v>
      </c>
      <c r="M52" s="292"/>
    </row>
    <row r="53" spans="1:13" ht="15.75" thickBot="1">
      <c r="A53" s="289"/>
      <c r="B53" s="110" t="s">
        <v>1684</v>
      </c>
      <c r="C53" s="111"/>
      <c r="D53" s="111"/>
      <c r="E53" s="112"/>
      <c r="F53" s="111"/>
      <c r="G53" s="111"/>
      <c r="H53" s="111"/>
      <c r="I53" s="111"/>
      <c r="J53" s="112"/>
      <c r="K53" s="111"/>
      <c r="L53" s="113" t="s">
        <v>1685</v>
      </c>
      <c r="M53" s="292"/>
    </row>
    <row r="54" spans="1:13" ht="15.75" thickBot="1">
      <c r="A54" s="289"/>
      <c r="B54" s="110" t="s">
        <v>1686</v>
      </c>
      <c r="C54" s="111"/>
      <c r="D54" s="111"/>
      <c r="E54" s="112"/>
      <c r="F54" s="111"/>
      <c r="G54" s="111"/>
      <c r="H54" s="111"/>
      <c r="I54" s="111"/>
      <c r="J54" s="112"/>
      <c r="K54" s="111"/>
      <c r="L54" s="113" t="s">
        <v>1687</v>
      </c>
      <c r="M54" s="292"/>
    </row>
    <row r="55" spans="1:13" ht="26.25" thickBot="1">
      <c r="A55" s="289"/>
      <c r="B55" s="110" t="s">
        <v>1688</v>
      </c>
      <c r="C55" s="111"/>
      <c r="D55" s="111"/>
      <c r="E55" s="112"/>
      <c r="F55" s="111"/>
      <c r="G55" s="111"/>
      <c r="H55" s="111"/>
      <c r="I55" s="111"/>
      <c r="J55" s="112"/>
      <c r="K55" s="111"/>
      <c r="L55" s="113" t="s">
        <v>1689</v>
      </c>
      <c r="M55" s="292"/>
    </row>
    <row r="56" spans="1:13" ht="15.75" thickBot="1">
      <c r="A56" s="289"/>
      <c r="B56" s="110" t="s">
        <v>1690</v>
      </c>
      <c r="C56" s="111"/>
      <c r="D56" s="111"/>
      <c r="E56" s="112"/>
      <c r="F56" s="111"/>
      <c r="G56" s="111"/>
      <c r="H56" s="111"/>
      <c r="I56" s="111"/>
      <c r="J56" s="112"/>
      <c r="K56" s="111"/>
      <c r="L56" s="113" t="s">
        <v>1691</v>
      </c>
      <c r="M56" s="292"/>
    </row>
    <row r="57" spans="1:13" ht="15.75" thickBot="1">
      <c r="A57" s="289"/>
      <c r="B57" s="110" t="s">
        <v>1692</v>
      </c>
      <c r="C57" s="111"/>
      <c r="D57" s="111"/>
      <c r="E57" s="112"/>
      <c r="F57" s="111"/>
      <c r="G57" s="111"/>
      <c r="H57" s="111"/>
      <c r="I57" s="111"/>
      <c r="J57" s="112"/>
      <c r="K57" s="111"/>
      <c r="L57" s="113" t="s">
        <v>1693</v>
      </c>
      <c r="M57" s="292"/>
    </row>
    <row r="58" spans="1:13" ht="15.75" thickBot="1">
      <c r="A58" s="289"/>
      <c r="B58" s="110" t="s">
        <v>1694</v>
      </c>
      <c r="C58" s="111">
        <v>205658</v>
      </c>
      <c r="D58" s="111">
        <v>58261</v>
      </c>
      <c r="E58" s="112">
        <v>3620</v>
      </c>
      <c r="F58" s="111">
        <v>-2714</v>
      </c>
      <c r="G58" s="111"/>
      <c r="H58" s="111"/>
      <c r="I58" s="111">
        <v>-215852</v>
      </c>
      <c r="J58" s="112"/>
      <c r="K58" s="111">
        <v>41733</v>
      </c>
      <c r="L58" s="113" t="s">
        <v>1695</v>
      </c>
      <c r="M58" s="292"/>
    </row>
    <row r="59" spans="1:13" ht="15.75" thickBot="1">
      <c r="A59" s="289"/>
      <c r="B59" s="110" t="s">
        <v>1696</v>
      </c>
      <c r="C59" s="111"/>
      <c r="D59" s="111"/>
      <c r="E59" s="112"/>
      <c r="F59" s="111"/>
      <c r="G59" s="111"/>
      <c r="H59" s="111"/>
      <c r="I59" s="111"/>
      <c r="J59" s="112"/>
      <c r="K59" s="111"/>
      <c r="L59" s="113" t="s">
        <v>1697</v>
      </c>
      <c r="M59" s="292"/>
    </row>
    <row r="60" spans="1:13" ht="26.25" thickBot="1">
      <c r="A60" s="289"/>
      <c r="B60" s="110" t="s">
        <v>1698</v>
      </c>
      <c r="C60" s="111"/>
      <c r="D60" s="111"/>
      <c r="E60" s="112"/>
      <c r="F60" s="111"/>
      <c r="G60" s="111"/>
      <c r="H60" s="111"/>
      <c r="I60" s="111"/>
      <c r="J60" s="112"/>
      <c r="K60" s="111"/>
      <c r="L60" s="113" t="s">
        <v>1699</v>
      </c>
      <c r="M60" s="292"/>
    </row>
    <row r="61" spans="1:13" ht="15.75" thickBot="1">
      <c r="A61" s="289"/>
      <c r="B61" s="110" t="s">
        <v>1700</v>
      </c>
      <c r="C61" s="111"/>
      <c r="D61" s="111"/>
      <c r="E61" s="112"/>
      <c r="F61" s="111"/>
      <c r="G61" s="111"/>
      <c r="H61" s="111"/>
      <c r="I61" s="111"/>
      <c r="J61" s="112"/>
      <c r="K61" s="111"/>
      <c r="L61" s="113" t="s">
        <v>1701</v>
      </c>
      <c r="M61" s="292"/>
    </row>
    <row r="62" spans="1:13" ht="15.75" thickBot="1">
      <c r="A62" s="289"/>
      <c r="B62" s="110" t="s">
        <v>1702</v>
      </c>
      <c r="C62" s="111">
        <v>2409</v>
      </c>
      <c r="D62" s="111">
        <v>1597</v>
      </c>
      <c r="E62" s="112"/>
      <c r="F62" s="111"/>
      <c r="G62" s="111"/>
      <c r="H62" s="111"/>
      <c r="I62" s="111"/>
      <c r="J62" s="112"/>
      <c r="K62" s="111">
        <v>4006</v>
      </c>
      <c r="L62" s="113" t="s">
        <v>1703</v>
      </c>
      <c r="M62" s="292"/>
    </row>
    <row r="63" spans="1:13" ht="26.25" thickBot="1">
      <c r="A63" s="289"/>
      <c r="B63" s="110" t="s">
        <v>1704</v>
      </c>
      <c r="C63" s="111"/>
      <c r="D63" s="111"/>
      <c r="E63" s="112"/>
      <c r="F63" s="111"/>
      <c r="G63" s="111"/>
      <c r="H63" s="111"/>
      <c r="I63" s="111"/>
      <c r="J63" s="112"/>
      <c r="K63" s="111"/>
      <c r="L63" s="113" t="s">
        <v>1705</v>
      </c>
      <c r="M63" s="292"/>
    </row>
    <row r="64" spans="1:13" ht="15.75" thickBot="1">
      <c r="A64" s="289"/>
      <c r="B64" s="110" t="s">
        <v>1706</v>
      </c>
      <c r="C64" s="111"/>
      <c r="D64" s="111">
        <v>513</v>
      </c>
      <c r="E64" s="112"/>
      <c r="F64" s="111"/>
      <c r="G64" s="111"/>
      <c r="H64" s="111"/>
      <c r="I64" s="111"/>
      <c r="J64" s="112"/>
      <c r="K64" s="111">
        <v>513</v>
      </c>
      <c r="L64" s="113" t="s">
        <v>1707</v>
      </c>
      <c r="M64" s="292"/>
    </row>
    <row r="65" spans="1:13" ht="15.75" thickBot="1">
      <c r="A65" s="289"/>
      <c r="B65" s="110" t="s">
        <v>1708</v>
      </c>
      <c r="C65" s="111"/>
      <c r="D65" s="111"/>
      <c r="E65" s="112"/>
      <c r="F65" s="111"/>
      <c r="G65" s="111"/>
      <c r="H65" s="111"/>
      <c r="I65" s="111"/>
      <c r="J65" s="112"/>
      <c r="K65" s="111"/>
      <c r="L65" s="113" t="s">
        <v>1709</v>
      </c>
      <c r="M65" s="292"/>
    </row>
    <row r="66" spans="1:13" ht="15.75" thickBot="1">
      <c r="A66" s="289"/>
      <c r="B66" s="110" t="s">
        <v>1710</v>
      </c>
      <c r="C66" s="111"/>
      <c r="D66" s="111"/>
      <c r="E66" s="112"/>
      <c r="F66" s="111"/>
      <c r="G66" s="111"/>
      <c r="H66" s="111"/>
      <c r="I66" s="111"/>
      <c r="J66" s="112"/>
      <c r="K66" s="111"/>
      <c r="L66" s="113" t="s">
        <v>1711</v>
      </c>
      <c r="M66" s="292"/>
    </row>
    <row r="67" spans="1:13" ht="15.75" thickBot="1">
      <c r="A67" s="289"/>
      <c r="B67" s="110" t="s">
        <v>1712</v>
      </c>
      <c r="C67" s="111"/>
      <c r="D67" s="111"/>
      <c r="E67" s="112"/>
      <c r="F67" s="111"/>
      <c r="G67" s="111"/>
      <c r="H67" s="111"/>
      <c r="I67" s="111"/>
      <c r="J67" s="112"/>
      <c r="K67" s="111"/>
      <c r="L67" s="113" t="s">
        <v>1713</v>
      </c>
      <c r="M67" s="292"/>
    </row>
    <row r="68" spans="1:13" ht="15.75" thickBot="1">
      <c r="A68" s="289"/>
      <c r="B68" s="110" t="s">
        <v>1714</v>
      </c>
      <c r="C68" s="111"/>
      <c r="D68" s="111"/>
      <c r="E68" s="112"/>
      <c r="F68" s="111"/>
      <c r="G68" s="111"/>
      <c r="H68" s="111"/>
      <c r="I68" s="111"/>
      <c r="J68" s="112"/>
      <c r="K68" s="111"/>
      <c r="L68" s="113" t="s">
        <v>1715</v>
      </c>
      <c r="M68" s="292"/>
    </row>
    <row r="69" spans="1:13" ht="26.25" thickBot="1">
      <c r="A69" s="289"/>
      <c r="B69" s="110" t="s">
        <v>1716</v>
      </c>
      <c r="C69" s="111"/>
      <c r="D69" s="111"/>
      <c r="E69" s="112"/>
      <c r="F69" s="111"/>
      <c r="G69" s="111"/>
      <c r="H69" s="111"/>
      <c r="I69" s="111"/>
      <c r="J69" s="112"/>
      <c r="K69" s="111"/>
      <c r="L69" s="113" t="s">
        <v>1717</v>
      </c>
      <c r="M69" s="292"/>
    </row>
    <row r="70" spans="1:13" ht="15.75" thickBot="1">
      <c r="A70" s="289"/>
      <c r="B70" s="110" t="s">
        <v>1718</v>
      </c>
      <c r="C70" s="111"/>
      <c r="D70" s="111"/>
      <c r="E70" s="112"/>
      <c r="F70" s="111"/>
      <c r="G70" s="111"/>
      <c r="H70" s="111"/>
      <c r="I70" s="111"/>
      <c r="J70" s="112"/>
      <c r="K70" s="111"/>
      <c r="L70" s="113" t="s">
        <v>1719</v>
      </c>
      <c r="M70" s="292"/>
    </row>
    <row r="71" spans="1:13" ht="15.75" thickBot="1">
      <c r="A71" s="289"/>
      <c r="B71" s="110" t="s">
        <v>1720</v>
      </c>
      <c r="C71" s="111"/>
      <c r="D71" s="111"/>
      <c r="E71" s="112"/>
      <c r="F71" s="111"/>
      <c r="G71" s="111"/>
      <c r="H71" s="111"/>
      <c r="I71" s="111"/>
      <c r="J71" s="112"/>
      <c r="K71" s="111"/>
      <c r="L71" s="113" t="s">
        <v>1721</v>
      </c>
      <c r="M71" s="292"/>
    </row>
    <row r="72" spans="1:13" ht="15.75" thickBot="1">
      <c r="A72" s="289"/>
      <c r="B72" s="110" t="s">
        <v>626</v>
      </c>
      <c r="C72" s="111">
        <v>2409</v>
      </c>
      <c r="D72" s="111">
        <v>2110</v>
      </c>
      <c r="E72" s="112"/>
      <c r="F72" s="111"/>
      <c r="G72" s="111"/>
      <c r="H72" s="111"/>
      <c r="I72" s="111"/>
      <c r="J72" s="112"/>
      <c r="K72" s="111">
        <v>4519</v>
      </c>
      <c r="L72" s="113" t="s">
        <v>627</v>
      </c>
      <c r="M72" s="292"/>
    </row>
    <row r="73" spans="1:13" ht="15.75" thickBot="1">
      <c r="A73" s="289"/>
      <c r="B73" s="110" t="s">
        <v>1722</v>
      </c>
      <c r="C73" s="111"/>
      <c r="D73" s="111"/>
      <c r="E73" s="112"/>
      <c r="F73" s="111"/>
      <c r="G73" s="111"/>
      <c r="H73" s="111"/>
      <c r="I73" s="111"/>
      <c r="J73" s="112"/>
      <c r="K73" s="111"/>
      <c r="L73" s="113" t="s">
        <v>1723</v>
      </c>
      <c r="M73" s="292"/>
    </row>
    <row r="74" spans="1:13" ht="26.25" thickBot="1">
      <c r="A74" s="289"/>
      <c r="B74" s="110" t="s">
        <v>1724</v>
      </c>
      <c r="C74" s="111"/>
      <c r="D74" s="111"/>
      <c r="E74" s="112"/>
      <c r="F74" s="111"/>
      <c r="G74" s="111"/>
      <c r="H74" s="111"/>
      <c r="I74" s="111"/>
      <c r="J74" s="112"/>
      <c r="K74" s="111"/>
      <c r="L74" s="113" t="s">
        <v>1725</v>
      </c>
      <c r="M74" s="292"/>
    </row>
    <row r="75" spans="1:13" ht="26.25" thickBot="1">
      <c r="A75" s="289"/>
      <c r="B75" s="110" t="s">
        <v>1726</v>
      </c>
      <c r="C75" s="111"/>
      <c r="D75" s="111"/>
      <c r="E75" s="112"/>
      <c r="F75" s="111"/>
      <c r="G75" s="111"/>
      <c r="H75" s="111"/>
      <c r="I75" s="111"/>
      <c r="J75" s="112"/>
      <c r="K75" s="111"/>
      <c r="L75" s="113" t="s">
        <v>1727</v>
      </c>
      <c r="M75" s="292"/>
    </row>
    <row r="76" spans="1:13" ht="26.25" thickBot="1">
      <c r="A76" s="289"/>
      <c r="B76" s="110" t="s">
        <v>1728</v>
      </c>
      <c r="C76" s="111"/>
      <c r="D76" s="111"/>
      <c r="E76" s="112"/>
      <c r="F76" s="111"/>
      <c r="G76" s="111"/>
      <c r="H76" s="111"/>
      <c r="I76" s="111"/>
      <c r="J76" s="112"/>
      <c r="K76" s="111"/>
      <c r="L76" s="113" t="s">
        <v>1729</v>
      </c>
      <c r="M76" s="292"/>
    </row>
    <row r="77" spans="1:13" ht="26.25" thickBot="1">
      <c r="A77" s="289"/>
      <c r="B77" s="110" t="s">
        <v>1730</v>
      </c>
      <c r="C77" s="111"/>
      <c r="D77" s="111"/>
      <c r="E77" s="112"/>
      <c r="F77" s="111"/>
      <c r="G77" s="111"/>
      <c r="H77" s="111"/>
      <c r="I77" s="111"/>
      <c r="J77" s="112"/>
      <c r="K77" s="111"/>
      <c r="L77" s="113" t="s">
        <v>1731</v>
      </c>
      <c r="M77" s="292"/>
    </row>
    <row r="78" spans="1:13" ht="26.25" thickBot="1">
      <c r="A78" s="289"/>
      <c r="B78" s="110" t="s">
        <v>1732</v>
      </c>
      <c r="C78" s="111"/>
      <c r="D78" s="111"/>
      <c r="E78" s="112"/>
      <c r="F78" s="111"/>
      <c r="G78" s="111"/>
      <c r="H78" s="111"/>
      <c r="I78" s="111"/>
      <c r="J78" s="112"/>
      <c r="K78" s="111"/>
      <c r="L78" s="113" t="s">
        <v>1733</v>
      </c>
      <c r="M78" s="292"/>
    </row>
    <row r="79" spans="1:13" ht="15.75" thickBot="1">
      <c r="A79" s="289"/>
      <c r="B79" s="110" t="s">
        <v>1734</v>
      </c>
      <c r="C79" s="111"/>
      <c r="D79" s="111"/>
      <c r="E79" s="112"/>
      <c r="F79" s="111"/>
      <c r="G79" s="111"/>
      <c r="H79" s="111"/>
      <c r="I79" s="111"/>
      <c r="J79" s="112"/>
      <c r="K79" s="111"/>
      <c r="L79" s="113" t="s">
        <v>1735</v>
      </c>
      <c r="M79" s="292"/>
    </row>
    <row r="80" spans="1:13" ht="15.75" thickBot="1">
      <c r="A80" s="289"/>
      <c r="B80" s="110" t="s">
        <v>1736</v>
      </c>
      <c r="C80" s="111"/>
      <c r="D80" s="111"/>
      <c r="E80" s="112"/>
      <c r="F80" s="111"/>
      <c r="G80" s="111"/>
      <c r="H80" s="111"/>
      <c r="I80" s="111"/>
      <c r="J80" s="112"/>
      <c r="K80" s="111"/>
      <c r="L80" s="113" t="s">
        <v>1737</v>
      </c>
      <c r="M80" s="292"/>
    </row>
    <row r="81" spans="1:13" ht="15.75" thickBot="1">
      <c r="A81" s="290"/>
      <c r="B81" s="110" t="s">
        <v>624</v>
      </c>
      <c r="C81" s="111">
        <v>208067</v>
      </c>
      <c r="D81" s="111">
        <v>60371</v>
      </c>
      <c r="E81" s="112">
        <v>3620</v>
      </c>
      <c r="F81" s="111">
        <v>-2714</v>
      </c>
      <c r="G81" s="111"/>
      <c r="H81" s="111"/>
      <c r="I81" s="111">
        <v>-215852</v>
      </c>
      <c r="J81" s="112"/>
      <c r="K81" s="111">
        <v>46252</v>
      </c>
      <c r="L81" s="113" t="s">
        <v>625</v>
      </c>
      <c r="M81" s="293"/>
    </row>
    <row r="82" spans="1:13" ht="17.25" customHeight="1">
      <c r="A82" s="294" t="s">
        <v>624</v>
      </c>
      <c r="B82" s="294"/>
      <c r="C82" s="294"/>
      <c r="D82" s="294"/>
      <c r="E82" s="294"/>
      <c r="F82" s="294"/>
      <c r="G82" s="295" t="s">
        <v>625</v>
      </c>
      <c r="H82" s="295"/>
      <c r="I82" s="295"/>
      <c r="J82" s="295"/>
      <c r="K82" s="295"/>
      <c r="L82" s="295"/>
      <c r="M82" s="295"/>
    </row>
    <row r="83" spans="1:13">
      <c r="A83" s="296"/>
      <c r="B83" s="296"/>
      <c r="C83" s="297" t="s">
        <v>1656</v>
      </c>
      <c r="D83" s="297"/>
      <c r="E83" s="297"/>
      <c r="F83" s="297"/>
      <c r="G83" s="297"/>
      <c r="H83" s="297"/>
      <c r="I83" s="297"/>
      <c r="J83" s="297"/>
      <c r="K83" s="297"/>
      <c r="L83" s="296"/>
      <c r="M83" s="296"/>
    </row>
    <row r="84" spans="1:13" ht="23.25">
      <c r="A84" s="296"/>
      <c r="B84" s="296"/>
      <c r="C84" s="109" t="s">
        <v>624</v>
      </c>
      <c r="D84" s="109" t="s">
        <v>1657</v>
      </c>
      <c r="E84" s="109" t="s">
        <v>1658</v>
      </c>
      <c r="F84" s="109" t="s">
        <v>1659</v>
      </c>
      <c r="G84" s="109" t="s">
        <v>1660</v>
      </c>
      <c r="H84" s="109" t="s">
        <v>1661</v>
      </c>
      <c r="I84" s="109" t="s">
        <v>1662</v>
      </c>
      <c r="J84" s="109" t="s">
        <v>1663</v>
      </c>
      <c r="K84" s="109" t="s">
        <v>624</v>
      </c>
      <c r="L84" s="296"/>
      <c r="M84" s="296"/>
    </row>
    <row r="85" spans="1:13" ht="15.75" thickBot="1">
      <c r="A85" s="110" t="s">
        <v>1740</v>
      </c>
      <c r="B85" s="110" t="s">
        <v>624</v>
      </c>
      <c r="C85" s="111">
        <v>990087</v>
      </c>
      <c r="D85" s="111">
        <v>-36327</v>
      </c>
      <c r="E85" s="112">
        <v>561</v>
      </c>
      <c r="F85" s="111">
        <v>-66025</v>
      </c>
      <c r="G85" s="111"/>
      <c r="H85" s="111"/>
      <c r="I85" s="111">
        <v>191422</v>
      </c>
      <c r="J85" s="112"/>
      <c r="K85" s="111">
        <v>1078596</v>
      </c>
      <c r="L85" s="113" t="s">
        <v>625</v>
      </c>
      <c r="M85" s="113" t="s">
        <v>1741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CD007AC9-CD42-4CBA-827B-BCC50DD03460}">
      <formula1>-9.99999999999999E+33</formula1>
      <formula2>9.99999999999999E+33</formula2>
    </dataValidation>
  </dataValidations>
  <pageMargins left="0.15" right="0.15" top="0.15" bottom="0.15" header="0.5" footer="0.5"/>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E47EEE-9381-49EF-A0EA-97CB365271DE}">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300" t="s">
        <v>1743</v>
      </c>
      <c r="B1" s="301"/>
      <c r="C1" s="301"/>
    </row>
    <row r="3" spans="1:3" ht="17.25" customHeight="1">
      <c r="A3" s="115" t="s">
        <v>1744</v>
      </c>
      <c r="B3" s="302" t="s">
        <v>1745</v>
      </c>
      <c r="C3" s="302"/>
    </row>
    <row r="4" spans="1:3">
      <c r="A4" s="116"/>
      <c r="B4" s="117" t="s">
        <v>104</v>
      </c>
    </row>
    <row r="5" spans="1:3" ht="15.75" thickBot="1">
      <c r="A5" s="118" t="s">
        <v>1744</v>
      </c>
      <c r="B5" s="119"/>
      <c r="C5" s="120" t="s">
        <v>1745</v>
      </c>
    </row>
    <row r="6" spans="1:3" ht="75" customHeight="1" thickBot="1">
      <c r="A6" s="121" t="s">
        <v>1746</v>
      </c>
      <c r="B6" s="122" t="s">
        <v>1747</v>
      </c>
      <c r="C6" s="120" t="s">
        <v>1748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5A5D30-F687-4D9B-923D-491126BFE6E8}">
      <formula1>0</formula1>
    </dataValidation>
  </dataValidations>
  <pageMargins left="0.15" right="0.15" top="0.15" bottom="0.15" header="0.5" footer="0.5"/>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148FBA-A981-4E38-B269-75D91DCF180B}">
  <dimension ref="A1:M25"/>
  <sheetViews>
    <sheetView showGridLines="0" workbookViewId="0"/>
  </sheetViews>
  <sheetFormatPr defaultRowHeight="15"/>
  <cols>
    <col min="1" max="1" width="22.1640625" style="124" bestFit="1" customWidth="1" collapsed="1"/>
    <col min="2" max="2" width="35" style="124" bestFit="1" customWidth="1" collapsed="1"/>
    <col min="3" max="3" width="14.33203125" style="124" bestFit="1" customWidth="1" collapsed="1"/>
    <col min="4" max="4" width="26.83203125" style="124" bestFit="1" customWidth="1" collapsed="1"/>
    <col min="5" max="5" width="27.1640625" style="124" bestFit="1" customWidth="1" collapsed="1"/>
    <col min="6" max="6" width="26.6640625" style="124" bestFit="1" customWidth="1" collapsed="1"/>
    <col min="7" max="7" width="42.5" style="124" bestFit="1" customWidth="1" collapsed="1"/>
    <col min="8" max="8" width="30.83203125" style="124" bestFit="1" customWidth="1" collapsed="1"/>
    <col min="9" max="9" width="23.5" style="124" bestFit="1" customWidth="1" collapsed="1"/>
    <col min="10" max="10" width="41.1640625" style="124" bestFit="1" customWidth="1" collapsed="1"/>
    <col min="11" max="11" width="14.33203125" style="124" bestFit="1" customWidth="1" collapsed="1"/>
    <col min="12" max="13" width="42.6640625" style="124" bestFit="1" customWidth="1" collapsed="1"/>
    <col min="14" max="16384" width="9.33203125" style="124" collapsed="1"/>
  </cols>
  <sheetData>
    <row r="1" spans="1:13" ht="17.25">
      <c r="A1" s="123" t="s">
        <v>1749</v>
      </c>
    </row>
    <row r="3" spans="1:13" ht="17.25" customHeight="1">
      <c r="A3" s="313" t="s">
        <v>626</v>
      </c>
      <c r="B3" s="313"/>
      <c r="C3" s="313"/>
      <c r="D3" s="313"/>
      <c r="E3" s="313"/>
      <c r="F3" s="313"/>
      <c r="G3" s="314" t="s">
        <v>627</v>
      </c>
      <c r="H3" s="314"/>
      <c r="I3" s="314"/>
      <c r="J3" s="314"/>
      <c r="K3" s="314"/>
      <c r="L3" s="314"/>
      <c r="M3" s="314"/>
    </row>
    <row r="4" spans="1:13">
      <c r="A4" s="311"/>
      <c r="B4" s="311"/>
      <c r="C4" s="312" t="s">
        <v>1750</v>
      </c>
      <c r="D4" s="312"/>
      <c r="E4" s="312"/>
      <c r="F4" s="312"/>
      <c r="G4" s="312"/>
      <c r="H4" s="312"/>
      <c r="I4" s="312"/>
      <c r="J4" s="312"/>
      <c r="K4" s="312"/>
      <c r="L4" s="311"/>
      <c r="M4" s="311"/>
    </row>
    <row r="5" spans="1:13" ht="23.25">
      <c r="A5" s="311"/>
      <c r="B5" s="311"/>
      <c r="C5" s="125" t="s">
        <v>626</v>
      </c>
      <c r="D5" s="125" t="s">
        <v>1751</v>
      </c>
      <c r="E5" s="125" t="s">
        <v>1752</v>
      </c>
      <c r="F5" s="125" t="s">
        <v>1753</v>
      </c>
      <c r="G5" s="125" t="s">
        <v>1754</v>
      </c>
      <c r="H5" s="125" t="s">
        <v>1755</v>
      </c>
      <c r="I5" s="125" t="s">
        <v>1756</v>
      </c>
      <c r="J5" s="125" t="s">
        <v>1757</v>
      </c>
      <c r="K5" s="125" t="s">
        <v>626</v>
      </c>
      <c r="L5" s="311"/>
      <c r="M5" s="311"/>
    </row>
    <row r="6" spans="1:13" ht="15.75" thickBot="1">
      <c r="A6" s="304" t="s">
        <v>1664</v>
      </c>
      <c r="B6" s="126" t="s">
        <v>1696</v>
      </c>
      <c r="C6" s="127"/>
      <c r="D6" s="127"/>
      <c r="E6" s="128"/>
      <c r="F6" s="127"/>
      <c r="G6" s="127"/>
      <c r="H6" s="127"/>
      <c r="I6" s="127"/>
      <c r="J6" s="128"/>
      <c r="K6" s="127"/>
      <c r="L6" s="129" t="s">
        <v>1697</v>
      </c>
      <c r="M6" s="307" t="s">
        <v>1667</v>
      </c>
    </row>
    <row r="7" spans="1:13" ht="26.25" thickBot="1">
      <c r="A7" s="304"/>
      <c r="B7" s="126" t="s">
        <v>1698</v>
      </c>
      <c r="C7" s="127"/>
      <c r="D7" s="127"/>
      <c r="E7" s="128"/>
      <c r="F7" s="127"/>
      <c r="G7" s="127"/>
      <c r="H7" s="127"/>
      <c r="I7" s="127"/>
      <c r="J7" s="128"/>
      <c r="K7" s="127"/>
      <c r="L7" s="129" t="s">
        <v>1699</v>
      </c>
      <c r="M7" s="307"/>
    </row>
    <row r="8" spans="1:13" ht="15.75" thickBot="1">
      <c r="A8" s="304"/>
      <c r="B8" s="126" t="s">
        <v>1700</v>
      </c>
      <c r="C8" s="127"/>
      <c r="D8" s="127"/>
      <c r="E8" s="128"/>
      <c r="F8" s="127"/>
      <c r="G8" s="127"/>
      <c r="H8" s="127"/>
      <c r="I8" s="127"/>
      <c r="J8" s="128"/>
      <c r="K8" s="127"/>
      <c r="L8" s="129" t="s">
        <v>1701</v>
      </c>
      <c r="M8" s="307"/>
    </row>
    <row r="9" spans="1:13" ht="15.75" thickBot="1">
      <c r="A9" s="304"/>
      <c r="B9" s="126" t="s">
        <v>1702</v>
      </c>
      <c r="C9" s="127"/>
      <c r="D9" s="127"/>
      <c r="E9" s="128"/>
      <c r="F9" s="127"/>
      <c r="G9" s="127"/>
      <c r="H9" s="127"/>
      <c r="I9" s="127"/>
      <c r="J9" s="128"/>
      <c r="K9" s="127"/>
      <c r="L9" s="129" t="s">
        <v>1703</v>
      </c>
      <c r="M9" s="307"/>
    </row>
    <row r="10" spans="1:13" ht="15.75" thickBot="1">
      <c r="A10" s="304"/>
      <c r="B10" s="126" t="s">
        <v>1708</v>
      </c>
      <c r="C10" s="127"/>
      <c r="D10" s="127"/>
      <c r="E10" s="128"/>
      <c r="F10" s="127"/>
      <c r="G10" s="127"/>
      <c r="H10" s="127"/>
      <c r="I10" s="127"/>
      <c r="J10" s="128"/>
      <c r="K10" s="127"/>
      <c r="L10" s="129" t="s">
        <v>1709</v>
      </c>
      <c r="M10" s="307"/>
    </row>
    <row r="11" spans="1:13" ht="15.75" thickBot="1">
      <c r="A11" s="304"/>
      <c r="B11" s="126" t="s">
        <v>1710</v>
      </c>
      <c r="C11" s="127"/>
      <c r="D11" s="127"/>
      <c r="E11" s="128"/>
      <c r="F11" s="127"/>
      <c r="G11" s="127"/>
      <c r="H11" s="127"/>
      <c r="I11" s="127"/>
      <c r="J11" s="128"/>
      <c r="K11" s="127"/>
      <c r="L11" s="129" t="s">
        <v>1711</v>
      </c>
      <c r="M11" s="307"/>
    </row>
    <row r="12" spans="1:13" ht="15.75" thickBot="1">
      <c r="A12" s="304"/>
      <c r="B12" s="126" t="s">
        <v>1720</v>
      </c>
      <c r="C12" s="127"/>
      <c r="D12" s="127"/>
      <c r="E12" s="128"/>
      <c r="F12" s="127"/>
      <c r="G12" s="127"/>
      <c r="H12" s="127"/>
      <c r="I12" s="127"/>
      <c r="J12" s="128"/>
      <c r="K12" s="127"/>
      <c r="L12" s="129" t="s">
        <v>1721</v>
      </c>
      <c r="M12" s="307"/>
    </row>
    <row r="13" spans="1:13" ht="15.75" thickBot="1">
      <c r="A13" s="305"/>
      <c r="B13" s="126" t="s">
        <v>626</v>
      </c>
      <c r="C13" s="127"/>
      <c r="D13" s="127"/>
      <c r="E13" s="128"/>
      <c r="F13" s="127"/>
      <c r="G13" s="127"/>
      <c r="H13" s="127"/>
      <c r="I13" s="127"/>
      <c r="J13" s="128"/>
      <c r="K13" s="127"/>
      <c r="L13" s="129" t="s">
        <v>627</v>
      </c>
      <c r="M13" s="308"/>
    </row>
    <row r="14" spans="1:13" ht="15.75" thickBot="1">
      <c r="A14" s="303" t="s">
        <v>1738</v>
      </c>
      <c r="B14" s="126" t="s">
        <v>1696</v>
      </c>
      <c r="C14" s="127"/>
      <c r="D14" s="127"/>
      <c r="E14" s="128"/>
      <c r="F14" s="127"/>
      <c r="G14" s="127"/>
      <c r="H14" s="127"/>
      <c r="I14" s="127"/>
      <c r="J14" s="128"/>
      <c r="K14" s="127"/>
      <c r="L14" s="129" t="s">
        <v>1697</v>
      </c>
      <c r="M14" s="306" t="s">
        <v>1739</v>
      </c>
    </row>
    <row r="15" spans="1:13" ht="26.25" thickBot="1">
      <c r="A15" s="304"/>
      <c r="B15" s="126" t="s">
        <v>1698</v>
      </c>
      <c r="C15" s="127"/>
      <c r="D15" s="127"/>
      <c r="E15" s="128"/>
      <c r="F15" s="127"/>
      <c r="G15" s="127"/>
      <c r="H15" s="127"/>
      <c r="I15" s="127"/>
      <c r="J15" s="128"/>
      <c r="K15" s="127"/>
      <c r="L15" s="129" t="s">
        <v>1699</v>
      </c>
      <c r="M15" s="307"/>
    </row>
    <row r="16" spans="1:13" ht="15.75" thickBot="1">
      <c r="A16" s="304"/>
      <c r="B16" s="126" t="s">
        <v>1700</v>
      </c>
      <c r="C16" s="127"/>
      <c r="D16" s="127"/>
      <c r="E16" s="128"/>
      <c r="F16" s="127"/>
      <c r="G16" s="127"/>
      <c r="H16" s="127"/>
      <c r="I16" s="127"/>
      <c r="J16" s="128"/>
      <c r="K16" s="127"/>
      <c r="L16" s="129" t="s">
        <v>1701</v>
      </c>
      <c r="M16" s="307"/>
    </row>
    <row r="17" spans="1:13" ht="15.75" thickBot="1">
      <c r="A17" s="304"/>
      <c r="B17" s="126" t="s">
        <v>1702</v>
      </c>
      <c r="C17" s="127"/>
      <c r="D17" s="127"/>
      <c r="E17" s="128"/>
      <c r="F17" s="127"/>
      <c r="G17" s="127"/>
      <c r="H17" s="127"/>
      <c r="I17" s="127"/>
      <c r="J17" s="128"/>
      <c r="K17" s="127"/>
      <c r="L17" s="129" t="s">
        <v>1703</v>
      </c>
      <c r="M17" s="307"/>
    </row>
    <row r="18" spans="1:13" ht="15.75" thickBot="1">
      <c r="A18" s="304"/>
      <c r="B18" s="126" t="s">
        <v>1708</v>
      </c>
      <c r="C18" s="127"/>
      <c r="D18" s="127"/>
      <c r="E18" s="128"/>
      <c r="F18" s="127"/>
      <c r="G18" s="127"/>
      <c r="H18" s="127"/>
      <c r="I18" s="127"/>
      <c r="J18" s="128"/>
      <c r="K18" s="127"/>
      <c r="L18" s="129" t="s">
        <v>1709</v>
      </c>
      <c r="M18" s="307"/>
    </row>
    <row r="19" spans="1:13" ht="15.75" thickBot="1">
      <c r="A19" s="304"/>
      <c r="B19" s="126" t="s">
        <v>1710</v>
      </c>
      <c r="C19" s="127"/>
      <c r="D19" s="127"/>
      <c r="E19" s="128"/>
      <c r="F19" s="127"/>
      <c r="G19" s="127"/>
      <c r="H19" s="127"/>
      <c r="I19" s="127"/>
      <c r="J19" s="128"/>
      <c r="K19" s="127"/>
      <c r="L19" s="129" t="s">
        <v>1711</v>
      </c>
      <c r="M19" s="307"/>
    </row>
    <row r="20" spans="1:13" ht="15.75" thickBot="1">
      <c r="A20" s="304"/>
      <c r="B20" s="126" t="s">
        <v>1720</v>
      </c>
      <c r="C20" s="127"/>
      <c r="D20" s="127"/>
      <c r="E20" s="128"/>
      <c r="F20" s="127"/>
      <c r="G20" s="127"/>
      <c r="H20" s="127"/>
      <c r="I20" s="127"/>
      <c r="J20" s="128"/>
      <c r="K20" s="127"/>
      <c r="L20" s="129" t="s">
        <v>1721</v>
      </c>
      <c r="M20" s="307"/>
    </row>
    <row r="21" spans="1:13" ht="15.75" thickBot="1">
      <c r="A21" s="305"/>
      <c r="B21" s="126" t="s">
        <v>626</v>
      </c>
      <c r="C21" s="127"/>
      <c r="D21" s="127"/>
      <c r="E21" s="128"/>
      <c r="F21" s="127"/>
      <c r="G21" s="127"/>
      <c r="H21" s="127"/>
      <c r="I21" s="127"/>
      <c r="J21" s="128"/>
      <c r="K21" s="127"/>
      <c r="L21" s="129" t="s">
        <v>627</v>
      </c>
      <c r="M21" s="308"/>
    </row>
    <row r="22" spans="1:13" ht="17.25" customHeight="1">
      <c r="A22" s="309" t="s">
        <v>626</v>
      </c>
      <c r="B22" s="309"/>
      <c r="C22" s="309"/>
      <c r="D22" s="309"/>
      <c r="E22" s="309"/>
      <c r="F22" s="309"/>
      <c r="G22" s="310" t="s">
        <v>627</v>
      </c>
      <c r="H22" s="310"/>
      <c r="I22" s="310"/>
      <c r="J22" s="310"/>
      <c r="K22" s="310"/>
      <c r="L22" s="310"/>
      <c r="M22" s="310"/>
    </row>
    <row r="23" spans="1:13">
      <c r="A23" s="311"/>
      <c r="B23" s="311"/>
      <c r="C23" s="312" t="s">
        <v>1750</v>
      </c>
      <c r="D23" s="312"/>
      <c r="E23" s="312"/>
      <c r="F23" s="312"/>
      <c r="G23" s="312"/>
      <c r="H23" s="312"/>
      <c r="I23" s="312"/>
      <c r="J23" s="312"/>
      <c r="K23" s="312"/>
      <c r="L23" s="311"/>
      <c r="M23" s="311"/>
    </row>
    <row r="24" spans="1:13" ht="23.25">
      <c r="A24" s="311"/>
      <c r="B24" s="311"/>
      <c r="C24" s="125" t="s">
        <v>626</v>
      </c>
      <c r="D24" s="125" t="s">
        <v>1751</v>
      </c>
      <c r="E24" s="125" t="s">
        <v>1752</v>
      </c>
      <c r="F24" s="125" t="s">
        <v>1753</v>
      </c>
      <c r="G24" s="125" t="s">
        <v>1754</v>
      </c>
      <c r="H24" s="125" t="s">
        <v>1755</v>
      </c>
      <c r="I24" s="125" t="s">
        <v>1756</v>
      </c>
      <c r="J24" s="125" t="s">
        <v>1757</v>
      </c>
      <c r="K24" s="125" t="s">
        <v>626</v>
      </c>
      <c r="L24" s="311"/>
      <c r="M24" s="311"/>
    </row>
    <row r="25" spans="1:13" ht="15.75" thickBot="1">
      <c r="A25" s="126" t="s">
        <v>1740</v>
      </c>
      <c r="B25" s="126" t="s">
        <v>626</v>
      </c>
      <c r="C25" s="127"/>
      <c r="D25" s="127"/>
      <c r="E25" s="128"/>
      <c r="F25" s="127"/>
      <c r="G25" s="127"/>
      <c r="H25" s="127"/>
      <c r="I25" s="127"/>
      <c r="J25" s="128"/>
      <c r="K25" s="127"/>
      <c r="L25" s="129" t="s">
        <v>627</v>
      </c>
      <c r="M25" s="129" t="s">
        <v>1741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7060B3E3-A764-47DC-803C-DF6EE655E3DF}">
      <formula1>-9.99999999999999E+33</formula1>
      <formula2>9.99999999999999E+33</formula2>
    </dataValidation>
  </dataValidations>
  <pageMargins left="0.15" right="0.15" top="0.15" bottom="0.15" header="0.5" footer="0.5"/>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B1B727-756D-484B-A146-B9C1BA3B91B2}">
  <dimension ref="A1:M25"/>
  <sheetViews>
    <sheetView showGridLines="0" workbookViewId="0"/>
  </sheetViews>
  <sheetFormatPr defaultRowHeight="15"/>
  <cols>
    <col min="1" max="1" width="22.1640625" style="131" bestFit="1" customWidth="1" collapsed="1"/>
    <col min="2" max="2" width="35" style="131" bestFit="1" customWidth="1" collapsed="1"/>
    <col min="3" max="3" width="14.33203125" style="131" bestFit="1" customWidth="1" collapsed="1"/>
    <col min="4" max="4" width="26.83203125" style="131" bestFit="1" customWidth="1" collapsed="1"/>
    <col min="5" max="5" width="27.1640625" style="131" bestFit="1" customWidth="1" collapsed="1"/>
    <col min="6" max="6" width="26.6640625" style="131" bestFit="1" customWidth="1" collapsed="1"/>
    <col min="7" max="7" width="42.5" style="131" bestFit="1" customWidth="1" collapsed="1"/>
    <col min="8" max="8" width="30.83203125" style="131" bestFit="1" customWidth="1" collapsed="1"/>
    <col min="9" max="9" width="23.5" style="131" bestFit="1" customWidth="1" collapsed="1"/>
    <col min="10" max="10" width="41.1640625" style="131" bestFit="1" customWidth="1" collapsed="1"/>
    <col min="11" max="11" width="14.33203125" style="131" bestFit="1" customWidth="1" collapsed="1"/>
    <col min="12" max="13" width="42.6640625" style="131" bestFit="1" customWidth="1" collapsed="1"/>
    <col min="14" max="16384" width="9.33203125" style="131" collapsed="1"/>
  </cols>
  <sheetData>
    <row r="1" spans="1:13" ht="17.25">
      <c r="A1" s="130" t="s">
        <v>1758</v>
      </c>
    </row>
    <row r="3" spans="1:13" ht="17.25" customHeight="1">
      <c r="A3" s="319" t="s">
        <v>626</v>
      </c>
      <c r="B3" s="319"/>
      <c r="C3" s="319"/>
      <c r="D3" s="319"/>
      <c r="E3" s="319"/>
      <c r="F3" s="319"/>
      <c r="G3" s="320" t="s">
        <v>627</v>
      </c>
      <c r="H3" s="320"/>
      <c r="I3" s="320"/>
      <c r="J3" s="320"/>
      <c r="K3" s="320"/>
      <c r="L3" s="320"/>
      <c r="M3" s="320"/>
    </row>
    <row r="4" spans="1:13">
      <c r="A4" s="321"/>
      <c r="B4" s="321"/>
      <c r="C4" s="322" t="s">
        <v>1750</v>
      </c>
      <c r="D4" s="322"/>
      <c r="E4" s="322"/>
      <c r="F4" s="322"/>
      <c r="G4" s="322"/>
      <c r="H4" s="322"/>
      <c r="I4" s="322"/>
      <c r="J4" s="322"/>
      <c r="K4" s="322"/>
      <c r="L4" s="321"/>
      <c r="M4" s="321"/>
    </row>
    <row r="5" spans="1:13" ht="23.25">
      <c r="A5" s="321"/>
      <c r="B5" s="321"/>
      <c r="C5" s="132" t="s">
        <v>626</v>
      </c>
      <c r="D5" s="132" t="s">
        <v>1751</v>
      </c>
      <c r="E5" s="132" t="s">
        <v>1752</v>
      </c>
      <c r="F5" s="132" t="s">
        <v>1753</v>
      </c>
      <c r="G5" s="132" t="s">
        <v>1754</v>
      </c>
      <c r="H5" s="132" t="s">
        <v>1755</v>
      </c>
      <c r="I5" s="132" t="s">
        <v>1756</v>
      </c>
      <c r="J5" s="132" t="s">
        <v>1757</v>
      </c>
      <c r="K5" s="132" t="s">
        <v>626</v>
      </c>
      <c r="L5" s="321"/>
      <c r="M5" s="321"/>
    </row>
    <row r="6" spans="1:13" ht="15.75" thickBot="1">
      <c r="A6" s="315" t="s">
        <v>1664</v>
      </c>
      <c r="B6" s="133" t="s">
        <v>1696</v>
      </c>
      <c r="C6" s="134"/>
      <c r="D6" s="134"/>
      <c r="E6" s="135"/>
      <c r="F6" s="134"/>
      <c r="G6" s="134"/>
      <c r="H6" s="134"/>
      <c r="I6" s="134"/>
      <c r="J6" s="135"/>
      <c r="K6" s="134"/>
      <c r="L6" s="136" t="s">
        <v>1697</v>
      </c>
      <c r="M6" s="317" t="s">
        <v>1667</v>
      </c>
    </row>
    <row r="7" spans="1:13" ht="26.25" thickBot="1">
      <c r="A7" s="315"/>
      <c r="B7" s="133" t="s">
        <v>1698</v>
      </c>
      <c r="C7" s="134"/>
      <c r="D7" s="134"/>
      <c r="E7" s="135"/>
      <c r="F7" s="134"/>
      <c r="G7" s="134"/>
      <c r="H7" s="134"/>
      <c r="I7" s="134"/>
      <c r="J7" s="135"/>
      <c r="K7" s="134"/>
      <c r="L7" s="136" t="s">
        <v>1699</v>
      </c>
      <c r="M7" s="317"/>
    </row>
    <row r="8" spans="1:13" ht="15.75" thickBot="1">
      <c r="A8" s="315"/>
      <c r="B8" s="133" t="s">
        <v>1700</v>
      </c>
      <c r="C8" s="134"/>
      <c r="D8" s="134"/>
      <c r="E8" s="135"/>
      <c r="F8" s="134"/>
      <c r="G8" s="134"/>
      <c r="H8" s="134"/>
      <c r="I8" s="134"/>
      <c r="J8" s="135"/>
      <c r="K8" s="134"/>
      <c r="L8" s="136" t="s">
        <v>1701</v>
      </c>
      <c r="M8" s="317"/>
    </row>
    <row r="9" spans="1:13" ht="15.75" thickBot="1">
      <c r="A9" s="315"/>
      <c r="B9" s="133" t="s">
        <v>1702</v>
      </c>
      <c r="C9" s="134"/>
      <c r="D9" s="134"/>
      <c r="E9" s="135"/>
      <c r="F9" s="134"/>
      <c r="G9" s="134"/>
      <c r="H9" s="134"/>
      <c r="I9" s="134"/>
      <c r="J9" s="135"/>
      <c r="K9" s="134"/>
      <c r="L9" s="136" t="s">
        <v>1703</v>
      </c>
      <c r="M9" s="317"/>
    </row>
    <row r="10" spans="1:13" ht="15.75" thickBot="1">
      <c r="A10" s="315"/>
      <c r="B10" s="133" t="s">
        <v>1708</v>
      </c>
      <c r="C10" s="134"/>
      <c r="D10" s="134"/>
      <c r="E10" s="135"/>
      <c r="F10" s="134"/>
      <c r="G10" s="134"/>
      <c r="H10" s="134"/>
      <c r="I10" s="134"/>
      <c r="J10" s="135"/>
      <c r="K10" s="134"/>
      <c r="L10" s="136" t="s">
        <v>1709</v>
      </c>
      <c r="M10" s="317"/>
    </row>
    <row r="11" spans="1:13" ht="15.75" thickBot="1">
      <c r="A11" s="315"/>
      <c r="B11" s="133" t="s">
        <v>1710</v>
      </c>
      <c r="C11" s="134"/>
      <c r="D11" s="134"/>
      <c r="E11" s="135"/>
      <c r="F11" s="134"/>
      <c r="G11" s="134"/>
      <c r="H11" s="134"/>
      <c r="I11" s="134"/>
      <c r="J11" s="135"/>
      <c r="K11" s="134"/>
      <c r="L11" s="136" t="s">
        <v>1711</v>
      </c>
      <c r="M11" s="317"/>
    </row>
    <row r="12" spans="1:13" ht="15.75" thickBot="1">
      <c r="A12" s="315"/>
      <c r="B12" s="133" t="s">
        <v>1720</v>
      </c>
      <c r="C12" s="134"/>
      <c r="D12" s="134"/>
      <c r="E12" s="135"/>
      <c r="F12" s="134"/>
      <c r="G12" s="134"/>
      <c r="H12" s="134"/>
      <c r="I12" s="134"/>
      <c r="J12" s="135"/>
      <c r="K12" s="134"/>
      <c r="L12" s="136" t="s">
        <v>1721</v>
      </c>
      <c r="M12" s="317"/>
    </row>
    <row r="13" spans="1:13" ht="15.75" thickBot="1">
      <c r="A13" s="316"/>
      <c r="B13" s="133" t="s">
        <v>626</v>
      </c>
      <c r="C13" s="134"/>
      <c r="D13" s="134"/>
      <c r="E13" s="135"/>
      <c r="F13" s="134"/>
      <c r="G13" s="134"/>
      <c r="H13" s="134"/>
      <c r="I13" s="134"/>
      <c r="J13" s="135"/>
      <c r="K13" s="134"/>
      <c r="L13" s="136" t="s">
        <v>627</v>
      </c>
      <c r="M13" s="318"/>
    </row>
    <row r="14" spans="1:13" ht="15.75" thickBot="1">
      <c r="A14" s="323" t="s">
        <v>1738</v>
      </c>
      <c r="B14" s="133" t="s">
        <v>1696</v>
      </c>
      <c r="C14" s="134"/>
      <c r="D14" s="134"/>
      <c r="E14" s="135"/>
      <c r="F14" s="134"/>
      <c r="G14" s="134"/>
      <c r="H14" s="134"/>
      <c r="I14" s="134"/>
      <c r="J14" s="135"/>
      <c r="K14" s="134"/>
      <c r="L14" s="136" t="s">
        <v>1697</v>
      </c>
      <c r="M14" s="324" t="s">
        <v>1739</v>
      </c>
    </row>
    <row r="15" spans="1:13" ht="26.25" thickBot="1">
      <c r="A15" s="315"/>
      <c r="B15" s="133" t="s">
        <v>1698</v>
      </c>
      <c r="C15" s="134"/>
      <c r="D15" s="134"/>
      <c r="E15" s="135"/>
      <c r="F15" s="134"/>
      <c r="G15" s="134"/>
      <c r="H15" s="134"/>
      <c r="I15" s="134"/>
      <c r="J15" s="135"/>
      <c r="K15" s="134"/>
      <c r="L15" s="136" t="s">
        <v>1699</v>
      </c>
      <c r="M15" s="317"/>
    </row>
    <row r="16" spans="1:13" ht="15.75" thickBot="1">
      <c r="A16" s="315"/>
      <c r="B16" s="133" t="s">
        <v>1700</v>
      </c>
      <c r="C16" s="134"/>
      <c r="D16" s="134"/>
      <c r="E16" s="135"/>
      <c r="F16" s="134"/>
      <c r="G16" s="134"/>
      <c r="H16" s="134"/>
      <c r="I16" s="134"/>
      <c r="J16" s="135"/>
      <c r="K16" s="134"/>
      <c r="L16" s="136" t="s">
        <v>1701</v>
      </c>
      <c r="M16" s="317"/>
    </row>
    <row r="17" spans="1:13" ht="15.75" thickBot="1">
      <c r="A17" s="315"/>
      <c r="B17" s="133" t="s">
        <v>1702</v>
      </c>
      <c r="C17" s="134"/>
      <c r="D17" s="134"/>
      <c r="E17" s="135"/>
      <c r="F17" s="134"/>
      <c r="G17" s="134"/>
      <c r="H17" s="134"/>
      <c r="I17" s="134"/>
      <c r="J17" s="135"/>
      <c r="K17" s="134"/>
      <c r="L17" s="136" t="s">
        <v>1703</v>
      </c>
      <c r="M17" s="317"/>
    </row>
    <row r="18" spans="1:13" ht="15.75" thickBot="1">
      <c r="A18" s="315"/>
      <c r="B18" s="133" t="s">
        <v>1708</v>
      </c>
      <c r="C18" s="134"/>
      <c r="D18" s="134"/>
      <c r="E18" s="135"/>
      <c r="F18" s="134"/>
      <c r="G18" s="134"/>
      <c r="H18" s="134"/>
      <c r="I18" s="134"/>
      <c r="J18" s="135"/>
      <c r="K18" s="134"/>
      <c r="L18" s="136" t="s">
        <v>1709</v>
      </c>
      <c r="M18" s="317"/>
    </row>
    <row r="19" spans="1:13" ht="15.75" thickBot="1">
      <c r="A19" s="315"/>
      <c r="B19" s="133" t="s">
        <v>1710</v>
      </c>
      <c r="C19" s="134"/>
      <c r="D19" s="134"/>
      <c r="E19" s="135"/>
      <c r="F19" s="134"/>
      <c r="G19" s="134"/>
      <c r="H19" s="134"/>
      <c r="I19" s="134"/>
      <c r="J19" s="135"/>
      <c r="K19" s="134"/>
      <c r="L19" s="136" t="s">
        <v>1711</v>
      </c>
      <c r="M19" s="317"/>
    </row>
    <row r="20" spans="1:13" ht="15.75" thickBot="1">
      <c r="A20" s="315"/>
      <c r="B20" s="133" t="s">
        <v>1720</v>
      </c>
      <c r="C20" s="134"/>
      <c r="D20" s="134"/>
      <c r="E20" s="135"/>
      <c r="F20" s="134"/>
      <c r="G20" s="134"/>
      <c r="H20" s="134"/>
      <c r="I20" s="134"/>
      <c r="J20" s="135"/>
      <c r="K20" s="134"/>
      <c r="L20" s="136" t="s">
        <v>1721</v>
      </c>
      <c r="M20" s="317"/>
    </row>
    <row r="21" spans="1:13" ht="15.75" thickBot="1">
      <c r="A21" s="316"/>
      <c r="B21" s="133" t="s">
        <v>626</v>
      </c>
      <c r="C21" s="134"/>
      <c r="D21" s="134"/>
      <c r="E21" s="135"/>
      <c r="F21" s="134"/>
      <c r="G21" s="134"/>
      <c r="H21" s="134"/>
      <c r="I21" s="134"/>
      <c r="J21" s="135"/>
      <c r="K21" s="134"/>
      <c r="L21" s="136" t="s">
        <v>627</v>
      </c>
      <c r="M21" s="318"/>
    </row>
    <row r="22" spans="1:13" ht="17.25" customHeight="1">
      <c r="A22" s="325" t="s">
        <v>626</v>
      </c>
      <c r="B22" s="325"/>
      <c r="C22" s="325"/>
      <c r="D22" s="325"/>
      <c r="E22" s="325"/>
      <c r="F22" s="325"/>
      <c r="G22" s="326" t="s">
        <v>627</v>
      </c>
      <c r="H22" s="326"/>
      <c r="I22" s="326"/>
      <c r="J22" s="326"/>
      <c r="K22" s="326"/>
      <c r="L22" s="326"/>
      <c r="M22" s="326"/>
    </row>
    <row r="23" spans="1:13">
      <c r="A23" s="321"/>
      <c r="B23" s="321"/>
      <c r="C23" s="322" t="s">
        <v>1750</v>
      </c>
      <c r="D23" s="322"/>
      <c r="E23" s="322"/>
      <c r="F23" s="322"/>
      <c r="G23" s="322"/>
      <c r="H23" s="322"/>
      <c r="I23" s="322"/>
      <c r="J23" s="322"/>
      <c r="K23" s="322"/>
      <c r="L23" s="321"/>
      <c r="M23" s="321"/>
    </row>
    <row r="24" spans="1:13" ht="23.25">
      <c r="A24" s="321"/>
      <c r="B24" s="321"/>
      <c r="C24" s="132" t="s">
        <v>626</v>
      </c>
      <c r="D24" s="132" t="s">
        <v>1751</v>
      </c>
      <c r="E24" s="132" t="s">
        <v>1752</v>
      </c>
      <c r="F24" s="132" t="s">
        <v>1753</v>
      </c>
      <c r="G24" s="132" t="s">
        <v>1754</v>
      </c>
      <c r="H24" s="132" t="s">
        <v>1755</v>
      </c>
      <c r="I24" s="132" t="s">
        <v>1756</v>
      </c>
      <c r="J24" s="132" t="s">
        <v>1757</v>
      </c>
      <c r="K24" s="132" t="s">
        <v>626</v>
      </c>
      <c r="L24" s="321"/>
      <c r="M24" s="321"/>
    </row>
    <row r="25" spans="1:13" ht="15.75" thickBot="1">
      <c r="A25" s="133" t="s">
        <v>1740</v>
      </c>
      <c r="B25" s="133" t="s">
        <v>626</v>
      </c>
      <c r="C25" s="134"/>
      <c r="D25" s="134"/>
      <c r="E25" s="135"/>
      <c r="F25" s="134"/>
      <c r="G25" s="134"/>
      <c r="H25" s="134"/>
      <c r="I25" s="134"/>
      <c r="J25" s="135"/>
      <c r="K25" s="134"/>
      <c r="L25" s="136" t="s">
        <v>627</v>
      </c>
      <c r="M25" s="136" t="s">
        <v>1741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C9A71364-619C-4D3C-B32C-C729731782D0}">
      <formula1>-9.99999999999999E+33</formula1>
      <formula2>9.99999999999999E+33</formula2>
    </dataValidation>
  </dataValidations>
  <pageMargins left="0.15" right="0.15" top="0.15" bottom="0.15" header="0.5" footer="0.5"/>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A1D17F-5ED1-4A60-A2DA-893C946CFBFE}">
  <dimension ref="A1:H31"/>
  <sheetViews>
    <sheetView showGridLines="0" workbookViewId="0"/>
  </sheetViews>
  <sheetFormatPr defaultRowHeight="15"/>
  <cols>
    <col min="1" max="1" width="27.83203125" style="138" bestFit="1" customWidth="1" collapsed="1"/>
    <col min="2" max="2" width="26.5" style="138" bestFit="1" customWidth="1" collapsed="1"/>
    <col min="3" max="3" width="31.6640625" style="138" bestFit="1" customWidth="1" collapsed="1"/>
    <col min="4" max="4" width="22.6640625" style="138" bestFit="1" customWidth="1" collapsed="1"/>
    <col min="5" max="5" width="27.83203125" style="138" bestFit="1" customWidth="1" collapsed="1"/>
    <col min="6" max="6" width="26.5" style="138" bestFit="1" customWidth="1" collapsed="1"/>
    <col min="7" max="7" width="31.6640625" style="138" bestFit="1" customWidth="1" collapsed="1"/>
    <col min="8" max="8" width="22.6640625" style="138" bestFit="1" customWidth="1" collapsed="1"/>
    <col min="9" max="16384" width="9.33203125" style="138" collapsed="1"/>
  </cols>
  <sheetData>
    <row r="1" spans="1:8" ht="17.25">
      <c r="A1" s="137" t="s">
        <v>1759</v>
      </c>
    </row>
    <row r="3" spans="1:8" ht="17.25" customHeight="1">
      <c r="A3" s="328" t="s">
        <v>104</v>
      </c>
      <c r="B3" s="328"/>
      <c r="C3" s="328"/>
      <c r="D3" s="328"/>
      <c r="E3" s="329" t="s">
        <v>107</v>
      </c>
      <c r="F3" s="329"/>
      <c r="G3" s="329"/>
      <c r="H3" s="329"/>
    </row>
    <row r="4" spans="1:8" ht="17.25" customHeight="1">
      <c r="A4" s="328" t="s">
        <v>1760</v>
      </c>
      <c r="B4" s="328"/>
      <c r="C4" s="329" t="s">
        <v>1761</v>
      </c>
      <c r="D4" s="329"/>
      <c r="E4" s="328" t="s">
        <v>1760</v>
      </c>
      <c r="F4" s="328"/>
      <c r="G4" s="329" t="s">
        <v>1761</v>
      </c>
      <c r="H4" s="329"/>
    </row>
    <row r="5" spans="1:8" ht="23.25">
      <c r="A5" s="327"/>
      <c r="B5" s="139" t="s">
        <v>1762</v>
      </c>
      <c r="C5" s="139" t="s">
        <v>964</v>
      </c>
      <c r="D5" s="327"/>
      <c r="E5" s="327"/>
      <c r="F5" s="139" t="s">
        <v>1762</v>
      </c>
      <c r="G5" s="139" t="s">
        <v>964</v>
      </c>
      <c r="H5" s="327"/>
    </row>
    <row r="6" spans="1:8">
      <c r="A6" s="327"/>
      <c r="B6" s="140" t="s">
        <v>1763</v>
      </c>
      <c r="C6" s="140" t="s">
        <v>965</v>
      </c>
      <c r="D6" s="327"/>
      <c r="E6" s="327"/>
      <c r="F6" s="140" t="s">
        <v>1763</v>
      </c>
      <c r="G6" s="140" t="s">
        <v>965</v>
      </c>
      <c r="H6" s="327"/>
    </row>
    <row r="7" spans="1:8" ht="15.75" thickBot="1">
      <c r="A7" s="141" t="s">
        <v>1764</v>
      </c>
      <c r="B7" s="142"/>
      <c r="C7" s="143"/>
      <c r="D7" s="144" t="s">
        <v>1765</v>
      </c>
      <c r="E7" s="141" t="s">
        <v>1764</v>
      </c>
      <c r="F7" s="142"/>
      <c r="G7" s="143"/>
      <c r="H7" s="144" t="s">
        <v>1765</v>
      </c>
    </row>
    <row r="8" spans="1:8" ht="15.75" thickBot="1">
      <c r="A8" s="141" t="s">
        <v>1766</v>
      </c>
      <c r="B8" s="142"/>
      <c r="C8" s="143"/>
      <c r="D8" s="144" t="s">
        <v>1767</v>
      </c>
      <c r="E8" s="141" t="s">
        <v>1766</v>
      </c>
      <c r="F8" s="142"/>
      <c r="G8" s="143"/>
      <c r="H8" s="144" t="s">
        <v>1767</v>
      </c>
    </row>
    <row r="9" spans="1:8" ht="15.75" thickBot="1">
      <c r="A9" s="141" t="s">
        <v>1768</v>
      </c>
      <c r="B9" s="142"/>
      <c r="C9" s="143"/>
      <c r="D9" s="144" t="s">
        <v>1769</v>
      </c>
      <c r="E9" s="141" t="s">
        <v>1768</v>
      </c>
      <c r="F9" s="142"/>
      <c r="G9" s="143"/>
      <c r="H9" s="144" t="s">
        <v>1769</v>
      </c>
    </row>
    <row r="10" spans="1:8" ht="15.75" thickBot="1">
      <c r="A10" s="141" t="s">
        <v>1770</v>
      </c>
      <c r="B10" s="142"/>
      <c r="C10" s="143"/>
      <c r="D10" s="144" t="s">
        <v>1771</v>
      </c>
      <c r="E10" s="141" t="s">
        <v>1770</v>
      </c>
      <c r="F10" s="142"/>
      <c r="G10" s="143"/>
      <c r="H10" s="144" t="s">
        <v>1771</v>
      </c>
    </row>
    <row r="11" spans="1:8" ht="15.75" thickBot="1">
      <c r="A11" s="141" t="s">
        <v>1772</v>
      </c>
      <c r="B11" s="142"/>
      <c r="C11" s="143"/>
      <c r="D11" s="144" t="s">
        <v>1773</v>
      </c>
      <c r="E11" s="141" t="s">
        <v>1772</v>
      </c>
      <c r="F11" s="142"/>
      <c r="G11" s="143"/>
      <c r="H11" s="144" t="s">
        <v>1773</v>
      </c>
    </row>
    <row r="12" spans="1:8" ht="15.75" thickBot="1">
      <c r="A12" s="141" t="s">
        <v>1774</v>
      </c>
      <c r="B12" s="142"/>
      <c r="C12" s="143"/>
      <c r="D12" s="144" t="s">
        <v>1775</v>
      </c>
      <c r="E12" s="141" t="s">
        <v>1774</v>
      </c>
      <c r="F12" s="142"/>
      <c r="G12" s="143"/>
      <c r="H12" s="144" t="s">
        <v>1775</v>
      </c>
    </row>
    <row r="13" spans="1:8" ht="15.75" thickBot="1">
      <c r="A13" s="141" t="s">
        <v>1776</v>
      </c>
      <c r="B13" s="142"/>
      <c r="C13" s="143"/>
      <c r="D13" s="144" t="s">
        <v>1777</v>
      </c>
      <c r="E13" s="141" t="s">
        <v>1776</v>
      </c>
      <c r="F13" s="142"/>
      <c r="G13" s="143"/>
      <c r="H13" s="144" t="s">
        <v>1777</v>
      </c>
    </row>
    <row r="14" spans="1:8" ht="15.75" thickBot="1">
      <c r="A14" s="141" t="s">
        <v>1778</v>
      </c>
      <c r="B14" s="142"/>
      <c r="C14" s="143"/>
      <c r="D14" s="144" t="s">
        <v>1779</v>
      </c>
      <c r="E14" s="141" t="s">
        <v>1778</v>
      </c>
      <c r="F14" s="142"/>
      <c r="G14" s="143"/>
      <c r="H14" s="144" t="s">
        <v>1779</v>
      </c>
    </row>
    <row r="15" spans="1:8" ht="15.75" thickBot="1">
      <c r="A15" s="141" t="s">
        <v>1780</v>
      </c>
      <c r="B15" s="142"/>
      <c r="C15" s="143"/>
      <c r="D15" s="144" t="s">
        <v>1781</v>
      </c>
      <c r="E15" s="141" t="s">
        <v>1780</v>
      </c>
      <c r="F15" s="142"/>
      <c r="G15" s="143"/>
      <c r="H15" s="144" t="s">
        <v>1781</v>
      </c>
    </row>
    <row r="16" spans="1:8" ht="15.75" thickBot="1">
      <c r="A16" s="141" t="s">
        <v>1782</v>
      </c>
      <c r="B16" s="142"/>
      <c r="C16" s="143"/>
      <c r="D16" s="144" t="s">
        <v>1783</v>
      </c>
      <c r="E16" s="141" t="s">
        <v>1782</v>
      </c>
      <c r="F16" s="142"/>
      <c r="G16" s="143"/>
      <c r="H16" s="144" t="s">
        <v>1783</v>
      </c>
    </row>
    <row r="17" spans="1:8" ht="15.75" thickBot="1">
      <c r="A17" s="141" t="s">
        <v>1784</v>
      </c>
      <c r="B17" s="142"/>
      <c r="C17" s="143"/>
      <c r="D17" s="144" t="s">
        <v>1785</v>
      </c>
      <c r="E17" s="141" t="s">
        <v>1784</v>
      </c>
      <c r="F17" s="142"/>
      <c r="G17" s="143"/>
      <c r="H17" s="144" t="s">
        <v>1785</v>
      </c>
    </row>
    <row r="18" spans="1:8" ht="15.75" thickBot="1">
      <c r="A18" s="141" t="s">
        <v>1786</v>
      </c>
      <c r="B18" s="142"/>
      <c r="C18" s="143"/>
      <c r="D18" s="144" t="s">
        <v>1787</v>
      </c>
      <c r="E18" s="141" t="s">
        <v>1786</v>
      </c>
      <c r="F18" s="142"/>
      <c r="G18" s="143"/>
      <c r="H18" s="144" t="s">
        <v>1787</v>
      </c>
    </row>
    <row r="19" spans="1:8" ht="15.75" thickBot="1">
      <c r="A19" s="141" t="s">
        <v>1788</v>
      </c>
      <c r="B19" s="142" t="s">
        <v>1789</v>
      </c>
      <c r="C19" s="143">
        <v>568022</v>
      </c>
      <c r="D19" s="144" t="s">
        <v>1790</v>
      </c>
      <c r="E19" s="141" t="s">
        <v>1788</v>
      </c>
      <c r="F19" s="142" t="s">
        <v>1789</v>
      </c>
      <c r="G19" s="143">
        <v>466822</v>
      </c>
      <c r="H19" s="144" t="s">
        <v>1790</v>
      </c>
    </row>
    <row r="20" spans="1:8" ht="15.75" thickBot="1">
      <c r="A20" s="141" t="s">
        <v>1791</v>
      </c>
      <c r="B20" s="142" t="s">
        <v>1792</v>
      </c>
      <c r="C20" s="143">
        <v>363645</v>
      </c>
      <c r="D20" s="144" t="s">
        <v>1793</v>
      </c>
      <c r="E20" s="141" t="s">
        <v>1791</v>
      </c>
      <c r="F20" s="142" t="s">
        <v>1792</v>
      </c>
      <c r="G20" s="143">
        <v>348616</v>
      </c>
      <c r="H20" s="144" t="s">
        <v>1793</v>
      </c>
    </row>
    <row r="21" spans="1:8" ht="15.75" thickBot="1">
      <c r="A21" s="141" t="s">
        <v>1794</v>
      </c>
      <c r="B21" s="142"/>
      <c r="C21" s="143"/>
      <c r="D21" s="144" t="s">
        <v>1795</v>
      </c>
      <c r="E21" s="141" t="s">
        <v>1794</v>
      </c>
      <c r="F21" s="142"/>
      <c r="G21" s="143"/>
      <c r="H21" s="144" t="s">
        <v>1795</v>
      </c>
    </row>
    <row r="22" spans="1:8" ht="15.75" thickBot="1">
      <c r="A22" s="141" t="s">
        <v>1796</v>
      </c>
      <c r="B22" s="142"/>
      <c r="C22" s="143"/>
      <c r="D22" s="144" t="s">
        <v>1797</v>
      </c>
      <c r="E22" s="141" t="s">
        <v>1796</v>
      </c>
      <c r="F22" s="142"/>
      <c r="G22" s="143"/>
      <c r="H22" s="144" t="s">
        <v>1797</v>
      </c>
    </row>
    <row r="23" spans="1:8" ht="15.75" thickBot="1">
      <c r="A23" s="141" t="s">
        <v>1798</v>
      </c>
      <c r="B23" s="142"/>
      <c r="C23" s="143"/>
      <c r="D23" s="144" t="s">
        <v>1799</v>
      </c>
      <c r="E23" s="141" t="s">
        <v>1798</v>
      </c>
      <c r="F23" s="142"/>
      <c r="G23" s="143"/>
      <c r="H23" s="144" t="s">
        <v>1799</v>
      </c>
    </row>
    <row r="24" spans="1:8" ht="15.75" thickBot="1">
      <c r="A24" s="141" t="s">
        <v>1800</v>
      </c>
      <c r="B24" s="142"/>
      <c r="C24" s="143"/>
      <c r="D24" s="144" t="s">
        <v>1801</v>
      </c>
      <c r="E24" s="141" t="s">
        <v>1800</v>
      </c>
      <c r="F24" s="142"/>
      <c r="G24" s="143"/>
      <c r="H24" s="144" t="s">
        <v>1801</v>
      </c>
    </row>
    <row r="25" spans="1:8" ht="15.75" thickBot="1">
      <c r="A25" s="141" t="s">
        <v>1802</v>
      </c>
      <c r="B25" s="142"/>
      <c r="C25" s="143"/>
      <c r="D25" s="144" t="s">
        <v>1803</v>
      </c>
      <c r="E25" s="141" t="s">
        <v>1802</v>
      </c>
      <c r="F25" s="142"/>
      <c r="G25" s="143"/>
      <c r="H25" s="144" t="s">
        <v>1803</v>
      </c>
    </row>
    <row r="26" spans="1:8" ht="15.75" thickBot="1">
      <c r="A26" s="141" t="s">
        <v>1804</v>
      </c>
      <c r="B26" s="142"/>
      <c r="C26" s="143"/>
      <c r="D26" s="144" t="s">
        <v>1805</v>
      </c>
      <c r="E26" s="141" t="s">
        <v>1804</v>
      </c>
      <c r="F26" s="142"/>
      <c r="G26" s="143"/>
      <c r="H26" s="144" t="s">
        <v>1805</v>
      </c>
    </row>
    <row r="27" spans="1:8" ht="15.75" thickBot="1">
      <c r="A27" s="141" t="s">
        <v>1806</v>
      </c>
      <c r="B27" s="142"/>
      <c r="C27" s="143"/>
      <c r="D27" s="144" t="s">
        <v>1807</v>
      </c>
      <c r="E27" s="141" t="s">
        <v>1806</v>
      </c>
      <c r="F27" s="142"/>
      <c r="G27" s="143"/>
      <c r="H27" s="144" t="s">
        <v>1807</v>
      </c>
    </row>
    <row r="28" spans="1:8" ht="15.75" thickBot="1">
      <c r="A28" s="141" t="s">
        <v>1808</v>
      </c>
      <c r="B28" s="142"/>
      <c r="C28" s="143"/>
      <c r="D28" s="144" t="s">
        <v>1809</v>
      </c>
      <c r="E28" s="141" t="s">
        <v>1808</v>
      </c>
      <c r="F28" s="142"/>
      <c r="G28" s="143"/>
      <c r="H28" s="144" t="s">
        <v>1809</v>
      </c>
    </row>
    <row r="29" spans="1:8" ht="26.25" thickBot="1">
      <c r="A29" s="141" t="s">
        <v>1810</v>
      </c>
      <c r="B29" s="142"/>
      <c r="C29" s="143"/>
      <c r="D29" s="144" t="s">
        <v>1811</v>
      </c>
      <c r="E29" s="141" t="s">
        <v>1810</v>
      </c>
      <c r="F29" s="142"/>
      <c r="G29" s="143"/>
      <c r="H29" s="144" t="s">
        <v>1811</v>
      </c>
    </row>
    <row r="30" spans="1:8" ht="15.75" thickBot="1">
      <c r="A30" s="141" t="s">
        <v>1812</v>
      </c>
      <c r="B30" s="142"/>
      <c r="C30" s="143">
        <v>931667</v>
      </c>
      <c r="D30" s="144" t="s">
        <v>1813</v>
      </c>
      <c r="E30" s="141" t="s">
        <v>1812</v>
      </c>
      <c r="F30" s="142"/>
      <c r="G30" s="143">
        <v>815438</v>
      </c>
      <c r="H30" s="144" t="s">
        <v>1813</v>
      </c>
    </row>
    <row r="31" spans="1:8" ht="15.75" thickBot="1">
      <c r="A31" s="141" t="s">
        <v>1814</v>
      </c>
      <c r="B31" s="142"/>
      <c r="C31" s="143">
        <v>931667</v>
      </c>
      <c r="D31" s="144" t="s">
        <v>1815</v>
      </c>
      <c r="E31" s="141" t="s">
        <v>1814</v>
      </c>
      <c r="F31" s="142"/>
      <c r="G31" s="143">
        <v>815438</v>
      </c>
      <c r="H31" s="144" t="s">
        <v>1815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4849328-D25C-4666-B26B-248AC46F8D55}">
      <formula1>-9.99999999999999E+33</formula1>
      <formula2>9.99999999999999E+33</formula2>
    </dataValidation>
    <dataValidation type="textLength" operator="greaterThan" allowBlank="1" showErrorMessage="1" errorTitle="Invalid Data Type" error="Please input data in String Data Type" sqref="B7:B31 F7:F31" xr:uid="{DB2D00F4-4BE2-4537-AF82-C3E33F6C51E7}">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C3C0D-07EC-45D5-904F-CE607FA23DDF}">
  <dimension ref="A1:N42"/>
  <sheetViews>
    <sheetView showGridLines="0" workbookViewId="0"/>
  </sheetViews>
  <sheetFormatPr defaultRowHeight="15"/>
  <cols>
    <col min="1" max="1" width="22.5" style="146" customWidth="1" collapsed="1"/>
    <col min="2" max="2" width="28.83203125" style="146" customWidth="1" collapsed="1"/>
    <col min="3" max="3" width="31.6640625" style="146" bestFit="1" customWidth="1" collapsed="1"/>
    <col min="4" max="4" width="40.1640625" style="146" bestFit="1" customWidth="1" collapsed="1"/>
    <col min="5" max="5" width="14" style="146" bestFit="1" customWidth="1" collapsed="1"/>
    <col min="6" max="6" width="22.5" style="146" customWidth="1" collapsed="1"/>
    <col min="7" max="7" width="28.83203125" style="146" customWidth="1" collapsed="1"/>
    <col min="8" max="8" width="31.6640625" style="146" bestFit="1" customWidth="1" collapsed="1"/>
    <col min="9" max="9" width="15.6640625" style="146" bestFit="1" customWidth="1" collapsed="1"/>
    <col min="10" max="10" width="20.33203125" style="146" bestFit="1" customWidth="1" collapsed="1"/>
    <col min="11" max="11" width="40.1640625" style="146" bestFit="1" customWidth="1" collapsed="1"/>
    <col min="12" max="13" width="14" style="146" bestFit="1" customWidth="1" collapsed="1"/>
    <col min="14" max="14" width="9.83203125" style="146" customWidth="1" collapsed="1"/>
    <col min="15" max="16384" width="9.33203125" style="146" collapsed="1"/>
  </cols>
  <sheetData>
    <row r="1" spans="1:10" ht="17.25">
      <c r="A1" s="145" t="s">
        <v>1816</v>
      </c>
    </row>
    <row r="3" spans="1:10" ht="17.25" customHeight="1">
      <c r="A3" s="330" t="s">
        <v>19</v>
      </c>
      <c r="B3" s="330"/>
      <c r="C3" s="330"/>
      <c r="D3" s="330"/>
      <c r="E3" s="330"/>
      <c r="F3" s="331" t="s">
        <v>106</v>
      </c>
      <c r="G3" s="331"/>
      <c r="H3" s="331"/>
      <c r="I3" s="331"/>
      <c r="J3" s="331"/>
    </row>
    <row r="4" spans="1:10" ht="34.5" customHeight="1">
      <c r="A4" s="330" t="s">
        <v>1817</v>
      </c>
      <c r="B4" s="330"/>
      <c r="C4" s="331" t="s">
        <v>1818</v>
      </c>
      <c r="D4" s="331"/>
      <c r="E4" s="331"/>
      <c r="F4" s="330" t="s">
        <v>1817</v>
      </c>
      <c r="G4" s="330"/>
      <c r="H4" s="331" t="s">
        <v>1818</v>
      </c>
      <c r="I4" s="331"/>
      <c r="J4" s="331"/>
    </row>
    <row r="5" spans="1:10" ht="23.25">
      <c r="A5" s="332"/>
      <c r="B5" s="332"/>
      <c r="C5" s="147" t="s">
        <v>1819</v>
      </c>
      <c r="D5" s="332"/>
      <c r="E5" s="332"/>
      <c r="F5" s="332"/>
      <c r="G5" s="332"/>
      <c r="H5" s="147" t="s">
        <v>1819</v>
      </c>
      <c r="I5" s="332"/>
      <c r="J5" s="332"/>
    </row>
    <row r="6" spans="1:10">
      <c r="A6" s="332"/>
      <c r="B6" s="332"/>
      <c r="C6" s="147" t="s">
        <v>1820</v>
      </c>
      <c r="D6" s="332"/>
      <c r="E6" s="332"/>
      <c r="F6" s="332"/>
      <c r="G6" s="332"/>
      <c r="H6" s="147" t="s">
        <v>1820</v>
      </c>
      <c r="I6" s="332"/>
      <c r="J6" s="332"/>
    </row>
    <row r="7" spans="1:10" ht="15.75" thickBot="1">
      <c r="A7" s="333" t="s">
        <v>1821</v>
      </c>
      <c r="B7" s="148" t="s">
        <v>1822</v>
      </c>
      <c r="C7" s="149">
        <v>177591</v>
      </c>
      <c r="D7" s="150" t="s">
        <v>1822</v>
      </c>
      <c r="E7" s="335" t="s">
        <v>1823</v>
      </c>
      <c r="F7" s="333" t="s">
        <v>1821</v>
      </c>
      <c r="G7" s="148" t="s">
        <v>1822</v>
      </c>
      <c r="H7" s="149">
        <v>123161</v>
      </c>
      <c r="I7" s="150" t="s">
        <v>1822</v>
      </c>
      <c r="J7" s="335" t="s">
        <v>1823</v>
      </c>
    </row>
    <row r="8" spans="1:10" ht="15.75" thickBot="1">
      <c r="A8" s="333"/>
      <c r="B8" s="148" t="s">
        <v>1824</v>
      </c>
      <c r="C8" s="149"/>
      <c r="D8" s="150" t="s">
        <v>1824</v>
      </c>
      <c r="E8" s="335"/>
      <c r="F8" s="333"/>
      <c r="G8" s="148" t="s">
        <v>1824</v>
      </c>
      <c r="H8" s="149"/>
      <c r="I8" s="150" t="s">
        <v>1824</v>
      </c>
      <c r="J8" s="335"/>
    </row>
    <row r="9" spans="1:10" ht="15.75" thickBot="1">
      <c r="A9" s="333"/>
      <c r="B9" s="148" t="s">
        <v>1825</v>
      </c>
      <c r="C9" s="149"/>
      <c r="D9" s="150" t="s">
        <v>1825</v>
      </c>
      <c r="E9" s="335"/>
      <c r="F9" s="333"/>
      <c r="G9" s="148" t="s">
        <v>1825</v>
      </c>
      <c r="H9" s="149"/>
      <c r="I9" s="150" t="s">
        <v>1825</v>
      </c>
      <c r="J9" s="335"/>
    </row>
    <row r="10" spans="1:10" ht="15.75" thickBot="1">
      <c r="A10" s="333"/>
      <c r="B10" s="148" t="s">
        <v>1826</v>
      </c>
      <c r="C10" s="149"/>
      <c r="D10" s="150" t="s">
        <v>1826</v>
      </c>
      <c r="E10" s="335"/>
      <c r="F10" s="333"/>
      <c r="G10" s="148" t="s">
        <v>1826</v>
      </c>
      <c r="H10" s="149"/>
      <c r="I10" s="150" t="s">
        <v>1826</v>
      </c>
      <c r="J10" s="335"/>
    </row>
    <row r="11" spans="1:10" ht="15.75" thickBot="1">
      <c r="A11" s="333"/>
      <c r="B11" s="148" t="s">
        <v>1827</v>
      </c>
      <c r="C11" s="149"/>
      <c r="D11" s="150" t="s">
        <v>1827</v>
      </c>
      <c r="E11" s="335"/>
      <c r="F11" s="333"/>
      <c r="G11" s="148" t="s">
        <v>1827</v>
      </c>
      <c r="H11" s="149"/>
      <c r="I11" s="150" t="s">
        <v>1827</v>
      </c>
      <c r="J11" s="335"/>
    </row>
    <row r="12" spans="1:10" ht="15.75" thickBot="1">
      <c r="A12" s="333"/>
      <c r="B12" s="148" t="s">
        <v>1828</v>
      </c>
      <c r="C12" s="149"/>
      <c r="D12" s="150" t="s">
        <v>1828</v>
      </c>
      <c r="E12" s="335"/>
      <c r="F12" s="333"/>
      <c r="G12" s="148" t="s">
        <v>1828</v>
      </c>
      <c r="H12" s="149"/>
      <c r="I12" s="150" t="s">
        <v>1828</v>
      </c>
      <c r="J12" s="335"/>
    </row>
    <row r="13" spans="1:10" ht="15.75" thickBot="1">
      <c r="A13" s="333"/>
      <c r="B13" s="148" t="s">
        <v>1829</v>
      </c>
      <c r="C13" s="149"/>
      <c r="D13" s="150" t="s">
        <v>1829</v>
      </c>
      <c r="E13" s="335"/>
      <c r="F13" s="333"/>
      <c r="G13" s="148" t="s">
        <v>1829</v>
      </c>
      <c r="H13" s="149"/>
      <c r="I13" s="150" t="s">
        <v>1829</v>
      </c>
      <c r="J13" s="335"/>
    </row>
    <row r="14" spans="1:10" ht="15.75" thickBot="1">
      <c r="A14" s="333"/>
      <c r="B14" s="148" t="s">
        <v>1830</v>
      </c>
      <c r="C14" s="149"/>
      <c r="D14" s="150" t="s">
        <v>1830</v>
      </c>
      <c r="E14" s="335"/>
      <c r="F14" s="333"/>
      <c r="G14" s="148" t="s">
        <v>1830</v>
      </c>
      <c r="H14" s="149"/>
      <c r="I14" s="150" t="s">
        <v>1830</v>
      </c>
      <c r="J14" s="335"/>
    </row>
    <row r="15" spans="1:10" ht="15.75" thickBot="1">
      <c r="A15" s="333"/>
      <c r="B15" s="148" t="s">
        <v>1831</v>
      </c>
      <c r="C15" s="149"/>
      <c r="D15" s="150" t="s">
        <v>1831</v>
      </c>
      <c r="E15" s="335"/>
      <c r="F15" s="333"/>
      <c r="G15" s="148" t="s">
        <v>1831</v>
      </c>
      <c r="H15" s="149"/>
      <c r="I15" s="150" t="s">
        <v>1831</v>
      </c>
      <c r="J15" s="335"/>
    </row>
    <row r="16" spans="1:10" ht="15.75" thickBot="1">
      <c r="A16" s="333"/>
      <c r="B16" s="148" t="s">
        <v>1832</v>
      </c>
      <c r="C16" s="149"/>
      <c r="D16" s="150" t="s">
        <v>1832</v>
      </c>
      <c r="E16" s="335"/>
      <c r="F16" s="333"/>
      <c r="G16" s="148" t="s">
        <v>1832</v>
      </c>
      <c r="H16" s="149"/>
      <c r="I16" s="150" t="s">
        <v>1832</v>
      </c>
      <c r="J16" s="335"/>
    </row>
    <row r="17" spans="1:10" ht="15.75" thickBot="1">
      <c r="A17" s="333"/>
      <c r="B17" s="148" t="s">
        <v>1833</v>
      </c>
      <c r="C17" s="149">
        <v>7363</v>
      </c>
      <c r="D17" s="150" t="s">
        <v>1833</v>
      </c>
      <c r="E17" s="335"/>
      <c r="F17" s="333"/>
      <c r="G17" s="148" t="s">
        <v>1833</v>
      </c>
      <c r="H17" s="149">
        <v>7352</v>
      </c>
      <c r="I17" s="150" t="s">
        <v>1833</v>
      </c>
      <c r="J17" s="335"/>
    </row>
    <row r="18" spans="1:10" ht="15.75" thickBot="1">
      <c r="A18" s="333"/>
      <c r="B18" s="148" t="s">
        <v>1834</v>
      </c>
      <c r="C18" s="149"/>
      <c r="D18" s="150" t="s">
        <v>1835</v>
      </c>
      <c r="E18" s="335"/>
      <c r="F18" s="333"/>
      <c r="G18" s="148" t="s">
        <v>1834</v>
      </c>
      <c r="H18" s="149"/>
      <c r="I18" s="150" t="s">
        <v>1835</v>
      </c>
      <c r="J18" s="335"/>
    </row>
    <row r="19" spans="1:10" ht="15.75" thickBot="1">
      <c r="A19" s="334"/>
      <c r="B19" s="148" t="s">
        <v>1836</v>
      </c>
      <c r="C19" s="149">
        <v>184954</v>
      </c>
      <c r="D19" s="150" t="s">
        <v>1837</v>
      </c>
      <c r="E19" s="336"/>
      <c r="F19" s="334"/>
      <c r="G19" s="148" t="s">
        <v>1836</v>
      </c>
      <c r="H19" s="149">
        <v>130513</v>
      </c>
      <c r="I19" s="150" t="s">
        <v>1837</v>
      </c>
      <c r="J19" s="336"/>
    </row>
    <row r="20" spans="1:10" ht="15.75" thickBot="1">
      <c r="A20" s="337" t="s">
        <v>1838</v>
      </c>
      <c r="B20" s="148" t="s">
        <v>1822</v>
      </c>
      <c r="C20" s="149">
        <v>279416</v>
      </c>
      <c r="D20" s="150" t="s">
        <v>1822</v>
      </c>
      <c r="E20" s="338" t="s">
        <v>1839</v>
      </c>
      <c r="F20" s="337" t="s">
        <v>1838</v>
      </c>
      <c r="G20" s="148" t="s">
        <v>1822</v>
      </c>
      <c r="H20" s="149">
        <v>286551</v>
      </c>
      <c r="I20" s="150" t="s">
        <v>1822</v>
      </c>
      <c r="J20" s="338" t="s">
        <v>1839</v>
      </c>
    </row>
    <row r="21" spans="1:10" ht="15.75" thickBot="1">
      <c r="A21" s="333"/>
      <c r="B21" s="148" t="s">
        <v>1824</v>
      </c>
      <c r="C21" s="149"/>
      <c r="D21" s="150" t="s">
        <v>1824</v>
      </c>
      <c r="E21" s="335"/>
      <c r="F21" s="333"/>
      <c r="G21" s="148" t="s">
        <v>1824</v>
      </c>
      <c r="H21" s="149"/>
      <c r="I21" s="150" t="s">
        <v>1824</v>
      </c>
      <c r="J21" s="335"/>
    </row>
    <row r="22" spans="1:10" ht="15.75" thickBot="1">
      <c r="A22" s="333"/>
      <c r="B22" s="148" t="s">
        <v>1825</v>
      </c>
      <c r="C22" s="149"/>
      <c r="D22" s="150" t="s">
        <v>1825</v>
      </c>
      <c r="E22" s="335"/>
      <c r="F22" s="333"/>
      <c r="G22" s="148" t="s">
        <v>1825</v>
      </c>
      <c r="H22" s="149"/>
      <c r="I22" s="150" t="s">
        <v>1825</v>
      </c>
      <c r="J22" s="335"/>
    </row>
    <row r="23" spans="1:10" ht="15.75" thickBot="1">
      <c r="A23" s="333"/>
      <c r="B23" s="148" t="s">
        <v>1826</v>
      </c>
      <c r="C23" s="149">
        <v>7424</v>
      </c>
      <c r="D23" s="150" t="s">
        <v>1826</v>
      </c>
      <c r="E23" s="335"/>
      <c r="F23" s="333"/>
      <c r="G23" s="148" t="s">
        <v>1826</v>
      </c>
      <c r="H23" s="149">
        <v>5197</v>
      </c>
      <c r="I23" s="150" t="s">
        <v>1826</v>
      </c>
      <c r="J23" s="335"/>
    </row>
    <row r="24" spans="1:10" ht="15.75" thickBot="1">
      <c r="A24" s="333"/>
      <c r="B24" s="148" t="s">
        <v>1827</v>
      </c>
      <c r="C24" s="149"/>
      <c r="D24" s="150" t="s">
        <v>1827</v>
      </c>
      <c r="E24" s="335"/>
      <c r="F24" s="333"/>
      <c r="G24" s="148" t="s">
        <v>1827</v>
      </c>
      <c r="H24" s="149"/>
      <c r="I24" s="150" t="s">
        <v>1827</v>
      </c>
      <c r="J24" s="335"/>
    </row>
    <row r="25" spans="1:10" ht="15.75" thickBot="1">
      <c r="A25" s="333"/>
      <c r="B25" s="148" t="s">
        <v>1828</v>
      </c>
      <c r="C25" s="149"/>
      <c r="D25" s="150" t="s">
        <v>1828</v>
      </c>
      <c r="E25" s="335"/>
      <c r="F25" s="333"/>
      <c r="G25" s="148" t="s">
        <v>1828</v>
      </c>
      <c r="H25" s="149"/>
      <c r="I25" s="150" t="s">
        <v>1828</v>
      </c>
      <c r="J25" s="335"/>
    </row>
    <row r="26" spans="1:10" ht="15.75" thickBot="1">
      <c r="A26" s="333"/>
      <c r="B26" s="148" t="s">
        <v>1829</v>
      </c>
      <c r="C26" s="149"/>
      <c r="D26" s="150" t="s">
        <v>1829</v>
      </c>
      <c r="E26" s="335"/>
      <c r="F26" s="333"/>
      <c r="G26" s="148" t="s">
        <v>1829</v>
      </c>
      <c r="H26" s="149"/>
      <c r="I26" s="150" t="s">
        <v>1829</v>
      </c>
      <c r="J26" s="335"/>
    </row>
    <row r="27" spans="1:10" ht="15.75" thickBot="1">
      <c r="A27" s="333"/>
      <c r="B27" s="148" t="s">
        <v>1830</v>
      </c>
      <c r="C27" s="149"/>
      <c r="D27" s="150" t="s">
        <v>1830</v>
      </c>
      <c r="E27" s="335"/>
      <c r="F27" s="333"/>
      <c r="G27" s="148" t="s">
        <v>1830</v>
      </c>
      <c r="H27" s="149"/>
      <c r="I27" s="150" t="s">
        <v>1830</v>
      </c>
      <c r="J27" s="335"/>
    </row>
    <row r="28" spans="1:10" ht="15.75" thickBot="1">
      <c r="A28" s="333"/>
      <c r="B28" s="148" t="s">
        <v>1831</v>
      </c>
      <c r="C28" s="149"/>
      <c r="D28" s="150" t="s">
        <v>1831</v>
      </c>
      <c r="E28" s="335"/>
      <c r="F28" s="333"/>
      <c r="G28" s="148" t="s">
        <v>1831</v>
      </c>
      <c r="H28" s="149"/>
      <c r="I28" s="150" t="s">
        <v>1831</v>
      </c>
      <c r="J28" s="335"/>
    </row>
    <row r="29" spans="1:10" ht="15.75" thickBot="1">
      <c r="A29" s="333"/>
      <c r="B29" s="148" t="s">
        <v>1832</v>
      </c>
      <c r="C29" s="149"/>
      <c r="D29" s="150" t="s">
        <v>1832</v>
      </c>
      <c r="E29" s="335"/>
      <c r="F29" s="333"/>
      <c r="G29" s="148" t="s">
        <v>1832</v>
      </c>
      <c r="H29" s="149"/>
      <c r="I29" s="150" t="s">
        <v>1832</v>
      </c>
      <c r="J29" s="335"/>
    </row>
    <row r="30" spans="1:10" ht="15.75" thickBot="1">
      <c r="A30" s="333"/>
      <c r="B30" s="148" t="s">
        <v>1833</v>
      </c>
      <c r="C30" s="149"/>
      <c r="D30" s="150" t="s">
        <v>1833</v>
      </c>
      <c r="E30" s="335"/>
      <c r="F30" s="333"/>
      <c r="G30" s="148" t="s">
        <v>1833</v>
      </c>
      <c r="H30" s="149"/>
      <c r="I30" s="150" t="s">
        <v>1833</v>
      </c>
      <c r="J30" s="335"/>
    </row>
    <row r="31" spans="1:10" ht="15.75" thickBot="1">
      <c r="A31" s="333"/>
      <c r="B31" s="148" t="s">
        <v>1834</v>
      </c>
      <c r="C31" s="149"/>
      <c r="D31" s="150" t="s">
        <v>1835</v>
      </c>
      <c r="E31" s="335"/>
      <c r="F31" s="333"/>
      <c r="G31" s="148" t="s">
        <v>1834</v>
      </c>
      <c r="H31" s="149"/>
      <c r="I31" s="150" t="s">
        <v>1835</v>
      </c>
      <c r="J31" s="335"/>
    </row>
    <row r="32" spans="1:10" ht="15.75" thickBot="1">
      <c r="A32" s="334"/>
      <c r="B32" s="148" t="s">
        <v>1836</v>
      </c>
      <c r="C32" s="149">
        <v>286840</v>
      </c>
      <c r="D32" s="150" t="s">
        <v>1837</v>
      </c>
      <c r="E32" s="336"/>
      <c r="F32" s="334"/>
      <c r="G32" s="148" t="s">
        <v>1836</v>
      </c>
      <c r="H32" s="149">
        <v>291748</v>
      </c>
      <c r="I32" s="150" t="s">
        <v>1837</v>
      </c>
      <c r="J32" s="336"/>
    </row>
    <row r="33" spans="1:14" ht="17.25" customHeight="1">
      <c r="A33" s="339" t="s">
        <v>19</v>
      </c>
      <c r="B33" s="339"/>
      <c r="C33" s="339"/>
      <c r="D33" s="339"/>
      <c r="E33" s="339"/>
      <c r="F33" s="339"/>
      <c r="G33" s="339"/>
      <c r="H33" s="331" t="s">
        <v>106</v>
      </c>
      <c r="I33" s="331"/>
      <c r="J33" s="331"/>
      <c r="K33" s="331"/>
      <c r="L33" s="331"/>
      <c r="M33" s="331"/>
      <c r="N33" s="331"/>
    </row>
    <row r="34" spans="1:14" ht="17.25" customHeight="1">
      <c r="A34" s="330" t="s">
        <v>1817</v>
      </c>
      <c r="B34" s="330"/>
      <c r="C34" s="330"/>
      <c r="D34" s="331" t="s">
        <v>1818</v>
      </c>
      <c r="E34" s="331"/>
      <c r="F34" s="331"/>
      <c r="G34" s="331"/>
      <c r="H34" s="330" t="s">
        <v>1817</v>
      </c>
      <c r="I34" s="330"/>
      <c r="J34" s="330"/>
      <c r="K34" s="331" t="s">
        <v>1818</v>
      </c>
      <c r="L34" s="331"/>
      <c r="M34" s="331"/>
      <c r="N34" s="331"/>
    </row>
    <row r="35" spans="1:14">
      <c r="A35" s="332"/>
      <c r="B35" s="332"/>
      <c r="C35" s="340" t="s">
        <v>1819</v>
      </c>
      <c r="D35" s="340"/>
      <c r="E35" s="340"/>
      <c r="F35" s="332"/>
      <c r="G35" s="332"/>
      <c r="H35" s="332"/>
      <c r="I35" s="332"/>
      <c r="J35" s="340" t="s">
        <v>1819</v>
      </c>
      <c r="K35" s="340"/>
      <c r="L35" s="340"/>
      <c r="M35" s="332"/>
      <c r="N35" s="332"/>
    </row>
    <row r="36" spans="1:14" ht="23.25">
      <c r="A36" s="332"/>
      <c r="B36" s="332"/>
      <c r="C36" s="147" t="s">
        <v>1820</v>
      </c>
      <c r="D36" s="147" t="s">
        <v>1840</v>
      </c>
      <c r="E36" s="147" t="s">
        <v>453</v>
      </c>
      <c r="F36" s="332"/>
      <c r="G36" s="332"/>
      <c r="H36" s="332"/>
      <c r="I36" s="332"/>
      <c r="J36" s="147" t="s">
        <v>1820</v>
      </c>
      <c r="K36" s="147" t="s">
        <v>1840</v>
      </c>
      <c r="L36" s="147" t="s">
        <v>453</v>
      </c>
      <c r="M36" s="332"/>
      <c r="N36" s="332"/>
    </row>
    <row r="37" spans="1:14" ht="15.75" thickBot="1">
      <c r="A37" s="148" t="s">
        <v>1821</v>
      </c>
      <c r="B37" s="148" t="s">
        <v>1836</v>
      </c>
      <c r="C37" s="149">
        <v>184954</v>
      </c>
      <c r="D37" s="151">
        <v>122967</v>
      </c>
      <c r="E37" s="149">
        <v>61987</v>
      </c>
      <c r="F37" s="150" t="s">
        <v>1823</v>
      </c>
      <c r="G37" s="150" t="s">
        <v>1837</v>
      </c>
      <c r="H37" s="148" t="s">
        <v>1821</v>
      </c>
      <c r="I37" s="148" t="s">
        <v>1836</v>
      </c>
      <c r="J37" s="149">
        <v>130513</v>
      </c>
      <c r="K37" s="151">
        <v>122754</v>
      </c>
      <c r="L37" s="149">
        <v>7759</v>
      </c>
      <c r="M37" s="150" t="s">
        <v>1823</v>
      </c>
      <c r="N37" s="150" t="s">
        <v>1837</v>
      </c>
    </row>
    <row r="38" spans="1:14" ht="17.25" customHeight="1">
      <c r="A38" s="339" t="s">
        <v>19</v>
      </c>
      <c r="B38" s="339"/>
      <c r="C38" s="339"/>
      <c r="D38" s="339"/>
      <c r="E38" s="339"/>
      <c r="F38" s="339"/>
      <c r="G38" s="339"/>
      <c r="H38" s="341" t="s">
        <v>106</v>
      </c>
      <c r="I38" s="341"/>
      <c r="J38" s="341"/>
      <c r="K38" s="341"/>
      <c r="L38" s="341"/>
      <c r="M38" s="341"/>
      <c r="N38" s="341"/>
    </row>
    <row r="39" spans="1:14" ht="17.25" customHeight="1">
      <c r="A39" s="330" t="s">
        <v>1817</v>
      </c>
      <c r="B39" s="330"/>
      <c r="C39" s="330"/>
      <c r="D39" s="331" t="s">
        <v>1818</v>
      </c>
      <c r="E39" s="331"/>
      <c r="F39" s="331"/>
      <c r="G39" s="331"/>
      <c r="H39" s="330" t="s">
        <v>1817</v>
      </c>
      <c r="I39" s="330"/>
      <c r="J39" s="330"/>
      <c r="K39" s="331" t="s">
        <v>1818</v>
      </c>
      <c r="L39" s="331"/>
      <c r="M39" s="331"/>
      <c r="N39" s="331"/>
    </row>
    <row r="40" spans="1:14">
      <c r="A40" s="332"/>
      <c r="B40" s="332"/>
      <c r="C40" s="340" t="s">
        <v>1819</v>
      </c>
      <c r="D40" s="340"/>
      <c r="E40" s="340"/>
      <c r="F40" s="332"/>
      <c r="G40" s="332"/>
      <c r="H40" s="332"/>
      <c r="I40" s="332"/>
      <c r="J40" s="340" t="s">
        <v>1819</v>
      </c>
      <c r="K40" s="340"/>
      <c r="L40" s="340"/>
      <c r="M40" s="332"/>
      <c r="N40" s="332"/>
    </row>
    <row r="41" spans="1:14" ht="23.25">
      <c r="A41" s="332"/>
      <c r="B41" s="332"/>
      <c r="C41" s="147" t="s">
        <v>1820</v>
      </c>
      <c r="D41" s="147" t="s">
        <v>1840</v>
      </c>
      <c r="E41" s="147" t="s">
        <v>453</v>
      </c>
      <c r="F41" s="332"/>
      <c r="G41" s="332"/>
      <c r="H41" s="332"/>
      <c r="I41" s="332"/>
      <c r="J41" s="147" t="s">
        <v>1820</v>
      </c>
      <c r="K41" s="147" t="s">
        <v>1840</v>
      </c>
      <c r="L41" s="147" t="s">
        <v>453</v>
      </c>
      <c r="M41" s="332"/>
      <c r="N41" s="332"/>
    </row>
    <row r="42" spans="1:14" ht="26.25" thickBot="1">
      <c r="A42" s="148" t="s">
        <v>1838</v>
      </c>
      <c r="B42" s="148" t="s">
        <v>1836</v>
      </c>
      <c r="C42" s="149">
        <v>286840</v>
      </c>
      <c r="D42" s="151">
        <v>0</v>
      </c>
      <c r="E42" s="149">
        <v>286840</v>
      </c>
      <c r="F42" s="150" t="s">
        <v>1839</v>
      </c>
      <c r="G42" s="150" t="s">
        <v>1837</v>
      </c>
      <c r="H42" s="148" t="s">
        <v>1838</v>
      </c>
      <c r="I42" s="148" t="s">
        <v>1836</v>
      </c>
      <c r="J42" s="149">
        <v>291748</v>
      </c>
      <c r="K42" s="151">
        <v>0</v>
      </c>
      <c r="L42" s="149">
        <v>291748</v>
      </c>
      <c r="M42" s="150" t="s">
        <v>1839</v>
      </c>
      <c r="N42" s="150" t="s">
        <v>1837</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C6EFDD95-FC29-4F5F-A01A-9B782417C828}">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3AC404-61AE-408B-BAA2-DA83FF02233F}">
  <dimension ref="A1:N47"/>
  <sheetViews>
    <sheetView showGridLines="0" workbookViewId="0"/>
  </sheetViews>
  <sheetFormatPr defaultRowHeight="15"/>
  <cols>
    <col min="1" max="1" width="23.6640625" style="153" customWidth="1" collapsed="1"/>
    <col min="2" max="2" width="23" style="153" customWidth="1" collapsed="1"/>
    <col min="3" max="3" width="31.6640625" style="153" bestFit="1" customWidth="1" collapsed="1"/>
    <col min="4" max="4" width="40.1640625" style="153" bestFit="1" customWidth="1" collapsed="1"/>
    <col min="5" max="5" width="14" style="153" bestFit="1" customWidth="1" collapsed="1"/>
    <col min="6" max="6" width="23.6640625" style="153" customWidth="1" collapsed="1"/>
    <col min="7" max="7" width="23" style="153" customWidth="1" collapsed="1"/>
    <col min="8" max="8" width="31.6640625" style="153" bestFit="1" customWidth="1" collapsed="1"/>
    <col min="9" max="9" width="20.6640625" style="153" bestFit="1" customWidth="1" collapsed="1"/>
    <col min="10" max="10" width="20.33203125" style="153" bestFit="1" customWidth="1" collapsed="1"/>
    <col min="11" max="11" width="40.1640625" style="153" bestFit="1" customWidth="1" collapsed="1"/>
    <col min="12" max="12" width="14" style="153" bestFit="1" customWidth="1" collapsed="1"/>
    <col min="13" max="13" width="6.6640625" style="153" customWidth="1" collapsed="1"/>
    <col min="14" max="14" width="11.6640625" style="153" bestFit="1" customWidth="1" collapsed="1"/>
    <col min="15" max="16384" width="9.33203125" style="153" collapsed="1"/>
  </cols>
  <sheetData>
    <row r="1" spans="1:10" ht="17.25">
      <c r="A1" s="152" t="s">
        <v>1841</v>
      </c>
    </row>
    <row r="3" spans="1:10" ht="17.25" customHeight="1">
      <c r="A3" s="342" t="s">
        <v>19</v>
      </c>
      <c r="B3" s="342"/>
      <c r="C3" s="342"/>
      <c r="D3" s="342"/>
      <c r="E3" s="342"/>
      <c r="F3" s="343" t="s">
        <v>106</v>
      </c>
      <c r="G3" s="343"/>
      <c r="H3" s="343"/>
      <c r="I3" s="343"/>
      <c r="J3" s="343"/>
    </row>
    <row r="4" spans="1:10" ht="34.5" customHeight="1">
      <c r="A4" s="342" t="s">
        <v>1842</v>
      </c>
      <c r="B4" s="342"/>
      <c r="C4" s="343" t="s">
        <v>1843</v>
      </c>
      <c r="D4" s="343"/>
      <c r="E4" s="343"/>
      <c r="F4" s="342" t="s">
        <v>1842</v>
      </c>
      <c r="G4" s="342"/>
      <c r="H4" s="343" t="s">
        <v>1843</v>
      </c>
      <c r="I4" s="343"/>
      <c r="J4" s="343"/>
    </row>
    <row r="5" spans="1:10" ht="23.25">
      <c r="A5" s="344"/>
      <c r="B5" s="344"/>
      <c r="C5" s="154" t="s">
        <v>1819</v>
      </c>
      <c r="D5" s="344"/>
      <c r="E5" s="344"/>
      <c r="F5" s="344"/>
      <c r="G5" s="344"/>
      <c r="H5" s="154" t="s">
        <v>1819</v>
      </c>
      <c r="I5" s="344"/>
      <c r="J5" s="344"/>
    </row>
    <row r="6" spans="1:10">
      <c r="A6" s="344"/>
      <c r="B6" s="344"/>
      <c r="C6" s="154" t="s">
        <v>1820</v>
      </c>
      <c r="D6" s="344"/>
      <c r="E6" s="344"/>
      <c r="F6" s="344"/>
      <c r="G6" s="344"/>
      <c r="H6" s="154" t="s">
        <v>1820</v>
      </c>
      <c r="I6" s="344"/>
      <c r="J6" s="344"/>
    </row>
    <row r="7" spans="1:10" ht="15.75" thickBot="1">
      <c r="A7" s="155" t="s">
        <v>1844</v>
      </c>
      <c r="B7" s="155" t="s">
        <v>1845</v>
      </c>
      <c r="C7" s="156">
        <v>287582</v>
      </c>
      <c r="D7" s="157" t="s">
        <v>1846</v>
      </c>
      <c r="E7" s="157" t="s">
        <v>1847</v>
      </c>
      <c r="F7" s="155" t="s">
        <v>1844</v>
      </c>
      <c r="G7" s="155" t="s">
        <v>1845</v>
      </c>
      <c r="H7" s="156">
        <v>229307</v>
      </c>
      <c r="I7" s="157" t="s">
        <v>1846</v>
      </c>
      <c r="J7" s="157" t="s">
        <v>1847</v>
      </c>
    </row>
    <row r="8" spans="1:10" ht="17.25" customHeight="1">
      <c r="A8" s="350" t="s">
        <v>19</v>
      </c>
      <c r="B8" s="350"/>
      <c r="C8" s="350"/>
      <c r="D8" s="350"/>
      <c r="E8" s="350"/>
      <c r="F8" s="351" t="s">
        <v>106</v>
      </c>
      <c r="G8" s="351"/>
      <c r="H8" s="351"/>
      <c r="I8" s="351"/>
      <c r="J8" s="351"/>
    </row>
    <row r="9" spans="1:10" ht="34.5" customHeight="1">
      <c r="A9" s="342" t="s">
        <v>1842</v>
      </c>
      <c r="B9" s="342"/>
      <c r="C9" s="343" t="s">
        <v>1843</v>
      </c>
      <c r="D9" s="343"/>
      <c r="E9" s="343"/>
      <c r="F9" s="342" t="s">
        <v>1842</v>
      </c>
      <c r="G9" s="342"/>
      <c r="H9" s="343" t="s">
        <v>1843</v>
      </c>
      <c r="I9" s="343"/>
      <c r="J9" s="343"/>
    </row>
    <row r="10" spans="1:10" ht="23.25">
      <c r="A10" s="344"/>
      <c r="B10" s="344"/>
      <c r="C10" s="154" t="s">
        <v>1819</v>
      </c>
      <c r="D10" s="344"/>
      <c r="E10" s="344"/>
      <c r="F10" s="344"/>
      <c r="G10" s="344"/>
      <c r="H10" s="154" t="s">
        <v>1819</v>
      </c>
      <c r="I10" s="344"/>
      <c r="J10" s="344"/>
    </row>
    <row r="11" spans="1:10">
      <c r="A11" s="344"/>
      <c r="B11" s="344"/>
      <c r="C11" s="154" t="s">
        <v>1820</v>
      </c>
      <c r="D11" s="344"/>
      <c r="E11" s="344"/>
      <c r="F11" s="344"/>
      <c r="G11" s="344"/>
      <c r="H11" s="154" t="s">
        <v>1820</v>
      </c>
      <c r="I11" s="344"/>
      <c r="J11" s="344"/>
    </row>
    <row r="12" spans="1:10" ht="15.75" thickBot="1">
      <c r="A12" s="346" t="s">
        <v>1848</v>
      </c>
      <c r="B12" s="155" t="s">
        <v>1849</v>
      </c>
      <c r="C12" s="156">
        <v>61009</v>
      </c>
      <c r="D12" s="157" t="s">
        <v>1850</v>
      </c>
      <c r="E12" s="348" t="s">
        <v>1851</v>
      </c>
      <c r="F12" s="346" t="s">
        <v>1848</v>
      </c>
      <c r="G12" s="155" t="s">
        <v>1849</v>
      </c>
      <c r="H12" s="156">
        <v>68442</v>
      </c>
      <c r="I12" s="157" t="s">
        <v>1850</v>
      </c>
      <c r="J12" s="348" t="s">
        <v>1851</v>
      </c>
    </row>
    <row r="13" spans="1:10" ht="15.75" thickBot="1">
      <c r="A13" s="346"/>
      <c r="B13" s="155" t="s">
        <v>1852</v>
      </c>
      <c r="C13" s="156"/>
      <c r="D13" s="157" t="s">
        <v>1853</v>
      </c>
      <c r="E13" s="348"/>
      <c r="F13" s="346"/>
      <c r="G13" s="155" t="s">
        <v>1852</v>
      </c>
      <c r="H13" s="156"/>
      <c r="I13" s="157" t="s">
        <v>1853</v>
      </c>
      <c r="J13" s="348"/>
    </row>
    <row r="14" spans="1:10" ht="15.75" thickBot="1">
      <c r="A14" s="346"/>
      <c r="B14" s="155" t="s">
        <v>1854</v>
      </c>
      <c r="C14" s="156"/>
      <c r="D14" s="157" t="s">
        <v>1855</v>
      </c>
      <c r="E14" s="348"/>
      <c r="F14" s="346"/>
      <c r="G14" s="155" t="s">
        <v>1854</v>
      </c>
      <c r="H14" s="156"/>
      <c r="I14" s="157" t="s">
        <v>1855</v>
      </c>
      <c r="J14" s="348"/>
    </row>
    <row r="15" spans="1:10" ht="15.75" thickBot="1">
      <c r="A15" s="346"/>
      <c r="B15" s="155" t="s">
        <v>1856</v>
      </c>
      <c r="C15" s="156"/>
      <c r="D15" s="157" t="s">
        <v>1857</v>
      </c>
      <c r="E15" s="348"/>
      <c r="F15" s="346"/>
      <c r="G15" s="155" t="s">
        <v>1856</v>
      </c>
      <c r="H15" s="156"/>
      <c r="I15" s="157" t="s">
        <v>1857</v>
      </c>
      <c r="J15" s="348"/>
    </row>
    <row r="16" spans="1:10" ht="15.75" thickBot="1">
      <c r="A16" s="346"/>
      <c r="B16" s="155" t="s">
        <v>1858</v>
      </c>
      <c r="C16" s="156"/>
      <c r="D16" s="157" t="s">
        <v>1859</v>
      </c>
      <c r="E16" s="348"/>
      <c r="F16" s="346"/>
      <c r="G16" s="155" t="s">
        <v>1858</v>
      </c>
      <c r="H16" s="156"/>
      <c r="I16" s="157" t="s">
        <v>1859</v>
      </c>
      <c r="J16" s="348"/>
    </row>
    <row r="17" spans="1:10" ht="15.75" thickBot="1">
      <c r="A17" s="346"/>
      <c r="B17" s="155" t="s">
        <v>1860</v>
      </c>
      <c r="C17" s="156">
        <v>232</v>
      </c>
      <c r="D17" s="157" t="s">
        <v>1861</v>
      </c>
      <c r="E17" s="348"/>
      <c r="F17" s="346"/>
      <c r="G17" s="155" t="s">
        <v>1860</v>
      </c>
      <c r="H17" s="156">
        <v>1410</v>
      </c>
      <c r="I17" s="157" t="s">
        <v>1861</v>
      </c>
      <c r="J17" s="348"/>
    </row>
    <row r="18" spans="1:10" ht="15.75" thickBot="1">
      <c r="A18" s="346"/>
      <c r="B18" s="155" t="s">
        <v>1862</v>
      </c>
      <c r="C18" s="156"/>
      <c r="D18" s="157" t="s">
        <v>1863</v>
      </c>
      <c r="E18" s="348"/>
      <c r="F18" s="346"/>
      <c r="G18" s="155" t="s">
        <v>1862</v>
      </c>
      <c r="H18" s="156"/>
      <c r="I18" s="157" t="s">
        <v>1863</v>
      </c>
      <c r="J18" s="348"/>
    </row>
    <row r="19" spans="1:10" ht="15.75" thickBot="1">
      <c r="A19" s="346"/>
      <c r="B19" s="155" t="s">
        <v>1864</v>
      </c>
      <c r="C19" s="156"/>
      <c r="D19" s="157" t="s">
        <v>1865</v>
      </c>
      <c r="E19" s="348"/>
      <c r="F19" s="346"/>
      <c r="G19" s="155" t="s">
        <v>1864</v>
      </c>
      <c r="H19" s="156"/>
      <c r="I19" s="157" t="s">
        <v>1865</v>
      </c>
      <c r="J19" s="348"/>
    </row>
    <row r="20" spans="1:10" ht="15.75" thickBot="1">
      <c r="A20" s="346"/>
      <c r="B20" s="155" t="s">
        <v>1866</v>
      </c>
      <c r="C20" s="156">
        <v>5</v>
      </c>
      <c r="D20" s="157" t="s">
        <v>1867</v>
      </c>
      <c r="E20" s="348"/>
      <c r="F20" s="346"/>
      <c r="G20" s="155" t="s">
        <v>1866</v>
      </c>
      <c r="H20" s="156">
        <v>348</v>
      </c>
      <c r="I20" s="157" t="s">
        <v>1867</v>
      </c>
      <c r="J20" s="348"/>
    </row>
    <row r="21" spans="1:10" ht="15.75" thickBot="1">
      <c r="A21" s="346"/>
      <c r="B21" s="155" t="s">
        <v>1868</v>
      </c>
      <c r="C21" s="156"/>
      <c r="D21" s="157" t="s">
        <v>1869</v>
      </c>
      <c r="E21" s="348"/>
      <c r="F21" s="346"/>
      <c r="G21" s="155" t="s">
        <v>1868</v>
      </c>
      <c r="H21" s="156"/>
      <c r="I21" s="157" t="s">
        <v>1869</v>
      </c>
      <c r="J21" s="348"/>
    </row>
    <row r="22" spans="1:10" ht="15.75" thickBot="1">
      <c r="A22" s="346"/>
      <c r="B22" s="155" t="s">
        <v>1870</v>
      </c>
      <c r="C22" s="156"/>
      <c r="D22" s="157" t="s">
        <v>1871</v>
      </c>
      <c r="E22" s="348"/>
      <c r="F22" s="346"/>
      <c r="G22" s="155" t="s">
        <v>1870</v>
      </c>
      <c r="H22" s="156"/>
      <c r="I22" s="157" t="s">
        <v>1871</v>
      </c>
      <c r="J22" s="348"/>
    </row>
    <row r="23" spans="1:10" ht="15.75" thickBot="1">
      <c r="A23" s="346"/>
      <c r="B23" s="155" t="s">
        <v>1872</v>
      </c>
      <c r="C23" s="156"/>
      <c r="D23" s="157" t="s">
        <v>1873</v>
      </c>
      <c r="E23" s="348"/>
      <c r="F23" s="346"/>
      <c r="G23" s="155" t="s">
        <v>1872</v>
      </c>
      <c r="H23" s="156"/>
      <c r="I23" s="157" t="s">
        <v>1873</v>
      </c>
      <c r="J23" s="348"/>
    </row>
    <row r="24" spans="1:10" ht="15.75" thickBot="1">
      <c r="A24" s="346"/>
      <c r="B24" s="155" t="s">
        <v>1874</v>
      </c>
      <c r="C24" s="156"/>
      <c r="D24" s="157" t="s">
        <v>1875</v>
      </c>
      <c r="E24" s="348"/>
      <c r="F24" s="346"/>
      <c r="G24" s="155" t="s">
        <v>1874</v>
      </c>
      <c r="H24" s="156"/>
      <c r="I24" s="157" t="s">
        <v>1875</v>
      </c>
      <c r="J24" s="348"/>
    </row>
    <row r="25" spans="1:10" ht="15.75" thickBot="1">
      <c r="A25" s="346"/>
      <c r="B25" s="155" t="s">
        <v>1876</v>
      </c>
      <c r="C25" s="156"/>
      <c r="D25" s="157" t="s">
        <v>1877</v>
      </c>
      <c r="E25" s="348"/>
      <c r="F25" s="346"/>
      <c r="G25" s="155" t="s">
        <v>1876</v>
      </c>
      <c r="H25" s="156"/>
      <c r="I25" s="157" t="s">
        <v>1877</v>
      </c>
      <c r="J25" s="348"/>
    </row>
    <row r="26" spans="1:10" ht="15.75" thickBot="1">
      <c r="A26" s="346"/>
      <c r="B26" s="155" t="s">
        <v>1878</v>
      </c>
      <c r="C26" s="156"/>
      <c r="D26" s="157" t="s">
        <v>1879</v>
      </c>
      <c r="E26" s="348"/>
      <c r="F26" s="346"/>
      <c r="G26" s="155" t="s">
        <v>1878</v>
      </c>
      <c r="H26" s="156"/>
      <c r="I26" s="157" t="s">
        <v>1879</v>
      </c>
      <c r="J26" s="348"/>
    </row>
    <row r="27" spans="1:10" ht="15.75" thickBot="1">
      <c r="A27" s="346"/>
      <c r="B27" s="155" t="s">
        <v>1880</v>
      </c>
      <c r="C27" s="156"/>
      <c r="D27" s="157" t="s">
        <v>1881</v>
      </c>
      <c r="E27" s="348"/>
      <c r="F27" s="346"/>
      <c r="G27" s="155" t="s">
        <v>1880</v>
      </c>
      <c r="H27" s="156"/>
      <c r="I27" s="157" t="s">
        <v>1881</v>
      </c>
      <c r="J27" s="348"/>
    </row>
    <row r="28" spans="1:10" ht="15.75" thickBot="1">
      <c r="A28" s="346"/>
      <c r="B28" s="155" t="s">
        <v>1882</v>
      </c>
      <c r="C28" s="156"/>
      <c r="D28" s="157" t="s">
        <v>1883</v>
      </c>
      <c r="E28" s="348"/>
      <c r="F28" s="346"/>
      <c r="G28" s="155" t="s">
        <v>1882</v>
      </c>
      <c r="H28" s="156"/>
      <c r="I28" s="157" t="s">
        <v>1883</v>
      </c>
      <c r="J28" s="348"/>
    </row>
    <row r="29" spans="1:10" ht="15.75" thickBot="1">
      <c r="A29" s="346"/>
      <c r="B29" s="155" t="s">
        <v>1884</v>
      </c>
      <c r="C29" s="156"/>
      <c r="D29" s="157" t="s">
        <v>1885</v>
      </c>
      <c r="E29" s="348"/>
      <c r="F29" s="346"/>
      <c r="G29" s="155" t="s">
        <v>1884</v>
      </c>
      <c r="H29" s="156"/>
      <c r="I29" s="157" t="s">
        <v>1885</v>
      </c>
      <c r="J29" s="348"/>
    </row>
    <row r="30" spans="1:10" ht="15.75" thickBot="1">
      <c r="A30" s="346"/>
      <c r="B30" s="155" t="s">
        <v>1886</v>
      </c>
      <c r="C30" s="156"/>
      <c r="D30" s="157" t="s">
        <v>1887</v>
      </c>
      <c r="E30" s="348"/>
      <c r="F30" s="346"/>
      <c r="G30" s="155" t="s">
        <v>1886</v>
      </c>
      <c r="H30" s="156"/>
      <c r="I30" s="157" t="s">
        <v>1887</v>
      </c>
      <c r="J30" s="348"/>
    </row>
    <row r="31" spans="1:10" ht="15.75" thickBot="1">
      <c r="A31" s="346"/>
      <c r="B31" s="155" t="s">
        <v>1888</v>
      </c>
      <c r="C31" s="156"/>
      <c r="D31" s="157" t="s">
        <v>1889</v>
      </c>
      <c r="E31" s="348"/>
      <c r="F31" s="346"/>
      <c r="G31" s="155" t="s">
        <v>1888</v>
      </c>
      <c r="H31" s="156"/>
      <c r="I31" s="157" t="s">
        <v>1889</v>
      </c>
      <c r="J31" s="348"/>
    </row>
    <row r="32" spans="1:10" ht="15.75" thickBot="1">
      <c r="A32" s="346"/>
      <c r="B32" s="155" t="s">
        <v>1890</v>
      </c>
      <c r="C32" s="156"/>
      <c r="D32" s="157" t="s">
        <v>1891</v>
      </c>
      <c r="E32" s="348"/>
      <c r="F32" s="346"/>
      <c r="G32" s="155" t="s">
        <v>1890</v>
      </c>
      <c r="H32" s="156"/>
      <c r="I32" s="157" t="s">
        <v>1891</v>
      </c>
      <c r="J32" s="348"/>
    </row>
    <row r="33" spans="1:14" ht="15.75" thickBot="1">
      <c r="A33" s="346"/>
      <c r="B33" s="155" t="s">
        <v>1892</v>
      </c>
      <c r="C33" s="156"/>
      <c r="D33" s="157" t="s">
        <v>1893</v>
      </c>
      <c r="E33" s="348"/>
      <c r="F33" s="346"/>
      <c r="G33" s="155" t="s">
        <v>1892</v>
      </c>
      <c r="H33" s="156"/>
      <c r="I33" s="157" t="s">
        <v>1893</v>
      </c>
      <c r="J33" s="348"/>
    </row>
    <row r="34" spans="1:14" ht="15.75" thickBot="1">
      <c r="A34" s="346"/>
      <c r="B34" s="155" t="s">
        <v>1894</v>
      </c>
      <c r="C34" s="156"/>
      <c r="D34" s="157" t="s">
        <v>1895</v>
      </c>
      <c r="E34" s="348"/>
      <c r="F34" s="346"/>
      <c r="G34" s="155" t="s">
        <v>1894</v>
      </c>
      <c r="H34" s="156"/>
      <c r="I34" s="157" t="s">
        <v>1895</v>
      </c>
      <c r="J34" s="348"/>
    </row>
    <row r="35" spans="1:14" ht="15.75" thickBot="1">
      <c r="A35" s="346"/>
      <c r="B35" s="155" t="s">
        <v>1896</v>
      </c>
      <c r="C35" s="156">
        <v>122966</v>
      </c>
      <c r="D35" s="157" t="s">
        <v>1897</v>
      </c>
      <c r="E35" s="348"/>
      <c r="F35" s="346"/>
      <c r="G35" s="155" t="s">
        <v>1896</v>
      </c>
      <c r="H35" s="156">
        <v>122754</v>
      </c>
      <c r="I35" s="157" t="s">
        <v>1897</v>
      </c>
      <c r="J35" s="348"/>
    </row>
    <row r="36" spans="1:14" ht="15.75" thickBot="1">
      <c r="A36" s="346"/>
      <c r="B36" s="155" t="s">
        <v>1898</v>
      </c>
      <c r="C36" s="156"/>
      <c r="D36" s="157" t="s">
        <v>1899</v>
      </c>
      <c r="E36" s="348"/>
      <c r="F36" s="346"/>
      <c r="G36" s="155" t="s">
        <v>1898</v>
      </c>
      <c r="H36" s="156"/>
      <c r="I36" s="157" t="s">
        <v>1899</v>
      </c>
      <c r="J36" s="348"/>
    </row>
    <row r="37" spans="1:14" ht="15.75" thickBot="1">
      <c r="A37" s="346"/>
      <c r="B37" s="155" t="s">
        <v>1900</v>
      </c>
      <c r="C37" s="156"/>
      <c r="D37" s="157" t="s">
        <v>1901</v>
      </c>
      <c r="E37" s="348"/>
      <c r="F37" s="346"/>
      <c r="G37" s="155" t="s">
        <v>1900</v>
      </c>
      <c r="H37" s="156"/>
      <c r="I37" s="157" t="s">
        <v>1901</v>
      </c>
      <c r="J37" s="348"/>
    </row>
    <row r="38" spans="1:14" ht="15.75" thickBot="1">
      <c r="A38" s="346"/>
      <c r="B38" s="155" t="s">
        <v>1902</v>
      </c>
      <c r="C38" s="156"/>
      <c r="D38" s="157" t="s">
        <v>1903</v>
      </c>
      <c r="E38" s="348"/>
      <c r="F38" s="346"/>
      <c r="G38" s="155" t="s">
        <v>1902</v>
      </c>
      <c r="H38" s="156"/>
      <c r="I38" s="157" t="s">
        <v>1903</v>
      </c>
      <c r="J38" s="348"/>
    </row>
    <row r="39" spans="1:14" ht="15.75" thickBot="1">
      <c r="A39" s="346"/>
      <c r="B39" s="155" t="s">
        <v>1904</v>
      </c>
      <c r="C39" s="156"/>
      <c r="D39" s="157" t="s">
        <v>1905</v>
      </c>
      <c r="E39" s="348"/>
      <c r="F39" s="346"/>
      <c r="G39" s="155" t="s">
        <v>1904</v>
      </c>
      <c r="H39" s="156"/>
      <c r="I39" s="157" t="s">
        <v>1905</v>
      </c>
      <c r="J39" s="348"/>
    </row>
    <row r="40" spans="1:14" ht="15.75" thickBot="1">
      <c r="A40" s="346"/>
      <c r="B40" s="155" t="s">
        <v>1906</v>
      </c>
      <c r="C40" s="156"/>
      <c r="D40" s="157" t="s">
        <v>1907</v>
      </c>
      <c r="E40" s="348"/>
      <c r="F40" s="346"/>
      <c r="G40" s="155" t="s">
        <v>1906</v>
      </c>
      <c r="H40" s="156"/>
      <c r="I40" s="157" t="s">
        <v>1907</v>
      </c>
      <c r="J40" s="348"/>
    </row>
    <row r="41" spans="1:14" ht="15.75" thickBot="1">
      <c r="A41" s="346"/>
      <c r="B41" s="155" t="s">
        <v>1908</v>
      </c>
      <c r="C41" s="156"/>
      <c r="D41" s="157" t="s">
        <v>1909</v>
      </c>
      <c r="E41" s="348"/>
      <c r="F41" s="346"/>
      <c r="G41" s="155" t="s">
        <v>1908</v>
      </c>
      <c r="H41" s="156"/>
      <c r="I41" s="157" t="s">
        <v>1909</v>
      </c>
      <c r="J41" s="348"/>
    </row>
    <row r="42" spans="1:14" ht="15.75" thickBot="1">
      <c r="A42" s="347"/>
      <c r="B42" s="155" t="s">
        <v>1845</v>
      </c>
      <c r="C42" s="156">
        <v>184212</v>
      </c>
      <c r="D42" s="157" t="s">
        <v>1846</v>
      </c>
      <c r="E42" s="349"/>
      <c r="F42" s="347"/>
      <c r="G42" s="155" t="s">
        <v>1845</v>
      </c>
      <c r="H42" s="156">
        <v>192954</v>
      </c>
      <c r="I42" s="157" t="s">
        <v>1846</v>
      </c>
      <c r="J42" s="349"/>
    </row>
    <row r="43" spans="1:14" ht="17.25" customHeight="1">
      <c r="A43" s="350" t="s">
        <v>19</v>
      </c>
      <c r="B43" s="350"/>
      <c r="C43" s="350"/>
      <c r="D43" s="350"/>
      <c r="E43" s="350"/>
      <c r="F43" s="350"/>
      <c r="G43" s="350"/>
      <c r="H43" s="343" t="s">
        <v>106</v>
      </c>
      <c r="I43" s="343"/>
      <c r="J43" s="343"/>
      <c r="K43" s="343"/>
      <c r="L43" s="343"/>
      <c r="M43" s="343"/>
      <c r="N43" s="343"/>
    </row>
    <row r="44" spans="1:14" ht="17.25" customHeight="1">
      <c r="A44" s="342" t="s">
        <v>1842</v>
      </c>
      <c r="B44" s="342"/>
      <c r="C44" s="342"/>
      <c r="D44" s="343" t="s">
        <v>1843</v>
      </c>
      <c r="E44" s="343"/>
      <c r="F44" s="343"/>
      <c r="G44" s="343"/>
      <c r="H44" s="342" t="s">
        <v>1842</v>
      </c>
      <c r="I44" s="342"/>
      <c r="J44" s="342"/>
      <c r="K44" s="343" t="s">
        <v>1843</v>
      </c>
      <c r="L44" s="343"/>
      <c r="M44" s="343"/>
      <c r="N44" s="343"/>
    </row>
    <row r="45" spans="1:14">
      <c r="A45" s="344"/>
      <c r="B45" s="344"/>
      <c r="C45" s="345" t="s">
        <v>1819</v>
      </c>
      <c r="D45" s="345"/>
      <c r="E45" s="345"/>
      <c r="F45" s="344"/>
      <c r="G45" s="344"/>
      <c r="H45" s="344"/>
      <c r="I45" s="344"/>
      <c r="J45" s="345" t="s">
        <v>1819</v>
      </c>
      <c r="K45" s="345"/>
      <c r="L45" s="345"/>
      <c r="M45" s="344"/>
      <c r="N45" s="344"/>
    </row>
    <row r="46" spans="1:14" ht="23.25">
      <c r="A46" s="344"/>
      <c r="B46" s="344"/>
      <c r="C46" s="154" t="s">
        <v>1820</v>
      </c>
      <c r="D46" s="154" t="s">
        <v>1840</v>
      </c>
      <c r="E46" s="154" t="s">
        <v>453</v>
      </c>
      <c r="F46" s="344"/>
      <c r="G46" s="344"/>
      <c r="H46" s="344"/>
      <c r="I46" s="344"/>
      <c r="J46" s="154" t="s">
        <v>1820</v>
      </c>
      <c r="K46" s="154" t="s">
        <v>1840</v>
      </c>
      <c r="L46" s="154" t="s">
        <v>453</v>
      </c>
      <c r="M46" s="344"/>
      <c r="N46" s="344"/>
    </row>
    <row r="47" spans="1:14" ht="15.75" thickBot="1">
      <c r="A47" s="155" t="s">
        <v>1910</v>
      </c>
      <c r="B47" s="155" t="s">
        <v>1845</v>
      </c>
      <c r="C47" s="156">
        <v>471794</v>
      </c>
      <c r="D47" s="156">
        <v>122967</v>
      </c>
      <c r="E47" s="156">
        <v>348827</v>
      </c>
      <c r="F47" s="157" t="s">
        <v>1846</v>
      </c>
      <c r="G47" s="157" t="s">
        <v>1911</v>
      </c>
      <c r="H47" s="155" t="s">
        <v>1910</v>
      </c>
      <c r="I47" s="155" t="s">
        <v>1845</v>
      </c>
      <c r="J47" s="156">
        <v>422261</v>
      </c>
      <c r="K47" s="156">
        <v>122754</v>
      </c>
      <c r="L47" s="156">
        <v>299507</v>
      </c>
      <c r="M47" s="157" t="s">
        <v>1846</v>
      </c>
      <c r="N47" s="157" t="s">
        <v>1911</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0F619C6F-CBAB-4432-89A5-4DA457C9E1E8}">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41F647-CAEA-487F-AAE8-F68AE08C7149}">
  <dimension ref="A1:D10"/>
  <sheetViews>
    <sheetView showGridLines="0" workbookViewId="0">
      <selection sqref="A1:D1"/>
    </sheetView>
  </sheetViews>
  <sheetFormatPr defaultRowHeight="15"/>
  <cols>
    <col min="1" max="1" width="42.6640625" style="158" bestFit="1" customWidth="1" collapsed="1"/>
    <col min="2" max="3" width="33.33203125" style="158" customWidth="1" collapsed="1"/>
    <col min="4" max="4" width="42.6640625" style="158" bestFit="1" customWidth="1" collapsed="1"/>
    <col min="5" max="16384" width="9.33203125" style="158" collapsed="1"/>
  </cols>
  <sheetData>
    <row r="1" spans="1:4" ht="34.5" customHeight="1">
      <c r="A1" s="352" t="s">
        <v>1912</v>
      </c>
      <c r="B1" s="353"/>
      <c r="C1" s="353"/>
      <c r="D1" s="353"/>
    </row>
    <row r="3" spans="1:4" ht="34.5" customHeight="1">
      <c r="A3" s="352" t="s">
        <v>1913</v>
      </c>
      <c r="B3" s="352"/>
      <c r="C3" s="354" t="s">
        <v>1914</v>
      </c>
      <c r="D3" s="354"/>
    </row>
    <row r="4" spans="1:4">
      <c r="A4" s="159"/>
      <c r="B4" s="160" t="s">
        <v>19</v>
      </c>
      <c r="C4" s="160" t="s">
        <v>106</v>
      </c>
    </row>
    <row r="5" spans="1:4" ht="26.25" thickBot="1">
      <c r="A5" s="161" t="s">
        <v>1913</v>
      </c>
      <c r="B5" s="162"/>
      <c r="C5" s="162"/>
      <c r="D5" s="163" t="s">
        <v>1914</v>
      </c>
    </row>
    <row r="6" spans="1:4" ht="26.25" thickBot="1">
      <c r="A6" s="164" t="s">
        <v>1915</v>
      </c>
      <c r="B6" s="165">
        <v>122754</v>
      </c>
      <c r="C6" s="165">
        <v>123731</v>
      </c>
      <c r="D6" s="163" t="s">
        <v>1916</v>
      </c>
    </row>
    <row r="7" spans="1:4" ht="26.25" thickBot="1">
      <c r="A7" s="164" t="s">
        <v>1917</v>
      </c>
      <c r="B7" s="165">
        <v>285</v>
      </c>
      <c r="C7" s="165">
        <v>1</v>
      </c>
      <c r="D7" s="163" t="s">
        <v>1918</v>
      </c>
    </row>
    <row r="8" spans="1:4" ht="26.25" thickBot="1">
      <c r="A8" s="164" t="s">
        <v>1919</v>
      </c>
      <c r="B8" s="166">
        <v>72</v>
      </c>
      <c r="C8" s="166">
        <v>978</v>
      </c>
      <c r="D8" s="163" t="s">
        <v>1920</v>
      </c>
    </row>
    <row r="9" spans="1:4" ht="26.25" thickBot="1">
      <c r="A9" s="164" t="s">
        <v>1921</v>
      </c>
      <c r="B9" s="166"/>
      <c r="C9" s="166"/>
      <c r="D9" s="163" t="s">
        <v>1922</v>
      </c>
    </row>
    <row r="10" spans="1:4" ht="26.25" thickBot="1">
      <c r="A10" s="164" t="s">
        <v>1923</v>
      </c>
      <c r="B10" s="165">
        <v>122967</v>
      </c>
      <c r="C10" s="165">
        <v>122754</v>
      </c>
      <c r="D10" s="163" t="s">
        <v>1924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BE63BBB8-89C8-4F4D-9671-19F37FA439B0}">
      <formula1>-9.99999999999999E+33</formula1>
      <formula2>9.99999999999999E+33</formula2>
    </dataValidation>
  </dataValidations>
  <pageMargins left="0.15" right="0.15" top="0.15" bottom="0.15" header="0.5" footer="0.5"/>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797221-E9AB-40E2-9F21-9C6459573204}">
  <dimension ref="A1:D78"/>
  <sheetViews>
    <sheetView showGridLines="0" workbookViewId="0"/>
  </sheetViews>
  <sheetFormatPr defaultRowHeight="15"/>
  <cols>
    <col min="1" max="1" width="42.6640625" style="168" bestFit="1" customWidth="1" collapsed="1"/>
    <col min="2" max="2" width="20.5" style="168" bestFit="1" customWidth="1" collapsed="1"/>
    <col min="3" max="3" width="19.6640625" style="168" bestFit="1" customWidth="1" collapsed="1"/>
    <col min="4" max="4" width="42.6640625" style="168" bestFit="1" customWidth="1" collapsed="1"/>
    <col min="5" max="16384" width="9.33203125" style="168" collapsed="1"/>
  </cols>
  <sheetData>
    <row r="1" spans="1:4" ht="17.25">
      <c r="A1" s="167" t="s">
        <v>1925</v>
      </c>
    </row>
    <row r="3" spans="1:4" ht="17.25" customHeight="1">
      <c r="A3" s="355" t="s">
        <v>1926</v>
      </c>
      <c r="B3" s="355"/>
      <c r="C3" s="356" t="s">
        <v>1927</v>
      </c>
      <c r="D3" s="356"/>
    </row>
    <row r="4" spans="1:4" ht="23.25">
      <c r="A4" s="169"/>
      <c r="B4" s="170" t="s">
        <v>19</v>
      </c>
      <c r="C4" s="170" t="s">
        <v>106</v>
      </c>
    </row>
    <row r="5" spans="1:4" ht="15.75" thickBot="1">
      <c r="A5" s="171" t="s">
        <v>1926</v>
      </c>
      <c r="B5" s="172"/>
      <c r="C5" s="172"/>
      <c r="D5" s="173" t="s">
        <v>1927</v>
      </c>
    </row>
    <row r="6" spans="1:4" ht="15.75" thickBot="1">
      <c r="A6" s="174" t="s">
        <v>1928</v>
      </c>
      <c r="B6" s="172"/>
      <c r="C6" s="172"/>
      <c r="D6" s="173" t="s">
        <v>1929</v>
      </c>
    </row>
    <row r="7" spans="1:4" ht="15.75" thickBot="1">
      <c r="A7" s="175" t="s">
        <v>1930</v>
      </c>
      <c r="B7" s="172"/>
      <c r="C7" s="172"/>
      <c r="D7" s="173" t="s">
        <v>1931</v>
      </c>
    </row>
    <row r="8" spans="1:4" ht="15.75" thickBot="1">
      <c r="A8" s="176" t="s">
        <v>1932</v>
      </c>
      <c r="B8" s="177"/>
      <c r="C8" s="177"/>
      <c r="D8" s="173" t="s">
        <v>1933</v>
      </c>
    </row>
    <row r="9" spans="1:4" ht="15.75" thickBot="1">
      <c r="A9" s="176" t="s">
        <v>1934</v>
      </c>
      <c r="B9" s="177"/>
      <c r="C9" s="177"/>
      <c r="D9" s="173" t="s">
        <v>1935</v>
      </c>
    </row>
    <row r="10" spans="1:4" ht="15.75" thickBot="1">
      <c r="A10" s="176" t="s">
        <v>1936</v>
      </c>
      <c r="B10" s="177"/>
      <c r="C10" s="177"/>
      <c r="D10" s="173" t="s">
        <v>1937</v>
      </c>
    </row>
    <row r="11" spans="1:4" ht="15.75" thickBot="1">
      <c r="A11" s="176" t="s">
        <v>1938</v>
      </c>
      <c r="B11" s="177"/>
      <c r="C11" s="177"/>
      <c r="D11" s="173" t="s">
        <v>1939</v>
      </c>
    </row>
    <row r="12" spans="1:4" ht="15.75" thickBot="1">
      <c r="A12" s="176" t="s">
        <v>1940</v>
      </c>
      <c r="B12" s="177"/>
      <c r="C12" s="177"/>
      <c r="D12" s="173" t="s">
        <v>1941</v>
      </c>
    </row>
    <row r="13" spans="1:4" ht="15.75" thickBot="1">
      <c r="A13" s="176" t="s">
        <v>1942</v>
      </c>
      <c r="B13" s="177"/>
      <c r="C13" s="177"/>
      <c r="D13" s="173" t="s">
        <v>1943</v>
      </c>
    </row>
    <row r="14" spans="1:4" ht="26.25" thickBot="1">
      <c r="A14" s="176" t="s">
        <v>1944</v>
      </c>
      <c r="B14" s="178"/>
      <c r="C14" s="178"/>
      <c r="D14" s="173" t="s">
        <v>1945</v>
      </c>
    </row>
    <row r="15" spans="1:4" ht="15.75" thickBot="1">
      <c r="A15" s="176" t="s">
        <v>1928</v>
      </c>
      <c r="B15" s="177"/>
      <c r="C15" s="177"/>
      <c r="D15" s="173" t="s">
        <v>1946</v>
      </c>
    </row>
    <row r="16" spans="1:4" ht="15.75" thickBot="1">
      <c r="A16" s="176" t="s">
        <v>497</v>
      </c>
      <c r="B16" s="177"/>
      <c r="C16" s="177"/>
      <c r="D16" s="173" t="s">
        <v>1947</v>
      </c>
    </row>
    <row r="17" spans="1:4" ht="26.25" thickBot="1">
      <c r="A17" s="176" t="s">
        <v>595</v>
      </c>
      <c r="B17" s="177"/>
      <c r="C17" s="177"/>
      <c r="D17" s="173" t="s">
        <v>1948</v>
      </c>
    </row>
    <row r="18" spans="1:4" ht="15.75" thickBot="1">
      <c r="A18" s="174" t="s">
        <v>1949</v>
      </c>
      <c r="B18" s="172"/>
      <c r="C18" s="172"/>
      <c r="D18" s="173" t="s">
        <v>1950</v>
      </c>
    </row>
    <row r="19" spans="1:4" ht="15.75" thickBot="1">
      <c r="A19" s="175" t="s">
        <v>1951</v>
      </c>
      <c r="B19" s="172"/>
      <c r="C19" s="172"/>
      <c r="D19" s="173" t="s">
        <v>1952</v>
      </c>
    </row>
    <row r="20" spans="1:4" ht="15.75" thickBot="1">
      <c r="A20" s="176" t="s">
        <v>1953</v>
      </c>
      <c r="B20" s="177"/>
      <c r="C20" s="177"/>
      <c r="D20" s="173" t="s">
        <v>1954</v>
      </c>
    </row>
    <row r="21" spans="1:4" ht="26.25" thickBot="1">
      <c r="A21" s="176" t="s">
        <v>1955</v>
      </c>
      <c r="B21" s="177"/>
      <c r="C21" s="177"/>
      <c r="D21" s="173" t="s">
        <v>1956</v>
      </c>
    </row>
    <row r="22" spans="1:4" ht="26.25" thickBot="1">
      <c r="A22" s="176" t="s">
        <v>1957</v>
      </c>
      <c r="B22" s="177"/>
      <c r="C22" s="177"/>
      <c r="D22" s="173" t="s">
        <v>1958</v>
      </c>
    </row>
    <row r="23" spans="1:4" ht="15.75" thickBot="1">
      <c r="A23" s="176" t="s">
        <v>1959</v>
      </c>
      <c r="B23" s="177"/>
      <c r="C23" s="177"/>
      <c r="D23" s="173" t="s">
        <v>1960</v>
      </c>
    </row>
    <row r="24" spans="1:4" ht="15.75" thickBot="1">
      <c r="A24" s="176" t="s">
        <v>1961</v>
      </c>
      <c r="B24" s="177"/>
      <c r="C24" s="177"/>
      <c r="D24" s="173" t="s">
        <v>1962</v>
      </c>
    </row>
    <row r="25" spans="1:4" ht="15.75" thickBot="1">
      <c r="A25" s="176" t="s">
        <v>1963</v>
      </c>
      <c r="B25" s="177"/>
      <c r="C25" s="177"/>
      <c r="D25" s="173" t="s">
        <v>1964</v>
      </c>
    </row>
    <row r="26" spans="1:4" ht="15.75" thickBot="1">
      <c r="A26" s="176" t="s">
        <v>1965</v>
      </c>
      <c r="B26" s="177"/>
      <c r="C26" s="177"/>
      <c r="D26" s="173" t="s">
        <v>1966</v>
      </c>
    </row>
    <row r="27" spans="1:4" ht="26.25" thickBot="1">
      <c r="A27" s="176" t="s">
        <v>1967</v>
      </c>
      <c r="B27" s="178"/>
      <c r="C27" s="178"/>
      <c r="D27" s="173" t="s">
        <v>1968</v>
      </c>
    </row>
    <row r="28" spans="1:4" ht="15.75" thickBot="1">
      <c r="A28" s="176" t="s">
        <v>1949</v>
      </c>
      <c r="B28" s="177"/>
      <c r="C28" s="177"/>
      <c r="D28" s="173" t="s">
        <v>1969</v>
      </c>
    </row>
    <row r="29" spans="1:4" ht="15.75" thickBot="1">
      <c r="A29" s="176" t="s">
        <v>499</v>
      </c>
      <c r="B29" s="177"/>
      <c r="C29" s="177"/>
      <c r="D29" s="173" t="s">
        <v>500</v>
      </c>
    </row>
    <row r="30" spans="1:4" ht="15.75" thickBot="1">
      <c r="A30" s="176" t="s">
        <v>597</v>
      </c>
      <c r="B30" s="177"/>
      <c r="C30" s="177"/>
      <c r="D30" s="173" t="s">
        <v>598</v>
      </c>
    </row>
    <row r="31" spans="1:4" ht="15.75" thickBot="1">
      <c r="A31" s="174" t="s">
        <v>1542</v>
      </c>
      <c r="B31" s="172"/>
      <c r="C31" s="172"/>
      <c r="D31" s="173" t="s">
        <v>1544</v>
      </c>
    </row>
    <row r="32" spans="1:4" ht="15.75" thickBot="1">
      <c r="A32" s="175" t="s">
        <v>1970</v>
      </c>
      <c r="B32" s="172"/>
      <c r="C32" s="172"/>
      <c r="D32" s="173" t="s">
        <v>1971</v>
      </c>
    </row>
    <row r="33" spans="1:4" ht="15.75" thickBot="1">
      <c r="A33" s="176" t="s">
        <v>1972</v>
      </c>
      <c r="B33" s="177">
        <v>25398</v>
      </c>
      <c r="C33" s="177">
        <v>20010</v>
      </c>
      <c r="D33" s="173" t="s">
        <v>1973</v>
      </c>
    </row>
    <row r="34" spans="1:4" ht="15.75" thickBot="1">
      <c r="A34" s="176" t="s">
        <v>1974</v>
      </c>
      <c r="B34" s="177"/>
      <c r="C34" s="177"/>
      <c r="D34" s="173" t="s">
        <v>1975</v>
      </c>
    </row>
    <row r="35" spans="1:4" ht="15.75" thickBot="1">
      <c r="A35" s="176" t="s">
        <v>1976</v>
      </c>
      <c r="B35" s="177">
        <v>69144</v>
      </c>
      <c r="C35" s="177">
        <v>67117</v>
      </c>
      <c r="D35" s="173" t="s">
        <v>1977</v>
      </c>
    </row>
    <row r="36" spans="1:4" ht="15.75" thickBot="1">
      <c r="A36" s="176" t="s">
        <v>1978</v>
      </c>
      <c r="B36" s="177">
        <v>12091</v>
      </c>
      <c r="C36" s="177">
        <v>12715</v>
      </c>
      <c r="D36" s="173" t="s">
        <v>1979</v>
      </c>
    </row>
    <row r="37" spans="1:4" ht="15.75" thickBot="1">
      <c r="A37" s="176" t="s">
        <v>1980</v>
      </c>
      <c r="B37" s="177"/>
      <c r="C37" s="177"/>
      <c r="D37" s="173" t="s">
        <v>1981</v>
      </c>
    </row>
    <row r="38" spans="1:4" ht="15.75" thickBot="1">
      <c r="A38" s="176" t="s">
        <v>1982</v>
      </c>
      <c r="B38" s="177"/>
      <c r="C38" s="177"/>
      <c r="D38" s="173" t="s">
        <v>1983</v>
      </c>
    </row>
    <row r="39" spans="1:4" ht="15.75" thickBot="1">
      <c r="A39" s="176" t="s">
        <v>1984</v>
      </c>
      <c r="B39" s="177"/>
      <c r="C39" s="177"/>
      <c r="D39" s="173" t="s">
        <v>1985</v>
      </c>
    </row>
    <row r="40" spans="1:4" ht="15.75" thickBot="1">
      <c r="A40" s="176" t="s">
        <v>1986</v>
      </c>
      <c r="B40" s="177"/>
      <c r="C40" s="177"/>
      <c r="D40" s="173" t="s">
        <v>1987</v>
      </c>
    </row>
    <row r="41" spans="1:4" ht="15.75" thickBot="1">
      <c r="A41" s="176" t="s">
        <v>1988</v>
      </c>
      <c r="B41" s="177"/>
      <c r="C41" s="177"/>
      <c r="D41" s="173" t="s">
        <v>1989</v>
      </c>
    </row>
    <row r="42" spans="1:4" ht="15.75" thickBot="1">
      <c r="A42" s="176" t="s">
        <v>1990</v>
      </c>
      <c r="B42" s="177"/>
      <c r="C42" s="177"/>
      <c r="D42" s="173" t="s">
        <v>1991</v>
      </c>
    </row>
    <row r="43" spans="1:4" ht="15.75" thickBot="1">
      <c r="A43" s="176" t="s">
        <v>1992</v>
      </c>
      <c r="B43" s="177"/>
      <c r="C43" s="177"/>
      <c r="D43" s="173" t="s">
        <v>1993</v>
      </c>
    </row>
    <row r="44" spans="1:4" ht="15.75" thickBot="1">
      <c r="A44" s="176" t="s">
        <v>1994</v>
      </c>
      <c r="B44" s="177"/>
      <c r="C44" s="177"/>
      <c r="D44" s="173" t="s">
        <v>1995</v>
      </c>
    </row>
    <row r="45" spans="1:4" ht="15.75" thickBot="1">
      <c r="A45" s="176" t="s">
        <v>1996</v>
      </c>
      <c r="B45" s="177"/>
      <c r="C45" s="177"/>
      <c r="D45" s="173" t="s">
        <v>1997</v>
      </c>
    </row>
    <row r="46" spans="1:4" ht="15.75" thickBot="1">
      <c r="A46" s="176" t="s">
        <v>1998</v>
      </c>
      <c r="B46" s="177"/>
      <c r="C46" s="177"/>
      <c r="D46" s="173" t="s">
        <v>1999</v>
      </c>
    </row>
    <row r="47" spans="1:4" ht="26.25" thickBot="1">
      <c r="A47" s="176" t="s">
        <v>2000</v>
      </c>
      <c r="B47" s="177"/>
      <c r="C47" s="177"/>
      <c r="D47" s="173" t="s">
        <v>2001</v>
      </c>
    </row>
    <row r="48" spans="1:4" ht="26.25" thickBot="1">
      <c r="A48" s="176" t="s">
        <v>2002</v>
      </c>
      <c r="B48" s="177"/>
      <c r="C48" s="177"/>
      <c r="D48" s="173" t="s">
        <v>2003</v>
      </c>
    </row>
    <row r="49" spans="1:4" ht="15.75" thickBot="1">
      <c r="A49" s="176" t="s">
        <v>2004</v>
      </c>
      <c r="B49" s="177"/>
      <c r="C49" s="177"/>
      <c r="D49" s="173" t="s">
        <v>2005</v>
      </c>
    </row>
    <row r="50" spans="1:4" ht="15.75" thickBot="1">
      <c r="A50" s="176" t="s">
        <v>2006</v>
      </c>
      <c r="B50" s="177"/>
      <c r="C50" s="177"/>
      <c r="D50" s="173" t="s">
        <v>2007</v>
      </c>
    </row>
    <row r="51" spans="1:4" ht="15.75" thickBot="1">
      <c r="A51" s="176" t="s">
        <v>2008</v>
      </c>
      <c r="B51" s="177"/>
      <c r="C51" s="177"/>
      <c r="D51" s="173" t="s">
        <v>2009</v>
      </c>
    </row>
    <row r="52" spans="1:4" ht="15.75" thickBot="1">
      <c r="A52" s="176" t="s">
        <v>2010</v>
      </c>
      <c r="B52" s="177"/>
      <c r="C52" s="177"/>
      <c r="D52" s="173" t="s">
        <v>2011</v>
      </c>
    </row>
    <row r="53" spans="1:4" ht="15.75" thickBot="1">
      <c r="A53" s="176" t="s">
        <v>2012</v>
      </c>
      <c r="B53" s="177"/>
      <c r="C53" s="177"/>
      <c r="D53" s="173" t="s">
        <v>2013</v>
      </c>
    </row>
    <row r="54" spans="1:4" ht="15.75" thickBot="1">
      <c r="A54" s="176" t="s">
        <v>2014</v>
      </c>
      <c r="B54" s="177"/>
      <c r="C54" s="177"/>
      <c r="D54" s="173" t="s">
        <v>2015</v>
      </c>
    </row>
    <row r="55" spans="1:4" ht="15.75" thickBot="1">
      <c r="A55" s="176" t="s">
        <v>2016</v>
      </c>
      <c r="B55" s="177"/>
      <c r="C55" s="177"/>
      <c r="D55" s="173" t="s">
        <v>2017</v>
      </c>
    </row>
    <row r="56" spans="1:4" ht="15.75" thickBot="1">
      <c r="A56" s="176" t="s">
        <v>2018</v>
      </c>
      <c r="B56" s="177"/>
      <c r="C56" s="177"/>
      <c r="D56" s="173" t="s">
        <v>2019</v>
      </c>
    </row>
    <row r="57" spans="1:4" ht="15.75" thickBot="1">
      <c r="A57" s="176" t="s">
        <v>2020</v>
      </c>
      <c r="B57" s="177"/>
      <c r="C57" s="177"/>
      <c r="D57" s="173" t="s">
        <v>2021</v>
      </c>
    </row>
    <row r="58" spans="1:4" ht="15.75" thickBot="1">
      <c r="A58" s="176" t="s">
        <v>2022</v>
      </c>
      <c r="B58" s="177">
        <v>1701</v>
      </c>
      <c r="C58" s="177">
        <v>462</v>
      </c>
      <c r="D58" s="173" t="s">
        <v>2023</v>
      </c>
    </row>
    <row r="59" spans="1:4" ht="15.75" thickBot="1">
      <c r="A59" s="176" t="s">
        <v>2024</v>
      </c>
      <c r="B59" s="177"/>
      <c r="C59" s="177"/>
      <c r="D59" s="173" t="s">
        <v>2025</v>
      </c>
    </row>
    <row r="60" spans="1:4" ht="26.25" thickBot="1">
      <c r="A60" s="176" t="s">
        <v>2026</v>
      </c>
      <c r="B60" s="178">
        <v>8005</v>
      </c>
      <c r="C60" s="178">
        <v>5746</v>
      </c>
      <c r="D60" s="173" t="s">
        <v>2027</v>
      </c>
    </row>
    <row r="61" spans="1:4" ht="15.75" thickBot="1">
      <c r="A61" s="176" t="s">
        <v>1542</v>
      </c>
      <c r="B61" s="177"/>
      <c r="C61" s="177"/>
      <c r="D61" s="173" t="s">
        <v>1544</v>
      </c>
    </row>
    <row r="62" spans="1:4" ht="15.75" thickBot="1">
      <c r="A62" s="176" t="s">
        <v>495</v>
      </c>
      <c r="B62" s="177">
        <v>100329</v>
      </c>
      <c r="C62" s="177">
        <v>94558</v>
      </c>
      <c r="D62" s="173" t="s">
        <v>496</v>
      </c>
    </row>
    <row r="63" spans="1:4" ht="15.75" thickBot="1">
      <c r="A63" s="176" t="s">
        <v>599</v>
      </c>
      <c r="B63" s="177"/>
      <c r="C63" s="177"/>
      <c r="D63" s="173" t="s">
        <v>594</v>
      </c>
    </row>
    <row r="64" spans="1:4" ht="17.25" customHeight="1">
      <c r="A64" s="357" t="s">
        <v>2026</v>
      </c>
      <c r="B64" s="357"/>
      <c r="C64" s="358" t="s">
        <v>2027</v>
      </c>
      <c r="D64" s="358"/>
    </row>
    <row r="65" spans="1:4" ht="23.25">
      <c r="A65" s="169"/>
      <c r="B65" s="170" t="s">
        <v>104</v>
      </c>
      <c r="C65" s="170" t="s">
        <v>106</v>
      </c>
    </row>
    <row r="66" spans="1:4" ht="15.75" thickBot="1">
      <c r="A66" s="171" t="s">
        <v>2026</v>
      </c>
      <c r="B66" s="172"/>
      <c r="C66" s="172"/>
      <c r="D66" s="173" t="s">
        <v>2027</v>
      </c>
    </row>
    <row r="67" spans="1:4" ht="26.25" thickBot="1">
      <c r="A67" s="174" t="s">
        <v>2028</v>
      </c>
      <c r="B67" s="172"/>
      <c r="C67" s="172"/>
      <c r="D67" s="173" t="s">
        <v>2029</v>
      </c>
    </row>
    <row r="68" spans="1:4" ht="26.25" thickBot="1">
      <c r="A68" s="175" t="s">
        <v>2030</v>
      </c>
      <c r="B68" s="177">
        <v>5746</v>
      </c>
      <c r="C68" s="177">
        <v>4152</v>
      </c>
      <c r="D68" s="173" t="s">
        <v>2031</v>
      </c>
    </row>
    <row r="69" spans="1:4" ht="26.25" thickBot="1">
      <c r="A69" s="175" t="s">
        <v>2032</v>
      </c>
      <c r="B69" s="177">
        <v>2259</v>
      </c>
      <c r="C69" s="177">
        <v>1594</v>
      </c>
      <c r="D69" s="173" t="s">
        <v>2033</v>
      </c>
    </row>
    <row r="70" spans="1:4" ht="26.25" thickBot="1">
      <c r="A70" s="175" t="s">
        <v>2034</v>
      </c>
      <c r="B70" s="177">
        <v>8005</v>
      </c>
      <c r="C70" s="177">
        <v>5746</v>
      </c>
      <c r="D70" s="173" t="s">
        <v>2035</v>
      </c>
    </row>
    <row r="71" spans="1:4" ht="26.25" thickBot="1">
      <c r="A71" s="174" t="s">
        <v>2036</v>
      </c>
      <c r="B71" s="172"/>
      <c r="C71" s="172"/>
      <c r="D71" s="173" t="s">
        <v>2037</v>
      </c>
    </row>
    <row r="72" spans="1:4" ht="26.25" thickBot="1">
      <c r="A72" s="175" t="s">
        <v>2038</v>
      </c>
      <c r="B72" s="177"/>
      <c r="C72" s="177"/>
      <c r="D72" s="173" t="s">
        <v>2039</v>
      </c>
    </row>
    <row r="73" spans="1:4" ht="39" thickBot="1">
      <c r="A73" s="175" t="s">
        <v>2040</v>
      </c>
      <c r="B73" s="177"/>
      <c r="C73" s="177"/>
      <c r="D73" s="173" t="s">
        <v>2041</v>
      </c>
    </row>
    <row r="74" spans="1:4" ht="26.25" thickBot="1">
      <c r="A74" s="175" t="s">
        <v>2042</v>
      </c>
      <c r="B74" s="177"/>
      <c r="C74" s="177"/>
      <c r="D74" s="173" t="s">
        <v>2043</v>
      </c>
    </row>
    <row r="75" spans="1:4" ht="26.25" thickBot="1">
      <c r="A75" s="174" t="s">
        <v>2044</v>
      </c>
      <c r="B75" s="172"/>
      <c r="C75" s="172"/>
      <c r="D75" s="173" t="s">
        <v>2045</v>
      </c>
    </row>
    <row r="76" spans="1:4" ht="26.25" thickBot="1">
      <c r="A76" s="175" t="s">
        <v>2046</v>
      </c>
      <c r="B76" s="177"/>
      <c r="C76" s="177"/>
      <c r="D76" s="173" t="s">
        <v>2047</v>
      </c>
    </row>
    <row r="77" spans="1:4" ht="26.25" thickBot="1">
      <c r="A77" s="175" t="s">
        <v>2048</v>
      </c>
      <c r="B77" s="177"/>
      <c r="C77" s="177"/>
      <c r="D77" s="173" t="s">
        <v>2049</v>
      </c>
    </row>
    <row r="78" spans="1:4" ht="26.25" thickBot="1">
      <c r="A78" s="175" t="s">
        <v>2050</v>
      </c>
      <c r="B78" s="177"/>
      <c r="C78" s="177"/>
      <c r="D78" s="173" t="s">
        <v>2051</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8502D200-0F84-4648-8C49-E7250B43603F}">
      <formula1>-9.99999999999999E+33</formula1>
      <formula2>9.99999999999999E+33</formula2>
    </dataValidation>
  </dataValidations>
  <pageMargins left="0.15" right="0.15" top="0.15" bottom="0.15" header="0.5" footer="0.5"/>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9948F5-9CBE-40CF-A854-9155D527AD46}">
  <dimension ref="A1:C6"/>
  <sheetViews>
    <sheetView showGridLines="0" workbookViewId="0">
      <selection sqref="A1:C1"/>
    </sheetView>
  </sheetViews>
  <sheetFormatPr defaultRowHeight="15"/>
  <cols>
    <col min="1" max="1" width="41.83203125" style="179" bestFit="1" customWidth="1" collapsed="1"/>
    <col min="2" max="2" width="33.33203125" style="179" customWidth="1" collapsed="1"/>
    <col min="3" max="3" width="34.1640625" style="179" bestFit="1" customWidth="1" collapsed="1"/>
    <col min="4" max="16384" width="9.33203125" style="179" collapsed="1"/>
  </cols>
  <sheetData>
    <row r="1" spans="1:3" ht="34.5" customHeight="1">
      <c r="A1" s="359" t="s">
        <v>2052</v>
      </c>
      <c r="B1" s="360"/>
      <c r="C1" s="360"/>
    </row>
    <row r="3" spans="1:3" ht="17.25" customHeight="1">
      <c r="A3" s="180" t="s">
        <v>1744</v>
      </c>
      <c r="B3" s="361" t="s">
        <v>1745</v>
      </c>
      <c r="C3" s="361"/>
    </row>
    <row r="4" spans="1:3">
      <c r="A4" s="181"/>
      <c r="B4" s="182" t="s">
        <v>104</v>
      </c>
    </row>
    <row r="5" spans="1:3" ht="15.75" thickBot="1">
      <c r="A5" s="183" t="s">
        <v>1744</v>
      </c>
      <c r="B5" s="184"/>
      <c r="C5" s="185" t="s">
        <v>1745</v>
      </c>
    </row>
    <row r="6" spans="1:3" ht="75" customHeight="1" thickBot="1">
      <c r="A6" s="186" t="s">
        <v>2053</v>
      </c>
      <c r="B6" s="187" t="s">
        <v>2054</v>
      </c>
      <c r="C6" s="185" t="s">
        <v>2055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2C96669-3621-4C5C-A6FD-736DFD8FCC04}">
      <formula1>0</formula1>
    </dataValidation>
  </dataValidations>
  <pageMargins left="0.15" right="0.15" top="0.15" bottom="0.15" header="0.5" footer="0.5"/>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E662D0-5706-4328-89DC-A7E0B5D3CDAA}">
  <dimension ref="A1:J32"/>
  <sheetViews>
    <sheetView showGridLines="0" workbookViewId="0"/>
  </sheetViews>
  <sheetFormatPr defaultRowHeight="15"/>
  <cols>
    <col min="1" max="1" width="22.5" style="189" customWidth="1" collapsed="1"/>
    <col min="2" max="2" width="28.83203125" style="189" customWidth="1" collapsed="1"/>
    <col min="3" max="3" width="30" style="189" bestFit="1" customWidth="1" collapsed="1"/>
    <col min="4" max="4" width="15.6640625" style="189" bestFit="1" customWidth="1" collapsed="1"/>
    <col min="5" max="5" width="14" style="189" bestFit="1" customWidth="1" collapsed="1"/>
    <col min="6" max="6" width="22.5" style="189" customWidth="1" collapsed="1"/>
    <col min="7" max="7" width="28.83203125" style="189" customWidth="1" collapsed="1"/>
    <col min="8" max="8" width="30" style="189" bestFit="1" customWidth="1" collapsed="1"/>
    <col min="9" max="9" width="15.6640625" style="189" bestFit="1" customWidth="1" collapsed="1"/>
    <col min="10" max="10" width="14" style="189" bestFit="1" customWidth="1" collapsed="1"/>
    <col min="11" max="16384" width="9.33203125" style="189" collapsed="1"/>
  </cols>
  <sheetData>
    <row r="1" spans="1:10" ht="17.25">
      <c r="A1" s="188" t="s">
        <v>2056</v>
      </c>
    </row>
    <row r="3" spans="1:10" ht="17.25" customHeight="1">
      <c r="A3" s="369" t="s">
        <v>19</v>
      </c>
      <c r="B3" s="369"/>
      <c r="C3" s="369"/>
      <c r="D3" s="369"/>
      <c r="E3" s="369"/>
      <c r="F3" s="370" t="s">
        <v>106</v>
      </c>
      <c r="G3" s="370"/>
      <c r="H3" s="370"/>
      <c r="I3" s="370"/>
      <c r="J3" s="370"/>
    </row>
    <row r="4" spans="1:10" ht="34.5" customHeight="1">
      <c r="A4" s="369" t="s">
        <v>2057</v>
      </c>
      <c r="B4" s="369"/>
      <c r="C4" s="370" t="s">
        <v>2058</v>
      </c>
      <c r="D4" s="370"/>
      <c r="E4" s="370"/>
      <c r="F4" s="369" t="s">
        <v>2057</v>
      </c>
      <c r="G4" s="369"/>
      <c r="H4" s="370" t="s">
        <v>2058</v>
      </c>
      <c r="I4" s="370"/>
      <c r="J4" s="370"/>
    </row>
    <row r="5" spans="1:10" ht="23.25">
      <c r="A5" s="368"/>
      <c r="B5" s="368"/>
      <c r="C5" s="190" t="s">
        <v>2059</v>
      </c>
      <c r="D5" s="368"/>
      <c r="E5" s="368"/>
      <c r="F5" s="368"/>
      <c r="G5" s="368"/>
      <c r="H5" s="190" t="s">
        <v>2059</v>
      </c>
      <c r="I5" s="368"/>
      <c r="J5" s="368"/>
    </row>
    <row r="6" spans="1:10">
      <c r="A6" s="368"/>
      <c r="B6" s="368"/>
      <c r="C6" s="190" t="s">
        <v>681</v>
      </c>
      <c r="D6" s="368"/>
      <c r="E6" s="368"/>
      <c r="F6" s="368"/>
      <c r="G6" s="368"/>
      <c r="H6" s="190" t="s">
        <v>681</v>
      </c>
      <c r="I6" s="368"/>
      <c r="J6" s="368"/>
    </row>
    <row r="7" spans="1:10" ht="15.75" thickBot="1">
      <c r="A7" s="363" t="s">
        <v>1821</v>
      </c>
      <c r="B7" s="191" t="s">
        <v>1822</v>
      </c>
      <c r="C7" s="192">
        <v>183429</v>
      </c>
      <c r="D7" s="193" t="s">
        <v>1822</v>
      </c>
      <c r="E7" s="366" t="s">
        <v>1823</v>
      </c>
      <c r="F7" s="363" t="s">
        <v>1821</v>
      </c>
      <c r="G7" s="191" t="s">
        <v>1822</v>
      </c>
      <c r="H7" s="192">
        <v>144952</v>
      </c>
      <c r="I7" s="193" t="s">
        <v>1822</v>
      </c>
      <c r="J7" s="366" t="s">
        <v>1823</v>
      </c>
    </row>
    <row r="8" spans="1:10" ht="15.75" thickBot="1">
      <c r="A8" s="363"/>
      <c r="B8" s="191" t="s">
        <v>1824</v>
      </c>
      <c r="C8" s="192"/>
      <c r="D8" s="193" t="s">
        <v>1824</v>
      </c>
      <c r="E8" s="366"/>
      <c r="F8" s="363"/>
      <c r="G8" s="191" t="s">
        <v>1824</v>
      </c>
      <c r="H8" s="192"/>
      <c r="I8" s="193" t="s">
        <v>1824</v>
      </c>
      <c r="J8" s="366"/>
    </row>
    <row r="9" spans="1:10" ht="15.75" thickBot="1">
      <c r="A9" s="363"/>
      <c r="B9" s="191" t="s">
        <v>1825</v>
      </c>
      <c r="C9" s="192"/>
      <c r="D9" s="193" t="s">
        <v>1825</v>
      </c>
      <c r="E9" s="366"/>
      <c r="F9" s="363"/>
      <c r="G9" s="191" t="s">
        <v>1825</v>
      </c>
      <c r="H9" s="192"/>
      <c r="I9" s="193" t="s">
        <v>1825</v>
      </c>
      <c r="J9" s="366"/>
    </row>
    <row r="10" spans="1:10" ht="15.75" thickBot="1">
      <c r="A10" s="363"/>
      <c r="B10" s="191" t="s">
        <v>1826</v>
      </c>
      <c r="C10" s="192"/>
      <c r="D10" s="193" t="s">
        <v>1826</v>
      </c>
      <c r="E10" s="366"/>
      <c r="F10" s="363"/>
      <c r="G10" s="191" t="s">
        <v>1826</v>
      </c>
      <c r="H10" s="192"/>
      <c r="I10" s="193" t="s">
        <v>1826</v>
      </c>
      <c r="J10" s="366"/>
    </row>
    <row r="11" spans="1:10" ht="15.75" thickBot="1">
      <c r="A11" s="363"/>
      <c r="B11" s="191" t="s">
        <v>1827</v>
      </c>
      <c r="C11" s="192">
        <v>48</v>
      </c>
      <c r="D11" s="193" t="s">
        <v>1827</v>
      </c>
      <c r="E11" s="366"/>
      <c r="F11" s="363"/>
      <c r="G11" s="191" t="s">
        <v>1827</v>
      </c>
      <c r="H11" s="192">
        <v>1481</v>
      </c>
      <c r="I11" s="193" t="s">
        <v>1827</v>
      </c>
      <c r="J11" s="366"/>
    </row>
    <row r="12" spans="1:10" ht="15.75" thickBot="1">
      <c r="A12" s="363"/>
      <c r="B12" s="191" t="s">
        <v>1828</v>
      </c>
      <c r="C12" s="192"/>
      <c r="D12" s="193" t="s">
        <v>1828</v>
      </c>
      <c r="E12" s="366"/>
      <c r="F12" s="363"/>
      <c r="G12" s="191" t="s">
        <v>1828</v>
      </c>
      <c r="H12" s="192"/>
      <c r="I12" s="193" t="s">
        <v>1828</v>
      </c>
      <c r="J12" s="366"/>
    </row>
    <row r="13" spans="1:10" ht="15.75" thickBot="1">
      <c r="A13" s="363"/>
      <c r="B13" s="191" t="s">
        <v>1829</v>
      </c>
      <c r="C13" s="192"/>
      <c r="D13" s="193" t="s">
        <v>1829</v>
      </c>
      <c r="E13" s="366"/>
      <c r="F13" s="363"/>
      <c r="G13" s="191" t="s">
        <v>1829</v>
      </c>
      <c r="H13" s="192"/>
      <c r="I13" s="193" t="s">
        <v>1829</v>
      </c>
      <c r="J13" s="366"/>
    </row>
    <row r="14" spans="1:10" ht="15.75" thickBot="1">
      <c r="A14" s="363"/>
      <c r="B14" s="191" t="s">
        <v>1830</v>
      </c>
      <c r="C14" s="192"/>
      <c r="D14" s="193" t="s">
        <v>1830</v>
      </c>
      <c r="E14" s="366"/>
      <c r="F14" s="363"/>
      <c r="G14" s="191" t="s">
        <v>1830</v>
      </c>
      <c r="H14" s="192"/>
      <c r="I14" s="193" t="s">
        <v>1830</v>
      </c>
      <c r="J14" s="366"/>
    </row>
    <row r="15" spans="1:10" ht="15.75" thickBot="1">
      <c r="A15" s="363"/>
      <c r="B15" s="191" t="s">
        <v>1831</v>
      </c>
      <c r="C15" s="192"/>
      <c r="D15" s="193" t="s">
        <v>1831</v>
      </c>
      <c r="E15" s="366"/>
      <c r="F15" s="363"/>
      <c r="G15" s="191" t="s">
        <v>1831</v>
      </c>
      <c r="H15" s="192"/>
      <c r="I15" s="193" t="s">
        <v>1831</v>
      </c>
      <c r="J15" s="366"/>
    </row>
    <row r="16" spans="1:10" ht="15.75" thickBot="1">
      <c r="A16" s="363"/>
      <c r="B16" s="191" t="s">
        <v>1832</v>
      </c>
      <c r="C16" s="192"/>
      <c r="D16" s="193" t="s">
        <v>1832</v>
      </c>
      <c r="E16" s="366"/>
      <c r="F16" s="363"/>
      <c r="G16" s="191" t="s">
        <v>1832</v>
      </c>
      <c r="H16" s="192"/>
      <c r="I16" s="193" t="s">
        <v>1832</v>
      </c>
      <c r="J16" s="366"/>
    </row>
    <row r="17" spans="1:10" ht="15.75" thickBot="1">
      <c r="A17" s="363"/>
      <c r="B17" s="191" t="s">
        <v>1833</v>
      </c>
      <c r="C17" s="192">
        <v>4003</v>
      </c>
      <c r="D17" s="193" t="s">
        <v>1833</v>
      </c>
      <c r="E17" s="366"/>
      <c r="F17" s="363"/>
      <c r="G17" s="191" t="s">
        <v>1833</v>
      </c>
      <c r="H17" s="192">
        <v>4858</v>
      </c>
      <c r="I17" s="193" t="s">
        <v>1833</v>
      </c>
      <c r="J17" s="366"/>
    </row>
    <row r="18" spans="1:10" ht="15.75" thickBot="1">
      <c r="A18" s="363"/>
      <c r="B18" s="191" t="s">
        <v>1834</v>
      </c>
      <c r="C18" s="192"/>
      <c r="D18" s="193" t="s">
        <v>1835</v>
      </c>
      <c r="E18" s="366"/>
      <c r="F18" s="363"/>
      <c r="G18" s="191" t="s">
        <v>1834</v>
      </c>
      <c r="H18" s="192"/>
      <c r="I18" s="193" t="s">
        <v>1835</v>
      </c>
      <c r="J18" s="366"/>
    </row>
    <row r="19" spans="1:10" ht="15.75" thickBot="1">
      <c r="A19" s="364"/>
      <c r="B19" s="191" t="s">
        <v>1836</v>
      </c>
      <c r="C19" s="192">
        <v>187480</v>
      </c>
      <c r="D19" s="193" t="s">
        <v>1837</v>
      </c>
      <c r="E19" s="367"/>
      <c r="F19" s="364"/>
      <c r="G19" s="191" t="s">
        <v>1836</v>
      </c>
      <c r="H19" s="192">
        <v>151291</v>
      </c>
      <c r="I19" s="193" t="s">
        <v>1837</v>
      </c>
      <c r="J19" s="367"/>
    </row>
    <row r="20" spans="1:10" ht="15.75" thickBot="1">
      <c r="A20" s="362" t="s">
        <v>1838</v>
      </c>
      <c r="B20" s="191" t="s">
        <v>1822</v>
      </c>
      <c r="C20" s="192">
        <v>29482</v>
      </c>
      <c r="D20" s="193" t="s">
        <v>1822</v>
      </c>
      <c r="E20" s="365" t="s">
        <v>1839</v>
      </c>
      <c r="F20" s="362" t="s">
        <v>1838</v>
      </c>
      <c r="G20" s="191" t="s">
        <v>1822</v>
      </c>
      <c r="H20" s="192">
        <v>24569</v>
      </c>
      <c r="I20" s="193" t="s">
        <v>1822</v>
      </c>
      <c r="J20" s="365" t="s">
        <v>1839</v>
      </c>
    </row>
    <row r="21" spans="1:10" ht="15.75" thickBot="1">
      <c r="A21" s="363"/>
      <c r="B21" s="191" t="s">
        <v>1824</v>
      </c>
      <c r="C21" s="192"/>
      <c r="D21" s="193" t="s">
        <v>1824</v>
      </c>
      <c r="E21" s="366"/>
      <c r="F21" s="363"/>
      <c r="G21" s="191" t="s">
        <v>1824</v>
      </c>
      <c r="H21" s="192"/>
      <c r="I21" s="193" t="s">
        <v>1824</v>
      </c>
      <c r="J21" s="366"/>
    </row>
    <row r="22" spans="1:10" ht="15.75" thickBot="1">
      <c r="A22" s="363"/>
      <c r="B22" s="191" t="s">
        <v>1825</v>
      </c>
      <c r="C22" s="192"/>
      <c r="D22" s="193" t="s">
        <v>1825</v>
      </c>
      <c r="E22" s="366"/>
      <c r="F22" s="363"/>
      <c r="G22" s="191" t="s">
        <v>1825</v>
      </c>
      <c r="H22" s="192"/>
      <c r="I22" s="193" t="s">
        <v>1825</v>
      </c>
      <c r="J22" s="366"/>
    </row>
    <row r="23" spans="1:10" ht="15.75" thickBot="1">
      <c r="A23" s="363"/>
      <c r="B23" s="191" t="s">
        <v>1826</v>
      </c>
      <c r="C23" s="192"/>
      <c r="D23" s="193" t="s">
        <v>1826</v>
      </c>
      <c r="E23" s="366"/>
      <c r="F23" s="363"/>
      <c r="G23" s="191" t="s">
        <v>1826</v>
      </c>
      <c r="H23" s="192"/>
      <c r="I23" s="193" t="s">
        <v>1826</v>
      </c>
      <c r="J23" s="366"/>
    </row>
    <row r="24" spans="1:10" ht="15.75" thickBot="1">
      <c r="A24" s="363"/>
      <c r="B24" s="191" t="s">
        <v>1827</v>
      </c>
      <c r="C24" s="192"/>
      <c r="D24" s="193" t="s">
        <v>1827</v>
      </c>
      <c r="E24" s="366"/>
      <c r="F24" s="363"/>
      <c r="G24" s="191" t="s">
        <v>1827</v>
      </c>
      <c r="H24" s="192"/>
      <c r="I24" s="193" t="s">
        <v>1827</v>
      </c>
      <c r="J24" s="366"/>
    </row>
    <row r="25" spans="1:10" ht="15.75" thickBot="1">
      <c r="A25" s="363"/>
      <c r="B25" s="191" t="s">
        <v>1828</v>
      </c>
      <c r="C25" s="192"/>
      <c r="D25" s="193" t="s">
        <v>1828</v>
      </c>
      <c r="E25" s="366"/>
      <c r="F25" s="363"/>
      <c r="G25" s="191" t="s">
        <v>1828</v>
      </c>
      <c r="H25" s="192"/>
      <c r="I25" s="193" t="s">
        <v>1828</v>
      </c>
      <c r="J25" s="366"/>
    </row>
    <row r="26" spans="1:10" ht="15.75" thickBot="1">
      <c r="A26" s="363"/>
      <c r="B26" s="191" t="s">
        <v>1829</v>
      </c>
      <c r="C26" s="192"/>
      <c r="D26" s="193" t="s">
        <v>1829</v>
      </c>
      <c r="E26" s="366"/>
      <c r="F26" s="363"/>
      <c r="G26" s="191" t="s">
        <v>1829</v>
      </c>
      <c r="H26" s="192"/>
      <c r="I26" s="193" t="s">
        <v>1829</v>
      </c>
      <c r="J26" s="366"/>
    </row>
    <row r="27" spans="1:10" ht="15.75" thickBot="1">
      <c r="A27" s="363"/>
      <c r="B27" s="191" t="s">
        <v>1830</v>
      </c>
      <c r="C27" s="192"/>
      <c r="D27" s="193" t="s">
        <v>1830</v>
      </c>
      <c r="E27" s="366"/>
      <c r="F27" s="363"/>
      <c r="G27" s="191" t="s">
        <v>1830</v>
      </c>
      <c r="H27" s="192"/>
      <c r="I27" s="193" t="s">
        <v>1830</v>
      </c>
      <c r="J27" s="366"/>
    </row>
    <row r="28" spans="1:10" ht="15.75" thickBot="1">
      <c r="A28" s="363"/>
      <c r="B28" s="191" t="s">
        <v>1831</v>
      </c>
      <c r="C28" s="192"/>
      <c r="D28" s="193" t="s">
        <v>1831</v>
      </c>
      <c r="E28" s="366"/>
      <c r="F28" s="363"/>
      <c r="G28" s="191" t="s">
        <v>1831</v>
      </c>
      <c r="H28" s="192"/>
      <c r="I28" s="193" t="s">
        <v>1831</v>
      </c>
      <c r="J28" s="366"/>
    </row>
    <row r="29" spans="1:10" ht="15.75" thickBot="1">
      <c r="A29" s="363"/>
      <c r="B29" s="191" t="s">
        <v>1832</v>
      </c>
      <c r="C29" s="192"/>
      <c r="D29" s="193" t="s">
        <v>1832</v>
      </c>
      <c r="E29" s="366"/>
      <c r="F29" s="363"/>
      <c r="G29" s="191" t="s">
        <v>1832</v>
      </c>
      <c r="H29" s="192"/>
      <c r="I29" s="193" t="s">
        <v>1832</v>
      </c>
      <c r="J29" s="366"/>
    </row>
    <row r="30" spans="1:10" ht="15.75" thickBot="1">
      <c r="A30" s="363"/>
      <c r="B30" s="191" t="s">
        <v>1833</v>
      </c>
      <c r="C30" s="192"/>
      <c r="D30" s="193" t="s">
        <v>1833</v>
      </c>
      <c r="E30" s="366"/>
      <c r="F30" s="363"/>
      <c r="G30" s="191" t="s">
        <v>1833</v>
      </c>
      <c r="H30" s="192"/>
      <c r="I30" s="193" t="s">
        <v>1833</v>
      </c>
      <c r="J30" s="366"/>
    </row>
    <row r="31" spans="1:10" ht="15.75" thickBot="1">
      <c r="A31" s="363"/>
      <c r="B31" s="191" t="s">
        <v>1834</v>
      </c>
      <c r="C31" s="192"/>
      <c r="D31" s="193" t="s">
        <v>1835</v>
      </c>
      <c r="E31" s="366"/>
      <c r="F31" s="363"/>
      <c r="G31" s="191" t="s">
        <v>1834</v>
      </c>
      <c r="H31" s="192"/>
      <c r="I31" s="193" t="s">
        <v>1835</v>
      </c>
      <c r="J31" s="366"/>
    </row>
    <row r="32" spans="1:10" ht="15.75" thickBot="1">
      <c r="A32" s="364"/>
      <c r="B32" s="191" t="s">
        <v>1836</v>
      </c>
      <c r="C32" s="192">
        <v>29482</v>
      </c>
      <c r="D32" s="193" t="s">
        <v>1837</v>
      </c>
      <c r="E32" s="367"/>
      <c r="F32" s="364"/>
      <c r="G32" s="191" t="s">
        <v>1836</v>
      </c>
      <c r="H32" s="192">
        <v>24569</v>
      </c>
      <c r="I32" s="193" t="s">
        <v>1837</v>
      </c>
      <c r="J32" s="367"/>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D4E76751-C805-42BD-BE20-4558374777AF}">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7B0083-A0B1-4FC3-A41C-D2C7AA8B7214}">
  <dimension ref="A1:J47"/>
  <sheetViews>
    <sheetView showGridLines="0" workbookViewId="0"/>
  </sheetViews>
  <sheetFormatPr defaultRowHeight="15"/>
  <cols>
    <col min="1" max="1" width="23.6640625" style="195" customWidth="1" collapsed="1"/>
    <col min="2" max="2" width="23" style="195" customWidth="1" collapsed="1"/>
    <col min="3" max="3" width="30" style="195" bestFit="1" customWidth="1" collapsed="1"/>
    <col min="4" max="4" width="20.6640625" style="195" bestFit="1" customWidth="1" collapsed="1"/>
    <col min="5" max="5" width="12.33203125" style="195" bestFit="1" customWidth="1" collapsed="1"/>
    <col min="6" max="6" width="23.6640625" style="195" customWidth="1" collapsed="1"/>
    <col min="7" max="7" width="23" style="195" customWidth="1" collapsed="1"/>
    <col min="8" max="8" width="30" style="195" bestFit="1" customWidth="1" collapsed="1"/>
    <col min="9" max="9" width="20.6640625" style="195" bestFit="1" customWidth="1" collapsed="1"/>
    <col min="10" max="10" width="12.33203125" style="195" bestFit="1" customWidth="1" collapsed="1"/>
    <col min="11" max="16384" width="9.33203125" style="195" collapsed="1"/>
  </cols>
  <sheetData>
    <row r="1" spans="1:10" ht="17.25">
      <c r="A1" s="194" t="s">
        <v>2060</v>
      </c>
    </row>
    <row r="3" spans="1:10" ht="17.25" customHeight="1">
      <c r="A3" s="371" t="s">
        <v>19</v>
      </c>
      <c r="B3" s="371"/>
      <c r="C3" s="371"/>
      <c r="D3" s="371"/>
      <c r="E3" s="371"/>
      <c r="F3" s="372" t="s">
        <v>106</v>
      </c>
      <c r="G3" s="372"/>
      <c r="H3" s="372"/>
      <c r="I3" s="372"/>
      <c r="J3" s="372"/>
    </row>
    <row r="4" spans="1:10" ht="17.25" customHeight="1">
      <c r="A4" s="371" t="s">
        <v>2061</v>
      </c>
      <c r="B4" s="371"/>
      <c r="C4" s="372" t="s">
        <v>2062</v>
      </c>
      <c r="D4" s="372"/>
      <c r="E4" s="372"/>
      <c r="F4" s="371" t="s">
        <v>2061</v>
      </c>
      <c r="G4" s="371"/>
      <c r="H4" s="372" t="s">
        <v>2062</v>
      </c>
      <c r="I4" s="372"/>
      <c r="J4" s="372"/>
    </row>
    <row r="5" spans="1:10" ht="23.25">
      <c r="A5" s="373"/>
      <c r="B5" s="373"/>
      <c r="C5" s="196" t="s">
        <v>2059</v>
      </c>
      <c r="D5" s="373"/>
      <c r="E5" s="373"/>
      <c r="F5" s="373"/>
      <c r="G5" s="373"/>
      <c r="H5" s="196" t="s">
        <v>2059</v>
      </c>
      <c r="I5" s="373"/>
      <c r="J5" s="373"/>
    </row>
    <row r="6" spans="1:10">
      <c r="A6" s="373"/>
      <c r="B6" s="373"/>
      <c r="C6" s="196" t="s">
        <v>681</v>
      </c>
      <c r="D6" s="373"/>
      <c r="E6" s="373"/>
      <c r="F6" s="373"/>
      <c r="G6" s="373"/>
      <c r="H6" s="196" t="s">
        <v>681</v>
      </c>
      <c r="I6" s="373"/>
      <c r="J6" s="373"/>
    </row>
    <row r="7" spans="1:10" ht="15.75" thickBot="1">
      <c r="A7" s="374" t="s">
        <v>1848</v>
      </c>
      <c r="B7" s="197" t="s">
        <v>1849</v>
      </c>
      <c r="C7" s="198">
        <v>10401</v>
      </c>
      <c r="D7" s="199" t="s">
        <v>1850</v>
      </c>
      <c r="E7" s="376" t="s">
        <v>1851</v>
      </c>
      <c r="F7" s="374" t="s">
        <v>1848</v>
      </c>
      <c r="G7" s="197" t="s">
        <v>1849</v>
      </c>
      <c r="H7" s="198">
        <v>5657</v>
      </c>
      <c r="I7" s="199" t="s">
        <v>1850</v>
      </c>
      <c r="J7" s="376" t="s">
        <v>1851</v>
      </c>
    </row>
    <row r="8" spans="1:10" ht="15.75" thickBot="1">
      <c r="A8" s="374"/>
      <c r="B8" s="197" t="s">
        <v>1852</v>
      </c>
      <c r="C8" s="198"/>
      <c r="D8" s="199" t="s">
        <v>1853</v>
      </c>
      <c r="E8" s="376"/>
      <c r="F8" s="374"/>
      <c r="G8" s="197" t="s">
        <v>1852</v>
      </c>
      <c r="H8" s="198"/>
      <c r="I8" s="199" t="s">
        <v>1853</v>
      </c>
      <c r="J8" s="376"/>
    </row>
    <row r="9" spans="1:10" ht="15.75" thickBot="1">
      <c r="A9" s="374"/>
      <c r="B9" s="197" t="s">
        <v>1854</v>
      </c>
      <c r="C9" s="198"/>
      <c r="D9" s="199" t="s">
        <v>1855</v>
      </c>
      <c r="E9" s="376"/>
      <c r="F9" s="374"/>
      <c r="G9" s="197" t="s">
        <v>1854</v>
      </c>
      <c r="H9" s="198"/>
      <c r="I9" s="199" t="s">
        <v>1855</v>
      </c>
      <c r="J9" s="376"/>
    </row>
    <row r="10" spans="1:10" ht="15.75" thickBot="1">
      <c r="A10" s="374"/>
      <c r="B10" s="197" t="s">
        <v>1856</v>
      </c>
      <c r="C10" s="198"/>
      <c r="D10" s="199" t="s">
        <v>1857</v>
      </c>
      <c r="E10" s="376"/>
      <c r="F10" s="374"/>
      <c r="G10" s="197" t="s">
        <v>1856</v>
      </c>
      <c r="H10" s="198"/>
      <c r="I10" s="199" t="s">
        <v>1857</v>
      </c>
      <c r="J10" s="376"/>
    </row>
    <row r="11" spans="1:10" ht="15.75" thickBot="1">
      <c r="A11" s="374"/>
      <c r="B11" s="197" t="s">
        <v>1858</v>
      </c>
      <c r="C11" s="198"/>
      <c r="D11" s="199" t="s">
        <v>1859</v>
      </c>
      <c r="E11" s="376"/>
      <c r="F11" s="374"/>
      <c r="G11" s="197" t="s">
        <v>1858</v>
      </c>
      <c r="H11" s="198"/>
      <c r="I11" s="199" t="s">
        <v>1859</v>
      </c>
      <c r="J11" s="376"/>
    </row>
    <row r="12" spans="1:10" ht="15.75" thickBot="1">
      <c r="A12" s="374"/>
      <c r="B12" s="197" t="s">
        <v>1860</v>
      </c>
      <c r="C12" s="198">
        <v>288</v>
      </c>
      <c r="D12" s="199" t="s">
        <v>1861</v>
      </c>
      <c r="E12" s="376"/>
      <c r="F12" s="374"/>
      <c r="G12" s="197" t="s">
        <v>1860</v>
      </c>
      <c r="H12" s="198">
        <v>13</v>
      </c>
      <c r="I12" s="199" t="s">
        <v>1861</v>
      </c>
      <c r="J12" s="376"/>
    </row>
    <row r="13" spans="1:10" ht="15.75" thickBot="1">
      <c r="A13" s="374"/>
      <c r="B13" s="197" t="s">
        <v>1862</v>
      </c>
      <c r="C13" s="198">
        <v>94</v>
      </c>
      <c r="D13" s="199" t="s">
        <v>1863</v>
      </c>
      <c r="E13" s="376"/>
      <c r="F13" s="374"/>
      <c r="G13" s="197" t="s">
        <v>1862</v>
      </c>
      <c r="H13" s="198">
        <v>46</v>
      </c>
      <c r="I13" s="199" t="s">
        <v>1863</v>
      </c>
      <c r="J13" s="376"/>
    </row>
    <row r="14" spans="1:10" ht="15.75" thickBot="1">
      <c r="A14" s="374"/>
      <c r="B14" s="197" t="s">
        <v>1864</v>
      </c>
      <c r="C14" s="198"/>
      <c r="D14" s="199" t="s">
        <v>1865</v>
      </c>
      <c r="E14" s="376"/>
      <c r="F14" s="374"/>
      <c r="G14" s="197" t="s">
        <v>1864</v>
      </c>
      <c r="H14" s="198"/>
      <c r="I14" s="199" t="s">
        <v>1865</v>
      </c>
      <c r="J14" s="376"/>
    </row>
    <row r="15" spans="1:10" ht="15.75" thickBot="1">
      <c r="A15" s="374"/>
      <c r="B15" s="197" t="s">
        <v>1866</v>
      </c>
      <c r="C15" s="198">
        <v>66</v>
      </c>
      <c r="D15" s="199" t="s">
        <v>1867</v>
      </c>
      <c r="E15" s="376"/>
      <c r="F15" s="374"/>
      <c r="G15" s="197" t="s">
        <v>1866</v>
      </c>
      <c r="H15" s="198">
        <v>65</v>
      </c>
      <c r="I15" s="199" t="s">
        <v>1867</v>
      </c>
      <c r="J15" s="376"/>
    </row>
    <row r="16" spans="1:10" ht="15.75" thickBot="1">
      <c r="A16" s="374"/>
      <c r="B16" s="197" t="s">
        <v>1868</v>
      </c>
      <c r="C16" s="198"/>
      <c r="D16" s="199" t="s">
        <v>1869</v>
      </c>
      <c r="E16" s="376"/>
      <c r="F16" s="374"/>
      <c r="G16" s="197" t="s">
        <v>1868</v>
      </c>
      <c r="H16" s="198"/>
      <c r="I16" s="199" t="s">
        <v>1869</v>
      </c>
      <c r="J16" s="376"/>
    </row>
    <row r="17" spans="1:10" ht="15.75" thickBot="1">
      <c r="A17" s="374"/>
      <c r="B17" s="197" t="s">
        <v>1870</v>
      </c>
      <c r="C17" s="198"/>
      <c r="D17" s="199" t="s">
        <v>1871</v>
      </c>
      <c r="E17" s="376"/>
      <c r="F17" s="374"/>
      <c r="G17" s="197" t="s">
        <v>1870</v>
      </c>
      <c r="H17" s="198"/>
      <c r="I17" s="199" t="s">
        <v>1871</v>
      </c>
      <c r="J17" s="376"/>
    </row>
    <row r="18" spans="1:10" ht="15.75" thickBot="1">
      <c r="A18" s="374"/>
      <c r="B18" s="197" t="s">
        <v>1872</v>
      </c>
      <c r="C18" s="198"/>
      <c r="D18" s="199" t="s">
        <v>1873</v>
      </c>
      <c r="E18" s="376"/>
      <c r="F18" s="374"/>
      <c r="G18" s="197" t="s">
        <v>1872</v>
      </c>
      <c r="H18" s="198"/>
      <c r="I18" s="199" t="s">
        <v>1873</v>
      </c>
      <c r="J18" s="376"/>
    </row>
    <row r="19" spans="1:10" ht="15.75" thickBot="1">
      <c r="A19" s="374"/>
      <c r="B19" s="197" t="s">
        <v>1874</v>
      </c>
      <c r="C19" s="198"/>
      <c r="D19" s="199" t="s">
        <v>1875</v>
      </c>
      <c r="E19" s="376"/>
      <c r="F19" s="374"/>
      <c r="G19" s="197" t="s">
        <v>1874</v>
      </c>
      <c r="H19" s="198"/>
      <c r="I19" s="199" t="s">
        <v>1875</v>
      </c>
      <c r="J19" s="376"/>
    </row>
    <row r="20" spans="1:10" ht="15.75" thickBot="1">
      <c r="A20" s="374"/>
      <c r="B20" s="197" t="s">
        <v>1876</v>
      </c>
      <c r="C20" s="198"/>
      <c r="D20" s="199" t="s">
        <v>1877</v>
      </c>
      <c r="E20" s="376"/>
      <c r="F20" s="374"/>
      <c r="G20" s="197" t="s">
        <v>1876</v>
      </c>
      <c r="H20" s="198"/>
      <c r="I20" s="199" t="s">
        <v>1877</v>
      </c>
      <c r="J20" s="376"/>
    </row>
    <row r="21" spans="1:10" ht="15.75" thickBot="1">
      <c r="A21" s="374"/>
      <c r="B21" s="197" t="s">
        <v>1878</v>
      </c>
      <c r="C21" s="198"/>
      <c r="D21" s="199" t="s">
        <v>1879</v>
      </c>
      <c r="E21" s="376"/>
      <c r="F21" s="374"/>
      <c r="G21" s="197" t="s">
        <v>1878</v>
      </c>
      <c r="H21" s="198"/>
      <c r="I21" s="199" t="s">
        <v>1879</v>
      </c>
      <c r="J21" s="376"/>
    </row>
    <row r="22" spans="1:10" ht="15.75" thickBot="1">
      <c r="A22" s="374"/>
      <c r="B22" s="197" t="s">
        <v>1880</v>
      </c>
      <c r="C22" s="198"/>
      <c r="D22" s="199" t="s">
        <v>1881</v>
      </c>
      <c r="E22" s="376"/>
      <c r="F22" s="374"/>
      <c r="G22" s="197" t="s">
        <v>1880</v>
      </c>
      <c r="H22" s="198"/>
      <c r="I22" s="199" t="s">
        <v>1881</v>
      </c>
      <c r="J22" s="376"/>
    </row>
    <row r="23" spans="1:10" ht="15.75" thickBot="1">
      <c r="A23" s="374"/>
      <c r="B23" s="197" t="s">
        <v>1882</v>
      </c>
      <c r="C23" s="198"/>
      <c r="D23" s="199" t="s">
        <v>1883</v>
      </c>
      <c r="E23" s="376"/>
      <c r="F23" s="374"/>
      <c r="G23" s="197" t="s">
        <v>1882</v>
      </c>
      <c r="H23" s="198"/>
      <c r="I23" s="199" t="s">
        <v>1883</v>
      </c>
      <c r="J23" s="376"/>
    </row>
    <row r="24" spans="1:10" ht="15.75" thickBot="1">
      <c r="A24" s="374"/>
      <c r="B24" s="197" t="s">
        <v>1884</v>
      </c>
      <c r="C24" s="198"/>
      <c r="D24" s="199" t="s">
        <v>1885</v>
      </c>
      <c r="E24" s="376"/>
      <c r="F24" s="374"/>
      <c r="G24" s="197" t="s">
        <v>1884</v>
      </c>
      <c r="H24" s="198"/>
      <c r="I24" s="199" t="s">
        <v>1885</v>
      </c>
      <c r="J24" s="376"/>
    </row>
    <row r="25" spans="1:10" ht="15.75" thickBot="1">
      <c r="A25" s="374"/>
      <c r="B25" s="197" t="s">
        <v>1886</v>
      </c>
      <c r="C25" s="198"/>
      <c r="D25" s="199" t="s">
        <v>1887</v>
      </c>
      <c r="E25" s="376"/>
      <c r="F25" s="374"/>
      <c r="G25" s="197" t="s">
        <v>1886</v>
      </c>
      <c r="H25" s="198"/>
      <c r="I25" s="199" t="s">
        <v>1887</v>
      </c>
      <c r="J25" s="376"/>
    </row>
    <row r="26" spans="1:10" ht="15.75" thickBot="1">
      <c r="A26" s="374"/>
      <c r="B26" s="197" t="s">
        <v>1888</v>
      </c>
      <c r="C26" s="198"/>
      <c r="D26" s="199" t="s">
        <v>1889</v>
      </c>
      <c r="E26" s="376"/>
      <c r="F26" s="374"/>
      <c r="G26" s="197" t="s">
        <v>1888</v>
      </c>
      <c r="H26" s="198"/>
      <c r="I26" s="199" t="s">
        <v>1889</v>
      </c>
      <c r="J26" s="376"/>
    </row>
    <row r="27" spans="1:10" ht="15.75" thickBot="1">
      <c r="A27" s="374"/>
      <c r="B27" s="197" t="s">
        <v>1890</v>
      </c>
      <c r="C27" s="198"/>
      <c r="D27" s="199" t="s">
        <v>1891</v>
      </c>
      <c r="E27" s="376"/>
      <c r="F27" s="374"/>
      <c r="G27" s="197" t="s">
        <v>1890</v>
      </c>
      <c r="H27" s="198"/>
      <c r="I27" s="199" t="s">
        <v>1891</v>
      </c>
      <c r="J27" s="376"/>
    </row>
    <row r="28" spans="1:10" ht="15.75" thickBot="1">
      <c r="A28" s="374"/>
      <c r="B28" s="197" t="s">
        <v>1892</v>
      </c>
      <c r="C28" s="198"/>
      <c r="D28" s="199" t="s">
        <v>1893</v>
      </c>
      <c r="E28" s="376"/>
      <c r="F28" s="374"/>
      <c r="G28" s="197" t="s">
        <v>1892</v>
      </c>
      <c r="H28" s="198"/>
      <c r="I28" s="199" t="s">
        <v>1893</v>
      </c>
      <c r="J28" s="376"/>
    </row>
    <row r="29" spans="1:10" ht="15.75" thickBot="1">
      <c r="A29" s="374"/>
      <c r="B29" s="197" t="s">
        <v>1894</v>
      </c>
      <c r="C29" s="198"/>
      <c r="D29" s="199" t="s">
        <v>1895</v>
      </c>
      <c r="E29" s="376"/>
      <c r="F29" s="374"/>
      <c r="G29" s="197" t="s">
        <v>1894</v>
      </c>
      <c r="H29" s="198"/>
      <c r="I29" s="199" t="s">
        <v>1895</v>
      </c>
      <c r="J29" s="376"/>
    </row>
    <row r="30" spans="1:10" ht="15.75" thickBot="1">
      <c r="A30" s="374"/>
      <c r="B30" s="197" t="s">
        <v>1896</v>
      </c>
      <c r="C30" s="198">
        <v>14895</v>
      </c>
      <c r="D30" s="199" t="s">
        <v>1897</v>
      </c>
      <c r="E30" s="376"/>
      <c r="F30" s="374"/>
      <c r="G30" s="197" t="s">
        <v>1896</v>
      </c>
      <c r="H30" s="198">
        <v>36108</v>
      </c>
      <c r="I30" s="199" t="s">
        <v>1897</v>
      </c>
      <c r="J30" s="376"/>
    </row>
    <row r="31" spans="1:10" ht="15.75" thickBot="1">
      <c r="A31" s="374"/>
      <c r="B31" s="197" t="s">
        <v>1898</v>
      </c>
      <c r="C31" s="198"/>
      <c r="D31" s="199" t="s">
        <v>1899</v>
      </c>
      <c r="E31" s="376"/>
      <c r="F31" s="374"/>
      <c r="G31" s="197" t="s">
        <v>1898</v>
      </c>
      <c r="H31" s="198"/>
      <c r="I31" s="199" t="s">
        <v>1899</v>
      </c>
      <c r="J31" s="376"/>
    </row>
    <row r="32" spans="1:10" ht="15.75" thickBot="1">
      <c r="A32" s="374"/>
      <c r="B32" s="197" t="s">
        <v>1900</v>
      </c>
      <c r="C32" s="198"/>
      <c r="D32" s="199" t="s">
        <v>1901</v>
      </c>
      <c r="E32" s="376"/>
      <c r="F32" s="374"/>
      <c r="G32" s="197" t="s">
        <v>1900</v>
      </c>
      <c r="H32" s="198"/>
      <c r="I32" s="199" t="s">
        <v>1901</v>
      </c>
      <c r="J32" s="376"/>
    </row>
    <row r="33" spans="1:10" ht="15.75" thickBot="1">
      <c r="A33" s="374"/>
      <c r="B33" s="197" t="s">
        <v>1902</v>
      </c>
      <c r="C33" s="198"/>
      <c r="D33" s="199" t="s">
        <v>1903</v>
      </c>
      <c r="E33" s="376"/>
      <c r="F33" s="374"/>
      <c r="G33" s="197" t="s">
        <v>1902</v>
      </c>
      <c r="H33" s="198"/>
      <c r="I33" s="199" t="s">
        <v>1903</v>
      </c>
      <c r="J33" s="376"/>
    </row>
    <row r="34" spans="1:10" ht="15.75" thickBot="1">
      <c r="A34" s="374"/>
      <c r="B34" s="197" t="s">
        <v>1904</v>
      </c>
      <c r="C34" s="198"/>
      <c r="D34" s="199" t="s">
        <v>1905</v>
      </c>
      <c r="E34" s="376"/>
      <c r="F34" s="374"/>
      <c r="G34" s="197" t="s">
        <v>1904</v>
      </c>
      <c r="H34" s="198"/>
      <c r="I34" s="199" t="s">
        <v>1905</v>
      </c>
      <c r="J34" s="376"/>
    </row>
    <row r="35" spans="1:10" ht="15.75" thickBot="1">
      <c r="A35" s="374"/>
      <c r="B35" s="197" t="s">
        <v>1906</v>
      </c>
      <c r="C35" s="198"/>
      <c r="D35" s="199" t="s">
        <v>1907</v>
      </c>
      <c r="E35" s="376"/>
      <c r="F35" s="374"/>
      <c r="G35" s="197" t="s">
        <v>1906</v>
      </c>
      <c r="H35" s="198"/>
      <c r="I35" s="199" t="s">
        <v>1907</v>
      </c>
      <c r="J35" s="376"/>
    </row>
    <row r="36" spans="1:10" ht="15.75" thickBot="1">
      <c r="A36" s="374"/>
      <c r="B36" s="197" t="s">
        <v>1908</v>
      </c>
      <c r="C36" s="198"/>
      <c r="D36" s="199" t="s">
        <v>1909</v>
      </c>
      <c r="E36" s="376"/>
      <c r="F36" s="374"/>
      <c r="G36" s="197" t="s">
        <v>1908</v>
      </c>
      <c r="H36" s="198"/>
      <c r="I36" s="199" t="s">
        <v>1909</v>
      </c>
      <c r="J36" s="376"/>
    </row>
    <row r="37" spans="1:10" ht="15.75" thickBot="1">
      <c r="A37" s="375"/>
      <c r="B37" s="197" t="s">
        <v>1845</v>
      </c>
      <c r="C37" s="198">
        <v>25744</v>
      </c>
      <c r="D37" s="199" t="s">
        <v>1846</v>
      </c>
      <c r="E37" s="377"/>
      <c r="F37" s="375"/>
      <c r="G37" s="197" t="s">
        <v>1845</v>
      </c>
      <c r="H37" s="198">
        <v>41889</v>
      </c>
      <c r="I37" s="199" t="s">
        <v>1846</v>
      </c>
      <c r="J37" s="377"/>
    </row>
    <row r="38" spans="1:10" ht="17.25" customHeight="1">
      <c r="A38" s="378" t="s">
        <v>19</v>
      </c>
      <c r="B38" s="378"/>
      <c r="C38" s="378"/>
      <c r="D38" s="378"/>
      <c r="E38" s="378"/>
      <c r="F38" s="379" t="s">
        <v>106</v>
      </c>
      <c r="G38" s="379"/>
      <c r="H38" s="379"/>
      <c r="I38" s="379"/>
      <c r="J38" s="379"/>
    </row>
    <row r="39" spans="1:10" ht="17.25" customHeight="1">
      <c r="A39" s="371" t="s">
        <v>2061</v>
      </c>
      <c r="B39" s="371"/>
      <c r="C39" s="372" t="s">
        <v>2062</v>
      </c>
      <c r="D39" s="372"/>
      <c r="E39" s="372"/>
      <c r="F39" s="371" t="s">
        <v>2061</v>
      </c>
      <c r="G39" s="371"/>
      <c r="H39" s="372" t="s">
        <v>2062</v>
      </c>
      <c r="I39" s="372"/>
      <c r="J39" s="372"/>
    </row>
    <row r="40" spans="1:10" ht="23.25">
      <c r="A40" s="373"/>
      <c r="B40" s="373"/>
      <c r="C40" s="196" t="s">
        <v>2059</v>
      </c>
      <c r="D40" s="373"/>
      <c r="E40" s="373"/>
      <c r="F40" s="373"/>
      <c r="G40" s="373"/>
      <c r="H40" s="196" t="s">
        <v>2059</v>
      </c>
      <c r="I40" s="373"/>
      <c r="J40" s="373"/>
    </row>
    <row r="41" spans="1:10">
      <c r="A41" s="373"/>
      <c r="B41" s="373"/>
      <c r="C41" s="196" t="s">
        <v>681</v>
      </c>
      <c r="D41" s="373"/>
      <c r="E41" s="373"/>
      <c r="F41" s="373"/>
      <c r="G41" s="373"/>
      <c r="H41" s="196" t="s">
        <v>681</v>
      </c>
      <c r="I41" s="373"/>
      <c r="J41" s="373"/>
    </row>
    <row r="42" spans="1:10" ht="15.75" thickBot="1">
      <c r="A42" s="197" t="s">
        <v>1844</v>
      </c>
      <c r="B42" s="197" t="s">
        <v>1845</v>
      </c>
      <c r="C42" s="198">
        <v>191218</v>
      </c>
      <c r="D42" s="199" t="s">
        <v>1846</v>
      </c>
      <c r="E42" s="199" t="s">
        <v>1847</v>
      </c>
      <c r="F42" s="197" t="s">
        <v>1844</v>
      </c>
      <c r="G42" s="197" t="s">
        <v>1845</v>
      </c>
      <c r="H42" s="198">
        <v>133971</v>
      </c>
      <c r="I42" s="199" t="s">
        <v>1846</v>
      </c>
      <c r="J42" s="199" t="s">
        <v>1847</v>
      </c>
    </row>
    <row r="43" spans="1:10" ht="17.25" customHeight="1">
      <c r="A43" s="378" t="s">
        <v>19</v>
      </c>
      <c r="B43" s="378"/>
      <c r="C43" s="378"/>
      <c r="D43" s="378"/>
      <c r="E43" s="378"/>
      <c r="F43" s="379" t="s">
        <v>106</v>
      </c>
      <c r="G43" s="379"/>
      <c r="H43" s="379"/>
      <c r="I43" s="379"/>
      <c r="J43" s="379"/>
    </row>
    <row r="44" spans="1:10" ht="17.25" customHeight="1">
      <c r="A44" s="371" t="s">
        <v>2061</v>
      </c>
      <c r="B44" s="371"/>
      <c r="C44" s="372" t="s">
        <v>2062</v>
      </c>
      <c r="D44" s="372"/>
      <c r="E44" s="372"/>
      <c r="F44" s="371" t="s">
        <v>2061</v>
      </c>
      <c r="G44" s="371"/>
      <c r="H44" s="372" t="s">
        <v>2062</v>
      </c>
      <c r="I44" s="372"/>
      <c r="J44" s="372"/>
    </row>
    <row r="45" spans="1:10" ht="23.25">
      <c r="A45" s="373"/>
      <c r="B45" s="373"/>
      <c r="C45" s="196" t="s">
        <v>2059</v>
      </c>
      <c r="D45" s="373"/>
      <c r="E45" s="373"/>
      <c r="F45" s="373"/>
      <c r="G45" s="373"/>
      <c r="H45" s="196" t="s">
        <v>2059</v>
      </c>
      <c r="I45" s="373"/>
      <c r="J45" s="373"/>
    </row>
    <row r="46" spans="1:10">
      <c r="A46" s="373"/>
      <c r="B46" s="373"/>
      <c r="C46" s="196" t="s">
        <v>681</v>
      </c>
      <c r="D46" s="373"/>
      <c r="E46" s="373"/>
      <c r="F46" s="373"/>
      <c r="G46" s="373"/>
      <c r="H46" s="196" t="s">
        <v>681</v>
      </c>
      <c r="I46" s="373"/>
      <c r="J46" s="373"/>
    </row>
    <row r="47" spans="1:10" ht="15.75" thickBot="1">
      <c r="A47" s="197" t="s">
        <v>1910</v>
      </c>
      <c r="B47" s="197" t="s">
        <v>1845</v>
      </c>
      <c r="C47" s="198">
        <v>216962</v>
      </c>
      <c r="D47" s="199" t="s">
        <v>1846</v>
      </c>
      <c r="E47" s="199" t="s">
        <v>1911</v>
      </c>
      <c r="F47" s="197" t="s">
        <v>1910</v>
      </c>
      <c r="G47" s="197" t="s">
        <v>1845</v>
      </c>
      <c r="H47" s="198">
        <v>175860</v>
      </c>
      <c r="I47" s="199" t="s">
        <v>1846</v>
      </c>
      <c r="J47" s="199" t="s">
        <v>1911</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33B56EFE-71F9-4FA5-9BEF-962AA24F9888}">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A1250-7BAE-4A45-BB97-12A1123F0C8D}">
  <dimension ref="A1:D39"/>
  <sheetViews>
    <sheetView showGridLines="0" workbookViewId="0"/>
  </sheetViews>
  <sheetFormatPr defaultRowHeight="15"/>
  <cols>
    <col min="1" max="1" width="42.6640625" style="201" bestFit="1" customWidth="1" collapsed="1"/>
    <col min="2" max="3" width="33.33203125" style="201" customWidth="1" collapsed="1"/>
    <col min="4" max="4" width="42.6640625" style="201" bestFit="1" customWidth="1" collapsed="1"/>
    <col min="5" max="16384" width="9.33203125" style="201" collapsed="1"/>
  </cols>
  <sheetData>
    <row r="1" spans="1:4" ht="17.25">
      <c r="A1" s="200" t="s">
        <v>2063</v>
      </c>
    </row>
    <row r="3" spans="1:4" ht="17.25" customHeight="1">
      <c r="A3" s="380" t="s">
        <v>2064</v>
      </c>
      <c r="B3" s="380"/>
      <c r="C3" s="381" t="s">
        <v>2065</v>
      </c>
      <c r="D3" s="381"/>
    </row>
    <row r="4" spans="1:4">
      <c r="A4" s="202"/>
      <c r="B4" s="203" t="s">
        <v>19</v>
      </c>
      <c r="C4" s="203" t="s">
        <v>108</v>
      </c>
    </row>
    <row r="5" spans="1:4" ht="15.75" thickBot="1">
      <c r="A5" s="204" t="s">
        <v>2064</v>
      </c>
      <c r="B5" s="205"/>
      <c r="C5" s="205"/>
      <c r="D5" s="206" t="s">
        <v>2065</v>
      </c>
    </row>
    <row r="6" spans="1:4" ht="15.75" thickBot="1">
      <c r="A6" s="207" t="s">
        <v>2066</v>
      </c>
      <c r="B6" s="208">
        <v>65009</v>
      </c>
      <c r="C6" s="208">
        <v>86860</v>
      </c>
      <c r="D6" s="206" t="s">
        <v>2067</v>
      </c>
    </row>
    <row r="7" spans="1:4" ht="15.75" thickBot="1">
      <c r="A7" s="207" t="s">
        <v>2068</v>
      </c>
      <c r="B7" s="209">
        <v>439830</v>
      </c>
      <c r="C7" s="209">
        <v>387648</v>
      </c>
      <c r="D7" s="206" t="s">
        <v>2069</v>
      </c>
    </row>
    <row r="8" spans="1:4" ht="15.75" thickBot="1">
      <c r="A8" s="207" t="s">
        <v>2070</v>
      </c>
      <c r="B8" s="208">
        <v>66031</v>
      </c>
      <c r="C8" s="208">
        <v>61282</v>
      </c>
      <c r="D8" s="206" t="s">
        <v>2071</v>
      </c>
    </row>
    <row r="9" spans="1:4" ht="15.75" thickBot="1">
      <c r="A9" s="207" t="s">
        <v>2072</v>
      </c>
      <c r="B9" s="209">
        <v>438808</v>
      </c>
      <c r="C9" s="209">
        <v>413226</v>
      </c>
      <c r="D9" s="206" t="s">
        <v>2073</v>
      </c>
    </row>
    <row r="10" spans="1:4" ht="15.75" thickBot="1">
      <c r="A10" s="207" t="s">
        <v>2074</v>
      </c>
      <c r="B10" s="209"/>
      <c r="C10" s="209"/>
      <c r="D10" s="206" t="s">
        <v>2075</v>
      </c>
    </row>
    <row r="11" spans="1:4" ht="15.75" thickBot="1">
      <c r="A11" s="207" t="s">
        <v>2076</v>
      </c>
      <c r="B11" s="209"/>
      <c r="C11" s="209"/>
      <c r="D11" s="206" t="s">
        <v>2077</v>
      </c>
    </row>
    <row r="12" spans="1:4" ht="15.75" thickBot="1">
      <c r="A12" s="207" t="s">
        <v>2078</v>
      </c>
      <c r="B12" s="209"/>
      <c r="C12" s="209"/>
      <c r="D12" s="206" t="s">
        <v>2079</v>
      </c>
    </row>
    <row r="13" spans="1:4" ht="15.75" thickBot="1">
      <c r="A13" s="207" t="s">
        <v>2080</v>
      </c>
      <c r="B13" s="209"/>
      <c r="C13" s="209"/>
      <c r="D13" s="206" t="s">
        <v>2081</v>
      </c>
    </row>
    <row r="14" spans="1:4" ht="15.75" thickBot="1">
      <c r="A14" s="207" t="s">
        <v>2082</v>
      </c>
      <c r="B14" s="209"/>
      <c r="C14" s="209"/>
      <c r="D14" s="206" t="s">
        <v>2083</v>
      </c>
    </row>
    <row r="15" spans="1:4" ht="15.75" thickBot="1">
      <c r="A15" s="207" t="s">
        <v>2084</v>
      </c>
      <c r="B15" s="209"/>
      <c r="C15" s="209"/>
      <c r="D15" s="206" t="s">
        <v>2085</v>
      </c>
    </row>
    <row r="16" spans="1:4" ht="26.25" thickBot="1">
      <c r="A16" s="207" t="s">
        <v>2086</v>
      </c>
      <c r="B16" s="209"/>
      <c r="C16" s="209"/>
      <c r="D16" s="206" t="s">
        <v>2087</v>
      </c>
    </row>
    <row r="17" spans="1:4" ht="15.75" thickBot="1">
      <c r="A17" s="207" t="s">
        <v>2088</v>
      </c>
      <c r="B17" s="209"/>
      <c r="C17" s="209"/>
      <c r="D17" s="206" t="s">
        <v>2089</v>
      </c>
    </row>
    <row r="18" spans="1:4" ht="15.75" thickBot="1">
      <c r="A18" s="207" t="s">
        <v>2090</v>
      </c>
      <c r="B18" s="209"/>
      <c r="C18" s="209"/>
      <c r="D18" s="206" t="s">
        <v>2091</v>
      </c>
    </row>
    <row r="19" spans="1:4" ht="15.75" thickBot="1">
      <c r="A19" s="207" t="s">
        <v>2092</v>
      </c>
      <c r="B19" s="209">
        <v>48209</v>
      </c>
      <c r="C19" s="209">
        <v>45824</v>
      </c>
      <c r="D19" s="206" t="s">
        <v>2093</v>
      </c>
    </row>
    <row r="20" spans="1:4" ht="15.75" thickBot="1">
      <c r="A20" s="207" t="s">
        <v>2094</v>
      </c>
      <c r="B20" s="209"/>
      <c r="C20" s="209"/>
      <c r="D20" s="206" t="s">
        <v>2095</v>
      </c>
    </row>
    <row r="21" spans="1:4" ht="15.75" thickBot="1">
      <c r="A21" s="207" t="s">
        <v>2096</v>
      </c>
      <c r="B21" s="209"/>
      <c r="C21" s="209"/>
      <c r="D21" s="206" t="s">
        <v>2097</v>
      </c>
    </row>
    <row r="22" spans="1:4" ht="15.75" thickBot="1">
      <c r="A22" s="207" t="s">
        <v>2098</v>
      </c>
      <c r="B22" s="209"/>
      <c r="C22" s="209"/>
      <c r="D22" s="206" t="s">
        <v>2099</v>
      </c>
    </row>
    <row r="23" spans="1:4" ht="15.75" thickBot="1">
      <c r="A23" s="207" t="s">
        <v>2100</v>
      </c>
      <c r="B23" s="209"/>
      <c r="C23" s="209"/>
      <c r="D23" s="206" t="s">
        <v>2101</v>
      </c>
    </row>
    <row r="24" spans="1:4" ht="15.75" thickBot="1">
      <c r="A24" s="207" t="s">
        <v>2102</v>
      </c>
      <c r="B24" s="209"/>
      <c r="C24" s="209"/>
      <c r="D24" s="206" t="s">
        <v>2103</v>
      </c>
    </row>
    <row r="25" spans="1:4" ht="15.75" thickBot="1">
      <c r="A25" s="207" t="s">
        <v>2104</v>
      </c>
      <c r="B25" s="209"/>
      <c r="C25" s="209"/>
      <c r="D25" s="206" t="s">
        <v>2105</v>
      </c>
    </row>
    <row r="26" spans="1:4" ht="15.75" thickBot="1">
      <c r="A26" s="207" t="s">
        <v>2106</v>
      </c>
      <c r="B26" s="209"/>
      <c r="C26" s="209"/>
      <c r="D26" s="206" t="s">
        <v>2107</v>
      </c>
    </row>
    <row r="27" spans="1:4" ht="15.75" thickBot="1">
      <c r="A27" s="207" t="s">
        <v>2108</v>
      </c>
      <c r="B27" s="209">
        <v>104973</v>
      </c>
      <c r="C27" s="209">
        <v>91189</v>
      </c>
      <c r="D27" s="206" t="s">
        <v>2109</v>
      </c>
    </row>
    <row r="28" spans="1:4" ht="15.75" thickBot="1">
      <c r="A28" s="207" t="s">
        <v>2110</v>
      </c>
      <c r="B28" s="209">
        <v>591990</v>
      </c>
      <c r="C28" s="209">
        <v>550239</v>
      </c>
      <c r="D28" s="206" t="s">
        <v>2111</v>
      </c>
    </row>
    <row r="29" spans="1:4" ht="15.75" thickBot="1">
      <c r="A29" s="207" t="s">
        <v>2112</v>
      </c>
      <c r="B29" s="208"/>
      <c r="C29" s="208"/>
      <c r="D29" s="206" t="s">
        <v>2113</v>
      </c>
    </row>
    <row r="30" spans="1:4" ht="15.75" thickBot="1">
      <c r="A30" s="207" t="s">
        <v>2114</v>
      </c>
      <c r="B30" s="208"/>
      <c r="C30" s="208"/>
      <c r="D30" s="206" t="s">
        <v>2115</v>
      </c>
    </row>
    <row r="31" spans="1:4" ht="15.75" thickBot="1">
      <c r="A31" s="207" t="s">
        <v>2116</v>
      </c>
      <c r="B31" s="209">
        <v>591990</v>
      </c>
      <c r="C31" s="209">
        <v>550239</v>
      </c>
      <c r="D31" s="206" t="s">
        <v>2117</v>
      </c>
    </row>
    <row r="32" spans="1:4" ht="15.75" thickBot="1">
      <c r="A32" s="207" t="s">
        <v>2118</v>
      </c>
      <c r="B32" s="208">
        <v>20010</v>
      </c>
      <c r="C32" s="208">
        <v>47036</v>
      </c>
      <c r="D32" s="206" t="s">
        <v>2119</v>
      </c>
    </row>
    <row r="33" spans="1:4" ht="15.75" thickBot="1">
      <c r="A33" s="207" t="s">
        <v>2120</v>
      </c>
      <c r="B33" s="209"/>
      <c r="C33" s="209"/>
      <c r="D33" s="206" t="s">
        <v>2121</v>
      </c>
    </row>
    <row r="34" spans="1:4" ht="15.75" thickBot="1">
      <c r="A34" s="207" t="s">
        <v>2122</v>
      </c>
      <c r="B34" s="208">
        <v>25398</v>
      </c>
      <c r="C34" s="208">
        <v>28743</v>
      </c>
      <c r="D34" s="206" t="s">
        <v>2123</v>
      </c>
    </row>
    <row r="35" spans="1:4" ht="15.75" thickBot="1">
      <c r="A35" s="207" t="s">
        <v>2124</v>
      </c>
      <c r="B35" s="209"/>
      <c r="C35" s="209"/>
      <c r="D35" s="206" t="s">
        <v>2125</v>
      </c>
    </row>
    <row r="36" spans="1:4" ht="26.25" thickBot="1">
      <c r="A36" s="207" t="s">
        <v>2126</v>
      </c>
      <c r="B36" s="209"/>
      <c r="C36" s="209"/>
      <c r="D36" s="206" t="s">
        <v>2127</v>
      </c>
    </row>
    <row r="37" spans="1:4" ht="15.75" thickBot="1">
      <c r="A37" s="207" t="s">
        <v>2128</v>
      </c>
      <c r="B37" s="209"/>
      <c r="C37" s="209"/>
      <c r="D37" s="206" t="s">
        <v>2129</v>
      </c>
    </row>
    <row r="38" spans="1:4" ht="15.75" thickBot="1">
      <c r="A38" s="207" t="s">
        <v>2130</v>
      </c>
      <c r="B38" s="209"/>
      <c r="C38" s="209"/>
      <c r="D38" s="206" t="s">
        <v>2131</v>
      </c>
    </row>
    <row r="39" spans="1:4" ht="15.75" thickBot="1">
      <c r="A39" s="207" t="s">
        <v>966</v>
      </c>
      <c r="B39" s="209">
        <v>586602</v>
      </c>
      <c r="C39" s="209">
        <v>568532</v>
      </c>
      <c r="D39" s="206"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E9280DF2-4D1F-4AF3-B780-9216F64F4AE8}">
      <formula1>-9.99999999999999E+33</formula1>
      <formula2>9.99999999999999E+33</formula2>
    </dataValidation>
  </dataValidations>
  <pageMargins left="0.15" right="0.15" top="0.15" bottom="0.15" header="0.5" footer="0.5"/>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79BE54-AA87-4F43-B95E-8020556482F7}">
  <dimension ref="A1:C6"/>
  <sheetViews>
    <sheetView showGridLines="0" workbookViewId="0">
      <selection sqref="A1:C1"/>
    </sheetView>
  </sheetViews>
  <sheetFormatPr defaultRowHeight="15"/>
  <cols>
    <col min="1" max="1" width="42.6640625" style="210" bestFit="1" customWidth="1" collapsed="1"/>
    <col min="2" max="2" width="33.33203125" style="210" customWidth="1" collapsed="1"/>
    <col min="3" max="3" width="42" style="210" bestFit="1" customWidth="1" collapsed="1"/>
    <col min="4" max="16384" width="9.33203125" style="210" collapsed="1"/>
  </cols>
  <sheetData>
    <row r="1" spans="1:3" ht="34.5" customHeight="1">
      <c r="A1" s="382" t="s">
        <v>2132</v>
      </c>
      <c r="B1" s="383"/>
      <c r="C1" s="383"/>
    </row>
    <row r="3" spans="1:3" ht="17.25" customHeight="1">
      <c r="A3" s="211" t="s">
        <v>1744</v>
      </c>
      <c r="B3" s="384" t="s">
        <v>1745</v>
      </c>
      <c r="C3" s="384"/>
    </row>
    <row r="4" spans="1:3">
      <c r="A4" s="212"/>
      <c r="B4" s="213" t="s">
        <v>104</v>
      </c>
    </row>
    <row r="5" spans="1:3" ht="15.75" thickBot="1">
      <c r="A5" s="214" t="s">
        <v>1744</v>
      </c>
      <c r="B5" s="215"/>
      <c r="C5" s="216" t="s">
        <v>1745</v>
      </c>
    </row>
    <row r="6" spans="1:3" ht="75" customHeight="1" thickBot="1">
      <c r="A6" s="217" t="s">
        <v>2133</v>
      </c>
      <c r="B6" s="218" t="s">
        <v>2134</v>
      </c>
      <c r="C6" s="216" t="s">
        <v>2135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E5B396-818D-470D-BD06-263814EC9485}">
      <formula1>0</formula1>
    </dataValidation>
  </dataValidations>
  <pageMargins left="0.15" right="0.15" top="0.15" bottom="0.15" header="0.5" footer="0.5"/>
  <pageSetup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6EE20-390D-4457-B29E-280A3A4EAB7A}">
  <dimension ref="A1:L318"/>
  <sheetViews>
    <sheetView showGridLines="0" workbookViewId="0"/>
  </sheetViews>
  <sheetFormatPr defaultRowHeight="15"/>
  <cols>
    <col min="1" max="1" width="42.6640625" style="220" bestFit="1" customWidth="1" collapsed="1"/>
    <col min="2" max="2" width="19" style="220" customWidth="1" collapsed="1"/>
    <col min="3" max="4" width="38.33203125" style="220" bestFit="1" customWidth="1" collapsed="1"/>
    <col min="5" max="5" width="42.6640625" style="220" bestFit="1" customWidth="1" collapsed="1"/>
    <col min="6" max="6" width="15.6640625" style="220" bestFit="1" customWidth="1" collapsed="1"/>
    <col min="7" max="7" width="42.6640625" style="220" bestFit="1" customWidth="1" collapsed="1"/>
    <col min="8" max="8" width="19" style="220" bestFit="1" customWidth="1" collapsed="1"/>
    <col min="9" max="9" width="38.33203125" style="220" bestFit="1" customWidth="1" collapsed="1"/>
    <col min="10" max="10" width="25" style="220" bestFit="1" customWidth="1" collapsed="1"/>
    <col min="11" max="11" width="42.6640625" style="220" bestFit="1" customWidth="1" collapsed="1"/>
    <col min="12" max="12" width="15.6640625" style="220" bestFit="1" customWidth="1" collapsed="1"/>
    <col min="13" max="16384" width="9.33203125" style="220" collapsed="1"/>
  </cols>
  <sheetData>
    <row r="1" spans="1:12" ht="17.25">
      <c r="A1" s="219" t="s">
        <v>2136</v>
      </c>
    </row>
    <row r="3" spans="1:12" ht="17.25" customHeight="1">
      <c r="A3" s="387" t="s">
        <v>19</v>
      </c>
      <c r="B3" s="387"/>
      <c r="C3" s="387"/>
      <c r="D3" s="387"/>
      <c r="E3" s="387"/>
      <c r="F3" s="387"/>
      <c r="G3" s="388" t="s">
        <v>106</v>
      </c>
      <c r="H3" s="388"/>
      <c r="I3" s="388"/>
      <c r="J3" s="388"/>
      <c r="K3" s="388"/>
      <c r="L3" s="388"/>
    </row>
    <row r="4" spans="1:12" ht="17.25" customHeight="1">
      <c r="A4" s="387" t="s">
        <v>2137</v>
      </c>
      <c r="B4" s="387"/>
      <c r="C4" s="387"/>
      <c r="D4" s="388" t="s">
        <v>2138</v>
      </c>
      <c r="E4" s="388"/>
      <c r="F4" s="388"/>
      <c r="G4" s="387" t="s">
        <v>2137</v>
      </c>
      <c r="H4" s="387"/>
      <c r="I4" s="387"/>
      <c r="J4" s="388" t="s">
        <v>2138</v>
      </c>
      <c r="K4" s="388"/>
      <c r="L4" s="388"/>
    </row>
    <row r="5" spans="1:12">
      <c r="A5" s="389"/>
      <c r="B5" s="389"/>
      <c r="C5" s="390" t="s">
        <v>2139</v>
      </c>
      <c r="D5" s="390"/>
      <c r="E5" s="389"/>
      <c r="F5" s="389"/>
      <c r="G5" s="389"/>
      <c r="H5" s="389"/>
      <c r="I5" s="390" t="s">
        <v>2139</v>
      </c>
      <c r="J5" s="390"/>
      <c r="K5" s="389"/>
      <c r="L5" s="389"/>
    </row>
    <row r="6" spans="1:12" ht="23.25">
      <c r="A6" s="389"/>
      <c r="B6" s="389"/>
      <c r="C6" s="221" t="s">
        <v>2140</v>
      </c>
      <c r="D6" s="221" t="s">
        <v>2141</v>
      </c>
      <c r="E6" s="389"/>
      <c r="F6" s="389"/>
      <c r="G6" s="389"/>
      <c r="H6" s="389"/>
      <c r="I6" s="221" t="s">
        <v>2140</v>
      </c>
      <c r="J6" s="221" t="s">
        <v>2141</v>
      </c>
      <c r="K6" s="389"/>
      <c r="L6" s="389"/>
    </row>
    <row r="7" spans="1:12" ht="15.75" thickBot="1">
      <c r="A7" s="392" t="s">
        <v>2142</v>
      </c>
      <c r="B7" s="222" t="s">
        <v>1822</v>
      </c>
      <c r="C7" s="223"/>
      <c r="D7" s="223"/>
      <c r="E7" s="395" t="s">
        <v>2142</v>
      </c>
      <c r="F7" s="224" t="s">
        <v>1822</v>
      </c>
      <c r="G7" s="392" t="s">
        <v>2142</v>
      </c>
      <c r="H7" s="222" t="s">
        <v>1822</v>
      </c>
      <c r="I7" s="223"/>
      <c r="J7" s="223"/>
      <c r="K7" s="395" t="s">
        <v>2142</v>
      </c>
      <c r="L7" s="224" t="s">
        <v>1822</v>
      </c>
    </row>
    <row r="8" spans="1:12" ht="15.75" thickBot="1">
      <c r="A8" s="392"/>
      <c r="B8" s="222" t="s">
        <v>1824</v>
      </c>
      <c r="C8" s="223"/>
      <c r="D8" s="223"/>
      <c r="E8" s="395"/>
      <c r="F8" s="224" t="s">
        <v>1824</v>
      </c>
      <c r="G8" s="392"/>
      <c r="H8" s="222" t="s">
        <v>1824</v>
      </c>
      <c r="I8" s="223"/>
      <c r="J8" s="223"/>
      <c r="K8" s="395"/>
      <c r="L8" s="224" t="s">
        <v>1824</v>
      </c>
    </row>
    <row r="9" spans="1:12" ht="15.75" thickBot="1">
      <c r="A9" s="392"/>
      <c r="B9" s="222" t="s">
        <v>1825</v>
      </c>
      <c r="C9" s="223"/>
      <c r="D9" s="223"/>
      <c r="E9" s="395"/>
      <c r="F9" s="224" t="s">
        <v>1825</v>
      </c>
      <c r="G9" s="392"/>
      <c r="H9" s="222" t="s">
        <v>1825</v>
      </c>
      <c r="I9" s="223"/>
      <c r="J9" s="223"/>
      <c r="K9" s="395"/>
      <c r="L9" s="224" t="s">
        <v>1825</v>
      </c>
    </row>
    <row r="10" spans="1:12" ht="15.75" thickBot="1">
      <c r="A10" s="392"/>
      <c r="B10" s="222" t="s">
        <v>1826</v>
      </c>
      <c r="C10" s="223"/>
      <c r="D10" s="223"/>
      <c r="E10" s="395"/>
      <c r="F10" s="224" t="s">
        <v>1826</v>
      </c>
      <c r="G10" s="392"/>
      <c r="H10" s="222" t="s">
        <v>1826</v>
      </c>
      <c r="I10" s="223"/>
      <c r="J10" s="223"/>
      <c r="K10" s="395"/>
      <c r="L10" s="224" t="s">
        <v>1826</v>
      </c>
    </row>
    <row r="11" spans="1:12" ht="15.75" thickBot="1">
      <c r="A11" s="392"/>
      <c r="B11" s="222" t="s">
        <v>1827</v>
      </c>
      <c r="C11" s="223"/>
      <c r="D11" s="223"/>
      <c r="E11" s="395"/>
      <c r="F11" s="224" t="s">
        <v>1827</v>
      </c>
      <c r="G11" s="392"/>
      <c r="H11" s="222" t="s">
        <v>1827</v>
      </c>
      <c r="I11" s="223"/>
      <c r="J11" s="223"/>
      <c r="K11" s="395"/>
      <c r="L11" s="224" t="s">
        <v>1827</v>
      </c>
    </row>
    <row r="12" spans="1:12" ht="15.75" thickBot="1">
      <c r="A12" s="392"/>
      <c r="B12" s="222" t="s">
        <v>1828</v>
      </c>
      <c r="C12" s="223"/>
      <c r="D12" s="223"/>
      <c r="E12" s="395"/>
      <c r="F12" s="224" t="s">
        <v>1828</v>
      </c>
      <c r="G12" s="392"/>
      <c r="H12" s="222" t="s">
        <v>1828</v>
      </c>
      <c r="I12" s="223"/>
      <c r="J12" s="223"/>
      <c r="K12" s="395"/>
      <c r="L12" s="224" t="s">
        <v>1828</v>
      </c>
    </row>
    <row r="13" spans="1:12" ht="15.75" thickBot="1">
      <c r="A13" s="392"/>
      <c r="B13" s="222" t="s">
        <v>1829</v>
      </c>
      <c r="C13" s="223"/>
      <c r="D13" s="223"/>
      <c r="E13" s="395"/>
      <c r="F13" s="224" t="s">
        <v>1829</v>
      </c>
      <c r="G13" s="392"/>
      <c r="H13" s="222" t="s">
        <v>1829</v>
      </c>
      <c r="I13" s="223"/>
      <c r="J13" s="223"/>
      <c r="K13" s="395"/>
      <c r="L13" s="224" t="s">
        <v>1829</v>
      </c>
    </row>
    <row r="14" spans="1:12" ht="15.75" thickBot="1">
      <c r="A14" s="392"/>
      <c r="B14" s="222" t="s">
        <v>1830</v>
      </c>
      <c r="C14" s="223"/>
      <c r="D14" s="223"/>
      <c r="E14" s="395"/>
      <c r="F14" s="224" t="s">
        <v>1830</v>
      </c>
      <c r="G14" s="392"/>
      <c r="H14" s="222" t="s">
        <v>1830</v>
      </c>
      <c r="I14" s="223"/>
      <c r="J14" s="223"/>
      <c r="K14" s="395"/>
      <c r="L14" s="224" t="s">
        <v>1830</v>
      </c>
    </row>
    <row r="15" spans="1:12" ht="15.75" thickBot="1">
      <c r="A15" s="392"/>
      <c r="B15" s="222" t="s">
        <v>1831</v>
      </c>
      <c r="C15" s="223"/>
      <c r="D15" s="223"/>
      <c r="E15" s="395"/>
      <c r="F15" s="224" t="s">
        <v>1831</v>
      </c>
      <c r="G15" s="392"/>
      <c r="H15" s="222" t="s">
        <v>1831</v>
      </c>
      <c r="I15" s="223"/>
      <c r="J15" s="223"/>
      <c r="K15" s="395"/>
      <c r="L15" s="224" t="s">
        <v>1831</v>
      </c>
    </row>
    <row r="16" spans="1:12" ht="15.75" thickBot="1">
      <c r="A16" s="392"/>
      <c r="B16" s="222" t="s">
        <v>1832</v>
      </c>
      <c r="C16" s="223"/>
      <c r="D16" s="223"/>
      <c r="E16" s="395"/>
      <c r="F16" s="224" t="s">
        <v>1832</v>
      </c>
      <c r="G16" s="392"/>
      <c r="H16" s="222" t="s">
        <v>1832</v>
      </c>
      <c r="I16" s="223"/>
      <c r="J16" s="223"/>
      <c r="K16" s="395"/>
      <c r="L16" s="224" t="s">
        <v>1832</v>
      </c>
    </row>
    <row r="17" spans="1:12" ht="15.75" thickBot="1">
      <c r="A17" s="392"/>
      <c r="B17" s="222" t="s">
        <v>1833</v>
      </c>
      <c r="C17" s="223"/>
      <c r="D17" s="223"/>
      <c r="E17" s="395"/>
      <c r="F17" s="224" t="s">
        <v>1833</v>
      </c>
      <c r="G17" s="392"/>
      <c r="H17" s="222" t="s">
        <v>1833</v>
      </c>
      <c r="I17" s="223"/>
      <c r="J17" s="223"/>
      <c r="K17" s="395"/>
      <c r="L17" s="224" t="s">
        <v>1833</v>
      </c>
    </row>
    <row r="18" spans="1:12" ht="26.25" thickBot="1">
      <c r="A18" s="392"/>
      <c r="B18" s="222" t="s">
        <v>1834</v>
      </c>
      <c r="C18" s="223"/>
      <c r="D18" s="223"/>
      <c r="E18" s="395"/>
      <c r="F18" s="224" t="s">
        <v>1835</v>
      </c>
      <c r="G18" s="392"/>
      <c r="H18" s="222" t="s">
        <v>1834</v>
      </c>
      <c r="I18" s="223"/>
      <c r="J18" s="223"/>
      <c r="K18" s="395"/>
      <c r="L18" s="224" t="s">
        <v>1835</v>
      </c>
    </row>
    <row r="19" spans="1:12" ht="15.75" thickBot="1">
      <c r="A19" s="393"/>
      <c r="B19" s="222" t="s">
        <v>1836</v>
      </c>
      <c r="C19" s="223"/>
      <c r="D19" s="223"/>
      <c r="E19" s="396"/>
      <c r="F19" s="224" t="s">
        <v>1837</v>
      </c>
      <c r="G19" s="393"/>
      <c r="H19" s="222" t="s">
        <v>1836</v>
      </c>
      <c r="I19" s="223"/>
      <c r="J19" s="223"/>
      <c r="K19" s="396"/>
      <c r="L19" s="224" t="s">
        <v>1837</v>
      </c>
    </row>
    <row r="20" spans="1:12" ht="15.75" thickBot="1">
      <c r="A20" s="391" t="s">
        <v>2143</v>
      </c>
      <c r="B20" s="222" t="s">
        <v>1822</v>
      </c>
      <c r="C20" s="223"/>
      <c r="D20" s="223"/>
      <c r="E20" s="394" t="s">
        <v>2143</v>
      </c>
      <c r="F20" s="224" t="s">
        <v>1822</v>
      </c>
      <c r="G20" s="391" t="s">
        <v>2143</v>
      </c>
      <c r="H20" s="222" t="s">
        <v>1822</v>
      </c>
      <c r="I20" s="223"/>
      <c r="J20" s="223"/>
      <c r="K20" s="394" t="s">
        <v>2143</v>
      </c>
      <c r="L20" s="224" t="s">
        <v>1822</v>
      </c>
    </row>
    <row r="21" spans="1:12" ht="15.75" thickBot="1">
      <c r="A21" s="392"/>
      <c r="B21" s="222" t="s">
        <v>1824</v>
      </c>
      <c r="C21" s="223"/>
      <c r="D21" s="223"/>
      <c r="E21" s="395"/>
      <c r="F21" s="224" t="s">
        <v>1824</v>
      </c>
      <c r="G21" s="392"/>
      <c r="H21" s="222" t="s">
        <v>1824</v>
      </c>
      <c r="I21" s="223"/>
      <c r="J21" s="223"/>
      <c r="K21" s="395"/>
      <c r="L21" s="224" t="s">
        <v>1824</v>
      </c>
    </row>
    <row r="22" spans="1:12" ht="15.75" thickBot="1">
      <c r="A22" s="392"/>
      <c r="B22" s="222" t="s">
        <v>1825</v>
      </c>
      <c r="C22" s="223"/>
      <c r="D22" s="223"/>
      <c r="E22" s="395"/>
      <c r="F22" s="224" t="s">
        <v>1825</v>
      </c>
      <c r="G22" s="392"/>
      <c r="H22" s="222" t="s">
        <v>1825</v>
      </c>
      <c r="I22" s="223"/>
      <c r="J22" s="223"/>
      <c r="K22" s="395"/>
      <c r="L22" s="224" t="s">
        <v>1825</v>
      </c>
    </row>
    <row r="23" spans="1:12" ht="15.75" thickBot="1">
      <c r="A23" s="392"/>
      <c r="B23" s="222" t="s">
        <v>1826</v>
      </c>
      <c r="C23" s="223"/>
      <c r="D23" s="223"/>
      <c r="E23" s="395"/>
      <c r="F23" s="224" t="s">
        <v>1826</v>
      </c>
      <c r="G23" s="392"/>
      <c r="H23" s="222" t="s">
        <v>1826</v>
      </c>
      <c r="I23" s="223"/>
      <c r="J23" s="223"/>
      <c r="K23" s="395"/>
      <c r="L23" s="224" t="s">
        <v>1826</v>
      </c>
    </row>
    <row r="24" spans="1:12" ht="15.75" thickBot="1">
      <c r="A24" s="392"/>
      <c r="B24" s="222" t="s">
        <v>1827</v>
      </c>
      <c r="C24" s="223"/>
      <c r="D24" s="223"/>
      <c r="E24" s="395"/>
      <c r="F24" s="224" t="s">
        <v>1827</v>
      </c>
      <c r="G24" s="392"/>
      <c r="H24" s="222" t="s">
        <v>1827</v>
      </c>
      <c r="I24" s="223"/>
      <c r="J24" s="223"/>
      <c r="K24" s="395"/>
      <c r="L24" s="224" t="s">
        <v>1827</v>
      </c>
    </row>
    <row r="25" spans="1:12" ht="15.75" thickBot="1">
      <c r="A25" s="392"/>
      <c r="B25" s="222" t="s">
        <v>1828</v>
      </c>
      <c r="C25" s="223"/>
      <c r="D25" s="223"/>
      <c r="E25" s="395"/>
      <c r="F25" s="224" t="s">
        <v>1828</v>
      </c>
      <c r="G25" s="392"/>
      <c r="H25" s="222" t="s">
        <v>1828</v>
      </c>
      <c r="I25" s="223"/>
      <c r="J25" s="223"/>
      <c r="K25" s="395"/>
      <c r="L25" s="224" t="s">
        <v>1828</v>
      </c>
    </row>
    <row r="26" spans="1:12" ht="15.75" thickBot="1">
      <c r="A26" s="392"/>
      <c r="B26" s="222" t="s">
        <v>1829</v>
      </c>
      <c r="C26" s="223"/>
      <c r="D26" s="223"/>
      <c r="E26" s="395"/>
      <c r="F26" s="224" t="s">
        <v>1829</v>
      </c>
      <c r="G26" s="392"/>
      <c r="H26" s="222" t="s">
        <v>1829</v>
      </c>
      <c r="I26" s="223"/>
      <c r="J26" s="223"/>
      <c r="K26" s="395"/>
      <c r="L26" s="224" t="s">
        <v>1829</v>
      </c>
    </row>
    <row r="27" spans="1:12" ht="15.75" thickBot="1">
      <c r="A27" s="392"/>
      <c r="B27" s="222" t="s">
        <v>1830</v>
      </c>
      <c r="C27" s="223"/>
      <c r="D27" s="223"/>
      <c r="E27" s="395"/>
      <c r="F27" s="224" t="s">
        <v>1830</v>
      </c>
      <c r="G27" s="392"/>
      <c r="H27" s="222" t="s">
        <v>1830</v>
      </c>
      <c r="I27" s="223"/>
      <c r="J27" s="223"/>
      <c r="K27" s="395"/>
      <c r="L27" s="224" t="s">
        <v>1830</v>
      </c>
    </row>
    <row r="28" spans="1:12" ht="15.75" thickBot="1">
      <c r="A28" s="392"/>
      <c r="B28" s="222" t="s">
        <v>1831</v>
      </c>
      <c r="C28" s="223"/>
      <c r="D28" s="223"/>
      <c r="E28" s="395"/>
      <c r="F28" s="224" t="s">
        <v>1831</v>
      </c>
      <c r="G28" s="392"/>
      <c r="H28" s="222" t="s">
        <v>1831</v>
      </c>
      <c r="I28" s="223"/>
      <c r="J28" s="223"/>
      <c r="K28" s="395"/>
      <c r="L28" s="224" t="s">
        <v>1831</v>
      </c>
    </row>
    <row r="29" spans="1:12" ht="15.75" thickBot="1">
      <c r="A29" s="392"/>
      <c r="B29" s="222" t="s">
        <v>1832</v>
      </c>
      <c r="C29" s="223"/>
      <c r="D29" s="223"/>
      <c r="E29" s="395"/>
      <c r="F29" s="224" t="s">
        <v>1832</v>
      </c>
      <c r="G29" s="392"/>
      <c r="H29" s="222" t="s">
        <v>1832</v>
      </c>
      <c r="I29" s="223"/>
      <c r="J29" s="223"/>
      <c r="K29" s="395"/>
      <c r="L29" s="224" t="s">
        <v>1832</v>
      </c>
    </row>
    <row r="30" spans="1:12" ht="15.75" thickBot="1">
      <c r="A30" s="392"/>
      <c r="B30" s="222" t="s">
        <v>1833</v>
      </c>
      <c r="C30" s="223"/>
      <c r="D30" s="223"/>
      <c r="E30" s="395"/>
      <c r="F30" s="224" t="s">
        <v>1833</v>
      </c>
      <c r="G30" s="392"/>
      <c r="H30" s="222" t="s">
        <v>1833</v>
      </c>
      <c r="I30" s="223"/>
      <c r="J30" s="223"/>
      <c r="K30" s="395"/>
      <c r="L30" s="224" t="s">
        <v>1833</v>
      </c>
    </row>
    <row r="31" spans="1:12" ht="26.25" thickBot="1">
      <c r="A31" s="392"/>
      <c r="B31" s="222" t="s">
        <v>1834</v>
      </c>
      <c r="C31" s="223"/>
      <c r="D31" s="223"/>
      <c r="E31" s="395"/>
      <c r="F31" s="224" t="s">
        <v>1835</v>
      </c>
      <c r="G31" s="392"/>
      <c r="H31" s="222" t="s">
        <v>1834</v>
      </c>
      <c r="I31" s="223"/>
      <c r="J31" s="223"/>
      <c r="K31" s="395"/>
      <c r="L31" s="224" t="s">
        <v>1835</v>
      </c>
    </row>
    <row r="32" spans="1:12" ht="15.75" thickBot="1">
      <c r="A32" s="393"/>
      <c r="B32" s="222" t="s">
        <v>1836</v>
      </c>
      <c r="C32" s="223"/>
      <c r="D32" s="223"/>
      <c r="E32" s="396"/>
      <c r="F32" s="224" t="s">
        <v>1837</v>
      </c>
      <c r="G32" s="393"/>
      <c r="H32" s="222" t="s">
        <v>1836</v>
      </c>
      <c r="I32" s="223"/>
      <c r="J32" s="223"/>
      <c r="K32" s="396"/>
      <c r="L32" s="224" t="s">
        <v>1837</v>
      </c>
    </row>
    <row r="33" spans="1:12" ht="15.75" thickBot="1">
      <c r="A33" s="391" t="s">
        <v>2144</v>
      </c>
      <c r="B33" s="222" t="s">
        <v>1822</v>
      </c>
      <c r="C33" s="223"/>
      <c r="D33" s="223"/>
      <c r="E33" s="394" t="s">
        <v>2144</v>
      </c>
      <c r="F33" s="224" t="s">
        <v>1822</v>
      </c>
      <c r="G33" s="391" t="s">
        <v>2144</v>
      </c>
      <c r="H33" s="222" t="s">
        <v>1822</v>
      </c>
      <c r="I33" s="223"/>
      <c r="J33" s="223"/>
      <c r="K33" s="394" t="s">
        <v>2144</v>
      </c>
      <c r="L33" s="224" t="s">
        <v>1822</v>
      </c>
    </row>
    <row r="34" spans="1:12" ht="15.75" thickBot="1">
      <c r="A34" s="392"/>
      <c r="B34" s="222" t="s">
        <v>1824</v>
      </c>
      <c r="C34" s="223"/>
      <c r="D34" s="223"/>
      <c r="E34" s="395"/>
      <c r="F34" s="224" t="s">
        <v>1824</v>
      </c>
      <c r="G34" s="392"/>
      <c r="H34" s="222" t="s">
        <v>1824</v>
      </c>
      <c r="I34" s="223"/>
      <c r="J34" s="223"/>
      <c r="K34" s="395"/>
      <c r="L34" s="224" t="s">
        <v>1824</v>
      </c>
    </row>
    <row r="35" spans="1:12" ht="15.75" thickBot="1">
      <c r="A35" s="392"/>
      <c r="B35" s="222" t="s">
        <v>1825</v>
      </c>
      <c r="C35" s="223"/>
      <c r="D35" s="223"/>
      <c r="E35" s="395"/>
      <c r="F35" s="224" t="s">
        <v>1825</v>
      </c>
      <c r="G35" s="392"/>
      <c r="H35" s="222" t="s">
        <v>1825</v>
      </c>
      <c r="I35" s="223"/>
      <c r="J35" s="223"/>
      <c r="K35" s="395"/>
      <c r="L35" s="224" t="s">
        <v>1825</v>
      </c>
    </row>
    <row r="36" spans="1:12" ht="15.75" thickBot="1">
      <c r="A36" s="392"/>
      <c r="B36" s="222" t="s">
        <v>1826</v>
      </c>
      <c r="C36" s="223"/>
      <c r="D36" s="223"/>
      <c r="E36" s="395"/>
      <c r="F36" s="224" t="s">
        <v>1826</v>
      </c>
      <c r="G36" s="392"/>
      <c r="H36" s="222" t="s">
        <v>1826</v>
      </c>
      <c r="I36" s="223"/>
      <c r="J36" s="223"/>
      <c r="K36" s="395"/>
      <c r="L36" s="224" t="s">
        <v>1826</v>
      </c>
    </row>
    <row r="37" spans="1:12" ht="15.75" thickBot="1">
      <c r="A37" s="392"/>
      <c r="B37" s="222" t="s">
        <v>1827</v>
      </c>
      <c r="C37" s="223"/>
      <c r="D37" s="223"/>
      <c r="E37" s="395"/>
      <c r="F37" s="224" t="s">
        <v>1827</v>
      </c>
      <c r="G37" s="392"/>
      <c r="H37" s="222" t="s">
        <v>1827</v>
      </c>
      <c r="I37" s="223"/>
      <c r="J37" s="223"/>
      <c r="K37" s="395"/>
      <c r="L37" s="224" t="s">
        <v>1827</v>
      </c>
    </row>
    <row r="38" spans="1:12" ht="15.75" thickBot="1">
      <c r="A38" s="392"/>
      <c r="B38" s="222" t="s">
        <v>1828</v>
      </c>
      <c r="C38" s="223"/>
      <c r="D38" s="223"/>
      <c r="E38" s="395"/>
      <c r="F38" s="224" t="s">
        <v>1828</v>
      </c>
      <c r="G38" s="392"/>
      <c r="H38" s="222" t="s">
        <v>1828</v>
      </c>
      <c r="I38" s="223"/>
      <c r="J38" s="223"/>
      <c r="K38" s="395"/>
      <c r="L38" s="224" t="s">
        <v>1828</v>
      </c>
    </row>
    <row r="39" spans="1:12" ht="15.75" thickBot="1">
      <c r="A39" s="392"/>
      <c r="B39" s="222" t="s">
        <v>1829</v>
      </c>
      <c r="C39" s="223"/>
      <c r="D39" s="223"/>
      <c r="E39" s="395"/>
      <c r="F39" s="224" t="s">
        <v>1829</v>
      </c>
      <c r="G39" s="392"/>
      <c r="H39" s="222" t="s">
        <v>1829</v>
      </c>
      <c r="I39" s="223"/>
      <c r="J39" s="223"/>
      <c r="K39" s="395"/>
      <c r="L39" s="224" t="s">
        <v>1829</v>
      </c>
    </row>
    <row r="40" spans="1:12" ht="15.75" thickBot="1">
      <c r="A40" s="392"/>
      <c r="B40" s="222" t="s">
        <v>1830</v>
      </c>
      <c r="C40" s="223"/>
      <c r="D40" s="223"/>
      <c r="E40" s="395"/>
      <c r="F40" s="224" t="s">
        <v>1830</v>
      </c>
      <c r="G40" s="392"/>
      <c r="H40" s="222" t="s">
        <v>1830</v>
      </c>
      <c r="I40" s="223"/>
      <c r="J40" s="223"/>
      <c r="K40" s="395"/>
      <c r="L40" s="224" t="s">
        <v>1830</v>
      </c>
    </row>
    <row r="41" spans="1:12" ht="15.75" thickBot="1">
      <c r="A41" s="392"/>
      <c r="B41" s="222" t="s">
        <v>1831</v>
      </c>
      <c r="C41" s="223"/>
      <c r="D41" s="223"/>
      <c r="E41" s="395"/>
      <c r="F41" s="224" t="s">
        <v>1831</v>
      </c>
      <c r="G41" s="392"/>
      <c r="H41" s="222" t="s">
        <v>1831</v>
      </c>
      <c r="I41" s="223"/>
      <c r="J41" s="223"/>
      <c r="K41" s="395"/>
      <c r="L41" s="224" t="s">
        <v>1831</v>
      </c>
    </row>
    <row r="42" spans="1:12" ht="15.75" thickBot="1">
      <c r="A42" s="392"/>
      <c r="B42" s="222" t="s">
        <v>1832</v>
      </c>
      <c r="C42" s="223"/>
      <c r="D42" s="223"/>
      <c r="E42" s="395"/>
      <c r="F42" s="224" t="s">
        <v>1832</v>
      </c>
      <c r="G42" s="392"/>
      <c r="H42" s="222" t="s">
        <v>1832</v>
      </c>
      <c r="I42" s="223"/>
      <c r="J42" s="223"/>
      <c r="K42" s="395"/>
      <c r="L42" s="224" t="s">
        <v>1832</v>
      </c>
    </row>
    <row r="43" spans="1:12" ht="15.75" thickBot="1">
      <c r="A43" s="392"/>
      <c r="B43" s="222" t="s">
        <v>1833</v>
      </c>
      <c r="C43" s="223"/>
      <c r="D43" s="223"/>
      <c r="E43" s="395"/>
      <c r="F43" s="224" t="s">
        <v>1833</v>
      </c>
      <c r="G43" s="392"/>
      <c r="H43" s="222" t="s">
        <v>1833</v>
      </c>
      <c r="I43" s="223"/>
      <c r="J43" s="223"/>
      <c r="K43" s="395"/>
      <c r="L43" s="224" t="s">
        <v>1833</v>
      </c>
    </row>
    <row r="44" spans="1:12" ht="26.25" thickBot="1">
      <c r="A44" s="392"/>
      <c r="B44" s="222" t="s">
        <v>1834</v>
      </c>
      <c r="C44" s="223"/>
      <c r="D44" s="223"/>
      <c r="E44" s="395"/>
      <c r="F44" s="224" t="s">
        <v>1835</v>
      </c>
      <c r="G44" s="392"/>
      <c r="H44" s="222" t="s">
        <v>1834</v>
      </c>
      <c r="I44" s="223"/>
      <c r="J44" s="223"/>
      <c r="K44" s="395"/>
      <c r="L44" s="224" t="s">
        <v>1835</v>
      </c>
    </row>
    <row r="45" spans="1:12" ht="15.75" thickBot="1">
      <c r="A45" s="393"/>
      <c r="B45" s="222" t="s">
        <v>1836</v>
      </c>
      <c r="C45" s="223"/>
      <c r="D45" s="223"/>
      <c r="E45" s="396"/>
      <c r="F45" s="224" t="s">
        <v>1837</v>
      </c>
      <c r="G45" s="393"/>
      <c r="H45" s="222" t="s">
        <v>1836</v>
      </c>
      <c r="I45" s="223"/>
      <c r="J45" s="223"/>
      <c r="K45" s="396"/>
      <c r="L45" s="224" t="s">
        <v>1837</v>
      </c>
    </row>
    <row r="46" spans="1:12" ht="15.75" thickBot="1">
      <c r="A46" s="391" t="s">
        <v>2145</v>
      </c>
      <c r="B46" s="222" t="s">
        <v>1822</v>
      </c>
      <c r="C46" s="223"/>
      <c r="D46" s="223"/>
      <c r="E46" s="394" t="s">
        <v>2145</v>
      </c>
      <c r="F46" s="224" t="s">
        <v>1822</v>
      </c>
      <c r="G46" s="391" t="s">
        <v>2145</v>
      </c>
      <c r="H46" s="222" t="s">
        <v>1822</v>
      </c>
      <c r="I46" s="223"/>
      <c r="J46" s="223"/>
      <c r="K46" s="394" t="s">
        <v>2145</v>
      </c>
      <c r="L46" s="224" t="s">
        <v>1822</v>
      </c>
    </row>
    <row r="47" spans="1:12" ht="15.75" thickBot="1">
      <c r="A47" s="392"/>
      <c r="B47" s="222" t="s">
        <v>1824</v>
      </c>
      <c r="C47" s="223"/>
      <c r="D47" s="223"/>
      <c r="E47" s="395"/>
      <c r="F47" s="224" t="s">
        <v>1824</v>
      </c>
      <c r="G47" s="392"/>
      <c r="H47" s="222" t="s">
        <v>1824</v>
      </c>
      <c r="I47" s="223"/>
      <c r="J47" s="223"/>
      <c r="K47" s="395"/>
      <c r="L47" s="224" t="s">
        <v>1824</v>
      </c>
    </row>
    <row r="48" spans="1:12" ht="15.75" thickBot="1">
      <c r="A48" s="392"/>
      <c r="B48" s="222" t="s">
        <v>1825</v>
      </c>
      <c r="C48" s="223"/>
      <c r="D48" s="223"/>
      <c r="E48" s="395"/>
      <c r="F48" s="224" t="s">
        <v>1825</v>
      </c>
      <c r="G48" s="392"/>
      <c r="H48" s="222" t="s">
        <v>1825</v>
      </c>
      <c r="I48" s="223"/>
      <c r="J48" s="223"/>
      <c r="K48" s="395"/>
      <c r="L48" s="224" t="s">
        <v>1825</v>
      </c>
    </row>
    <row r="49" spans="1:12" ht="15.75" thickBot="1">
      <c r="A49" s="392"/>
      <c r="B49" s="222" t="s">
        <v>1826</v>
      </c>
      <c r="C49" s="223"/>
      <c r="D49" s="223"/>
      <c r="E49" s="395"/>
      <c r="F49" s="224" t="s">
        <v>1826</v>
      </c>
      <c r="G49" s="392"/>
      <c r="H49" s="222" t="s">
        <v>1826</v>
      </c>
      <c r="I49" s="223"/>
      <c r="J49" s="223"/>
      <c r="K49" s="395"/>
      <c r="L49" s="224" t="s">
        <v>1826</v>
      </c>
    </row>
    <row r="50" spans="1:12" ht="15.75" thickBot="1">
      <c r="A50" s="392"/>
      <c r="B50" s="222" t="s">
        <v>1827</v>
      </c>
      <c r="C50" s="223"/>
      <c r="D50" s="223"/>
      <c r="E50" s="395"/>
      <c r="F50" s="224" t="s">
        <v>1827</v>
      </c>
      <c r="G50" s="392"/>
      <c r="H50" s="222" t="s">
        <v>1827</v>
      </c>
      <c r="I50" s="223"/>
      <c r="J50" s="223"/>
      <c r="K50" s="395"/>
      <c r="L50" s="224" t="s">
        <v>1827</v>
      </c>
    </row>
    <row r="51" spans="1:12" ht="15.75" thickBot="1">
      <c r="A51" s="392"/>
      <c r="B51" s="222" t="s">
        <v>1828</v>
      </c>
      <c r="C51" s="223"/>
      <c r="D51" s="223"/>
      <c r="E51" s="395"/>
      <c r="F51" s="224" t="s">
        <v>1828</v>
      </c>
      <c r="G51" s="392"/>
      <c r="H51" s="222" t="s">
        <v>1828</v>
      </c>
      <c r="I51" s="223"/>
      <c r="J51" s="223"/>
      <c r="K51" s="395"/>
      <c r="L51" s="224" t="s">
        <v>1828</v>
      </c>
    </row>
    <row r="52" spans="1:12" ht="15.75" thickBot="1">
      <c r="A52" s="392"/>
      <c r="B52" s="222" t="s">
        <v>1829</v>
      </c>
      <c r="C52" s="223"/>
      <c r="D52" s="223"/>
      <c r="E52" s="395"/>
      <c r="F52" s="224" t="s">
        <v>1829</v>
      </c>
      <c r="G52" s="392"/>
      <c r="H52" s="222" t="s">
        <v>1829</v>
      </c>
      <c r="I52" s="223"/>
      <c r="J52" s="223"/>
      <c r="K52" s="395"/>
      <c r="L52" s="224" t="s">
        <v>1829</v>
      </c>
    </row>
    <row r="53" spans="1:12" ht="15.75" thickBot="1">
      <c r="A53" s="392"/>
      <c r="B53" s="222" t="s">
        <v>1830</v>
      </c>
      <c r="C53" s="223"/>
      <c r="D53" s="223"/>
      <c r="E53" s="395"/>
      <c r="F53" s="224" t="s">
        <v>1830</v>
      </c>
      <c r="G53" s="392"/>
      <c r="H53" s="222" t="s">
        <v>1830</v>
      </c>
      <c r="I53" s="223"/>
      <c r="J53" s="223"/>
      <c r="K53" s="395"/>
      <c r="L53" s="224" t="s">
        <v>1830</v>
      </c>
    </row>
    <row r="54" spans="1:12" ht="15.75" thickBot="1">
      <c r="A54" s="392"/>
      <c r="B54" s="222" t="s">
        <v>1831</v>
      </c>
      <c r="C54" s="223"/>
      <c r="D54" s="223"/>
      <c r="E54" s="395"/>
      <c r="F54" s="224" t="s">
        <v>1831</v>
      </c>
      <c r="G54" s="392"/>
      <c r="H54" s="222" t="s">
        <v>1831</v>
      </c>
      <c r="I54" s="223"/>
      <c r="J54" s="223"/>
      <c r="K54" s="395"/>
      <c r="L54" s="224" t="s">
        <v>1831</v>
      </c>
    </row>
    <row r="55" spans="1:12" ht="15.75" thickBot="1">
      <c r="A55" s="392"/>
      <c r="B55" s="222" t="s">
        <v>1832</v>
      </c>
      <c r="C55" s="223"/>
      <c r="D55" s="223"/>
      <c r="E55" s="395"/>
      <c r="F55" s="224" t="s">
        <v>1832</v>
      </c>
      <c r="G55" s="392"/>
      <c r="H55" s="222" t="s">
        <v>1832</v>
      </c>
      <c r="I55" s="223"/>
      <c r="J55" s="223"/>
      <c r="K55" s="395"/>
      <c r="L55" s="224" t="s">
        <v>1832</v>
      </c>
    </row>
    <row r="56" spans="1:12" ht="15.75" thickBot="1">
      <c r="A56" s="392"/>
      <c r="B56" s="222" t="s">
        <v>1833</v>
      </c>
      <c r="C56" s="223"/>
      <c r="D56" s="223"/>
      <c r="E56" s="395"/>
      <c r="F56" s="224" t="s">
        <v>1833</v>
      </c>
      <c r="G56" s="392"/>
      <c r="H56" s="222" t="s">
        <v>1833</v>
      </c>
      <c r="I56" s="223"/>
      <c r="J56" s="223"/>
      <c r="K56" s="395"/>
      <c r="L56" s="224" t="s">
        <v>1833</v>
      </c>
    </row>
    <row r="57" spans="1:12" ht="26.25" thickBot="1">
      <c r="A57" s="392"/>
      <c r="B57" s="222" t="s">
        <v>1834</v>
      </c>
      <c r="C57" s="223"/>
      <c r="D57" s="223"/>
      <c r="E57" s="395"/>
      <c r="F57" s="224" t="s">
        <v>1835</v>
      </c>
      <c r="G57" s="392"/>
      <c r="H57" s="222" t="s">
        <v>1834</v>
      </c>
      <c r="I57" s="223"/>
      <c r="J57" s="223"/>
      <c r="K57" s="395"/>
      <c r="L57" s="224" t="s">
        <v>1835</v>
      </c>
    </row>
    <row r="58" spans="1:12" ht="15.75" thickBot="1">
      <c r="A58" s="393"/>
      <c r="B58" s="222" t="s">
        <v>1836</v>
      </c>
      <c r="C58" s="223"/>
      <c r="D58" s="223"/>
      <c r="E58" s="396"/>
      <c r="F58" s="224" t="s">
        <v>1837</v>
      </c>
      <c r="G58" s="393"/>
      <c r="H58" s="222" t="s">
        <v>1836</v>
      </c>
      <c r="I58" s="223"/>
      <c r="J58" s="223"/>
      <c r="K58" s="396"/>
      <c r="L58" s="224" t="s">
        <v>1837</v>
      </c>
    </row>
    <row r="59" spans="1:12" ht="15.75" thickBot="1">
      <c r="A59" s="391" t="s">
        <v>2146</v>
      </c>
      <c r="B59" s="222" t="s">
        <v>1822</v>
      </c>
      <c r="C59" s="223"/>
      <c r="D59" s="223"/>
      <c r="E59" s="394" t="s">
        <v>2146</v>
      </c>
      <c r="F59" s="224" t="s">
        <v>1822</v>
      </c>
      <c r="G59" s="391" t="s">
        <v>2146</v>
      </c>
      <c r="H59" s="222" t="s">
        <v>1822</v>
      </c>
      <c r="I59" s="223"/>
      <c r="J59" s="223"/>
      <c r="K59" s="394" t="s">
        <v>2146</v>
      </c>
      <c r="L59" s="224" t="s">
        <v>1822</v>
      </c>
    </row>
    <row r="60" spans="1:12" ht="15.75" thickBot="1">
      <c r="A60" s="392"/>
      <c r="B60" s="222" t="s">
        <v>1824</v>
      </c>
      <c r="C60" s="223"/>
      <c r="D60" s="223"/>
      <c r="E60" s="395"/>
      <c r="F60" s="224" t="s">
        <v>1824</v>
      </c>
      <c r="G60" s="392"/>
      <c r="H60" s="222" t="s">
        <v>1824</v>
      </c>
      <c r="I60" s="223"/>
      <c r="J60" s="223"/>
      <c r="K60" s="395"/>
      <c r="L60" s="224" t="s">
        <v>1824</v>
      </c>
    </row>
    <row r="61" spans="1:12" ht="15.75" thickBot="1">
      <c r="A61" s="392"/>
      <c r="B61" s="222" t="s">
        <v>1825</v>
      </c>
      <c r="C61" s="223"/>
      <c r="D61" s="223"/>
      <c r="E61" s="395"/>
      <c r="F61" s="224" t="s">
        <v>1825</v>
      </c>
      <c r="G61" s="392"/>
      <c r="H61" s="222" t="s">
        <v>1825</v>
      </c>
      <c r="I61" s="223"/>
      <c r="J61" s="223"/>
      <c r="K61" s="395"/>
      <c r="L61" s="224" t="s">
        <v>1825</v>
      </c>
    </row>
    <row r="62" spans="1:12" ht="15.75" thickBot="1">
      <c r="A62" s="392"/>
      <c r="B62" s="222" t="s">
        <v>1826</v>
      </c>
      <c r="C62" s="223"/>
      <c r="D62" s="223"/>
      <c r="E62" s="395"/>
      <c r="F62" s="224" t="s">
        <v>1826</v>
      </c>
      <c r="G62" s="392"/>
      <c r="H62" s="222" t="s">
        <v>1826</v>
      </c>
      <c r="I62" s="223"/>
      <c r="J62" s="223"/>
      <c r="K62" s="395"/>
      <c r="L62" s="224" t="s">
        <v>1826</v>
      </c>
    </row>
    <row r="63" spans="1:12" ht="15.75" thickBot="1">
      <c r="A63" s="392"/>
      <c r="B63" s="222" t="s">
        <v>1827</v>
      </c>
      <c r="C63" s="223"/>
      <c r="D63" s="223"/>
      <c r="E63" s="395"/>
      <c r="F63" s="224" t="s">
        <v>1827</v>
      </c>
      <c r="G63" s="392"/>
      <c r="H63" s="222" t="s">
        <v>1827</v>
      </c>
      <c r="I63" s="223"/>
      <c r="J63" s="223"/>
      <c r="K63" s="395"/>
      <c r="L63" s="224" t="s">
        <v>1827</v>
      </c>
    </row>
    <row r="64" spans="1:12" ht="15.75" thickBot="1">
      <c r="A64" s="392"/>
      <c r="B64" s="222" t="s">
        <v>1828</v>
      </c>
      <c r="C64" s="223"/>
      <c r="D64" s="223"/>
      <c r="E64" s="395"/>
      <c r="F64" s="224" t="s">
        <v>1828</v>
      </c>
      <c r="G64" s="392"/>
      <c r="H64" s="222" t="s">
        <v>1828</v>
      </c>
      <c r="I64" s="223"/>
      <c r="J64" s="223"/>
      <c r="K64" s="395"/>
      <c r="L64" s="224" t="s">
        <v>1828</v>
      </c>
    </row>
    <row r="65" spans="1:12" ht="15.75" thickBot="1">
      <c r="A65" s="392"/>
      <c r="B65" s="222" t="s">
        <v>1829</v>
      </c>
      <c r="C65" s="223"/>
      <c r="D65" s="223"/>
      <c r="E65" s="395"/>
      <c r="F65" s="224" t="s">
        <v>1829</v>
      </c>
      <c r="G65" s="392"/>
      <c r="H65" s="222" t="s">
        <v>1829</v>
      </c>
      <c r="I65" s="223"/>
      <c r="J65" s="223"/>
      <c r="K65" s="395"/>
      <c r="L65" s="224" t="s">
        <v>1829</v>
      </c>
    </row>
    <row r="66" spans="1:12" ht="15.75" thickBot="1">
      <c r="A66" s="392"/>
      <c r="B66" s="222" t="s">
        <v>1830</v>
      </c>
      <c r="C66" s="223"/>
      <c r="D66" s="223"/>
      <c r="E66" s="395"/>
      <c r="F66" s="224" t="s">
        <v>1830</v>
      </c>
      <c r="G66" s="392"/>
      <c r="H66" s="222" t="s">
        <v>1830</v>
      </c>
      <c r="I66" s="223"/>
      <c r="J66" s="223"/>
      <c r="K66" s="395"/>
      <c r="L66" s="224" t="s">
        <v>1830</v>
      </c>
    </row>
    <row r="67" spans="1:12" ht="15.75" thickBot="1">
      <c r="A67" s="392"/>
      <c r="B67" s="222" t="s">
        <v>1831</v>
      </c>
      <c r="C67" s="223"/>
      <c r="D67" s="223"/>
      <c r="E67" s="395"/>
      <c r="F67" s="224" t="s">
        <v>1831</v>
      </c>
      <c r="G67" s="392"/>
      <c r="H67" s="222" t="s">
        <v>1831</v>
      </c>
      <c r="I67" s="223"/>
      <c r="J67" s="223"/>
      <c r="K67" s="395"/>
      <c r="L67" s="224" t="s">
        <v>1831</v>
      </c>
    </row>
    <row r="68" spans="1:12" ht="15.75" thickBot="1">
      <c r="A68" s="392"/>
      <c r="B68" s="222" t="s">
        <v>1832</v>
      </c>
      <c r="C68" s="223"/>
      <c r="D68" s="223"/>
      <c r="E68" s="395"/>
      <c r="F68" s="224" t="s">
        <v>1832</v>
      </c>
      <c r="G68" s="392"/>
      <c r="H68" s="222" t="s">
        <v>1832</v>
      </c>
      <c r="I68" s="223"/>
      <c r="J68" s="223"/>
      <c r="K68" s="395"/>
      <c r="L68" s="224" t="s">
        <v>1832</v>
      </c>
    </row>
    <row r="69" spans="1:12" ht="15.75" thickBot="1">
      <c r="A69" s="392"/>
      <c r="B69" s="222" t="s">
        <v>1833</v>
      </c>
      <c r="C69" s="223"/>
      <c r="D69" s="223"/>
      <c r="E69" s="395"/>
      <c r="F69" s="224" t="s">
        <v>1833</v>
      </c>
      <c r="G69" s="392"/>
      <c r="H69" s="222" t="s">
        <v>1833</v>
      </c>
      <c r="I69" s="223"/>
      <c r="J69" s="223"/>
      <c r="K69" s="395"/>
      <c r="L69" s="224" t="s">
        <v>1833</v>
      </c>
    </row>
    <row r="70" spans="1:12" ht="26.25" thickBot="1">
      <c r="A70" s="392"/>
      <c r="B70" s="222" t="s">
        <v>1834</v>
      </c>
      <c r="C70" s="223"/>
      <c r="D70" s="223"/>
      <c r="E70" s="395"/>
      <c r="F70" s="224" t="s">
        <v>1835</v>
      </c>
      <c r="G70" s="392"/>
      <c r="H70" s="222" t="s">
        <v>1834</v>
      </c>
      <c r="I70" s="223"/>
      <c r="J70" s="223"/>
      <c r="K70" s="395"/>
      <c r="L70" s="224" t="s">
        <v>1835</v>
      </c>
    </row>
    <row r="71" spans="1:12" ht="15.75" thickBot="1">
      <c r="A71" s="393"/>
      <c r="B71" s="222" t="s">
        <v>1836</v>
      </c>
      <c r="C71" s="223"/>
      <c r="D71" s="223"/>
      <c r="E71" s="396"/>
      <c r="F71" s="224" t="s">
        <v>1837</v>
      </c>
      <c r="G71" s="393"/>
      <c r="H71" s="222" t="s">
        <v>1836</v>
      </c>
      <c r="I71" s="223"/>
      <c r="J71" s="223"/>
      <c r="K71" s="396"/>
      <c r="L71" s="224" t="s">
        <v>1837</v>
      </c>
    </row>
    <row r="72" spans="1:12" ht="15.75" thickBot="1">
      <c r="A72" s="391" t="s">
        <v>2147</v>
      </c>
      <c r="B72" s="222" t="s">
        <v>1822</v>
      </c>
      <c r="C72" s="223"/>
      <c r="D72" s="223"/>
      <c r="E72" s="394" t="s">
        <v>2147</v>
      </c>
      <c r="F72" s="224" t="s">
        <v>1822</v>
      </c>
      <c r="G72" s="391" t="s">
        <v>2147</v>
      </c>
      <c r="H72" s="222" t="s">
        <v>1822</v>
      </c>
      <c r="I72" s="223"/>
      <c r="J72" s="223"/>
      <c r="K72" s="394" t="s">
        <v>2147</v>
      </c>
      <c r="L72" s="224" t="s">
        <v>1822</v>
      </c>
    </row>
    <row r="73" spans="1:12" ht="15.75" thickBot="1">
      <c r="A73" s="392"/>
      <c r="B73" s="222" t="s">
        <v>1824</v>
      </c>
      <c r="C73" s="223"/>
      <c r="D73" s="223"/>
      <c r="E73" s="395"/>
      <c r="F73" s="224" t="s">
        <v>1824</v>
      </c>
      <c r="G73" s="392"/>
      <c r="H73" s="222" t="s">
        <v>1824</v>
      </c>
      <c r="I73" s="223"/>
      <c r="J73" s="223"/>
      <c r="K73" s="395"/>
      <c r="L73" s="224" t="s">
        <v>1824</v>
      </c>
    </row>
    <row r="74" spans="1:12" ht="15.75" thickBot="1">
      <c r="A74" s="392"/>
      <c r="B74" s="222" t="s">
        <v>1825</v>
      </c>
      <c r="C74" s="223"/>
      <c r="D74" s="223"/>
      <c r="E74" s="395"/>
      <c r="F74" s="224" t="s">
        <v>1825</v>
      </c>
      <c r="G74" s="392"/>
      <c r="H74" s="222" t="s">
        <v>1825</v>
      </c>
      <c r="I74" s="223"/>
      <c r="J74" s="223"/>
      <c r="K74" s="395"/>
      <c r="L74" s="224" t="s">
        <v>1825</v>
      </c>
    </row>
    <row r="75" spans="1:12" ht="15.75" thickBot="1">
      <c r="A75" s="392"/>
      <c r="B75" s="222" t="s">
        <v>1826</v>
      </c>
      <c r="C75" s="223"/>
      <c r="D75" s="223"/>
      <c r="E75" s="395"/>
      <c r="F75" s="224" t="s">
        <v>1826</v>
      </c>
      <c r="G75" s="392"/>
      <c r="H75" s="222" t="s">
        <v>1826</v>
      </c>
      <c r="I75" s="223"/>
      <c r="J75" s="223"/>
      <c r="K75" s="395"/>
      <c r="L75" s="224" t="s">
        <v>1826</v>
      </c>
    </row>
    <row r="76" spans="1:12" ht="15.75" thickBot="1">
      <c r="A76" s="392"/>
      <c r="B76" s="222" t="s">
        <v>1827</v>
      </c>
      <c r="C76" s="223"/>
      <c r="D76" s="223"/>
      <c r="E76" s="395"/>
      <c r="F76" s="224" t="s">
        <v>1827</v>
      </c>
      <c r="G76" s="392"/>
      <c r="H76" s="222" t="s">
        <v>1827</v>
      </c>
      <c r="I76" s="223"/>
      <c r="J76" s="223"/>
      <c r="K76" s="395"/>
      <c r="L76" s="224" t="s">
        <v>1827</v>
      </c>
    </row>
    <row r="77" spans="1:12" ht="15.75" thickBot="1">
      <c r="A77" s="392"/>
      <c r="B77" s="222" t="s">
        <v>1828</v>
      </c>
      <c r="C77" s="223"/>
      <c r="D77" s="223"/>
      <c r="E77" s="395"/>
      <c r="F77" s="224" t="s">
        <v>1828</v>
      </c>
      <c r="G77" s="392"/>
      <c r="H77" s="222" t="s">
        <v>1828</v>
      </c>
      <c r="I77" s="223"/>
      <c r="J77" s="223"/>
      <c r="K77" s="395"/>
      <c r="L77" s="224" t="s">
        <v>1828</v>
      </c>
    </row>
    <row r="78" spans="1:12" ht="15.75" thickBot="1">
      <c r="A78" s="392"/>
      <c r="B78" s="222" t="s">
        <v>1829</v>
      </c>
      <c r="C78" s="223"/>
      <c r="D78" s="223"/>
      <c r="E78" s="395"/>
      <c r="F78" s="224" t="s">
        <v>1829</v>
      </c>
      <c r="G78" s="392"/>
      <c r="H78" s="222" t="s">
        <v>1829</v>
      </c>
      <c r="I78" s="223"/>
      <c r="J78" s="223"/>
      <c r="K78" s="395"/>
      <c r="L78" s="224" t="s">
        <v>1829</v>
      </c>
    </row>
    <row r="79" spans="1:12" ht="15.75" thickBot="1">
      <c r="A79" s="392"/>
      <c r="B79" s="222" t="s">
        <v>1830</v>
      </c>
      <c r="C79" s="223"/>
      <c r="D79" s="223"/>
      <c r="E79" s="395"/>
      <c r="F79" s="224" t="s">
        <v>1830</v>
      </c>
      <c r="G79" s="392"/>
      <c r="H79" s="222" t="s">
        <v>1830</v>
      </c>
      <c r="I79" s="223"/>
      <c r="J79" s="223"/>
      <c r="K79" s="395"/>
      <c r="L79" s="224" t="s">
        <v>1830</v>
      </c>
    </row>
    <row r="80" spans="1:12" ht="15.75" thickBot="1">
      <c r="A80" s="392"/>
      <c r="B80" s="222" t="s">
        <v>1831</v>
      </c>
      <c r="C80" s="223"/>
      <c r="D80" s="223"/>
      <c r="E80" s="395"/>
      <c r="F80" s="224" t="s">
        <v>1831</v>
      </c>
      <c r="G80" s="392"/>
      <c r="H80" s="222" t="s">
        <v>1831</v>
      </c>
      <c r="I80" s="223"/>
      <c r="J80" s="223"/>
      <c r="K80" s="395"/>
      <c r="L80" s="224" t="s">
        <v>1831</v>
      </c>
    </row>
    <row r="81" spans="1:12" ht="15.75" thickBot="1">
      <c r="A81" s="392"/>
      <c r="B81" s="222" t="s">
        <v>1832</v>
      </c>
      <c r="C81" s="223"/>
      <c r="D81" s="223"/>
      <c r="E81" s="395"/>
      <c r="F81" s="224" t="s">
        <v>1832</v>
      </c>
      <c r="G81" s="392"/>
      <c r="H81" s="222" t="s">
        <v>1832</v>
      </c>
      <c r="I81" s="223"/>
      <c r="J81" s="223"/>
      <c r="K81" s="395"/>
      <c r="L81" s="224" t="s">
        <v>1832</v>
      </c>
    </row>
    <row r="82" spans="1:12" ht="15.75" thickBot="1">
      <c r="A82" s="392"/>
      <c r="B82" s="222" t="s">
        <v>1833</v>
      </c>
      <c r="C82" s="223"/>
      <c r="D82" s="223"/>
      <c r="E82" s="395"/>
      <c r="F82" s="224" t="s">
        <v>1833</v>
      </c>
      <c r="G82" s="392"/>
      <c r="H82" s="222" t="s">
        <v>1833</v>
      </c>
      <c r="I82" s="223"/>
      <c r="J82" s="223"/>
      <c r="K82" s="395"/>
      <c r="L82" s="224" t="s">
        <v>1833</v>
      </c>
    </row>
    <row r="83" spans="1:12" ht="26.25" thickBot="1">
      <c r="A83" s="392"/>
      <c r="B83" s="222" t="s">
        <v>1834</v>
      </c>
      <c r="C83" s="223"/>
      <c r="D83" s="223"/>
      <c r="E83" s="395"/>
      <c r="F83" s="224" t="s">
        <v>1835</v>
      </c>
      <c r="G83" s="392"/>
      <c r="H83" s="222" t="s">
        <v>1834</v>
      </c>
      <c r="I83" s="223"/>
      <c r="J83" s="223"/>
      <c r="K83" s="395"/>
      <c r="L83" s="224" t="s">
        <v>1835</v>
      </c>
    </row>
    <row r="84" spans="1:12" ht="15.75" thickBot="1">
      <c r="A84" s="393"/>
      <c r="B84" s="222" t="s">
        <v>1836</v>
      </c>
      <c r="C84" s="223"/>
      <c r="D84" s="223"/>
      <c r="E84" s="396"/>
      <c r="F84" s="224" t="s">
        <v>1837</v>
      </c>
      <c r="G84" s="393"/>
      <c r="H84" s="222" t="s">
        <v>1836</v>
      </c>
      <c r="I84" s="223"/>
      <c r="J84" s="223"/>
      <c r="K84" s="396"/>
      <c r="L84" s="224" t="s">
        <v>1837</v>
      </c>
    </row>
    <row r="85" spans="1:12" ht="15.75" thickBot="1">
      <c r="A85" s="391" t="s">
        <v>2148</v>
      </c>
      <c r="B85" s="222" t="s">
        <v>1822</v>
      </c>
      <c r="C85" s="223"/>
      <c r="D85" s="223"/>
      <c r="E85" s="394" t="s">
        <v>2148</v>
      </c>
      <c r="F85" s="224" t="s">
        <v>1822</v>
      </c>
      <c r="G85" s="391" t="s">
        <v>2148</v>
      </c>
      <c r="H85" s="222" t="s">
        <v>1822</v>
      </c>
      <c r="I85" s="223"/>
      <c r="J85" s="223"/>
      <c r="K85" s="394" t="s">
        <v>2148</v>
      </c>
      <c r="L85" s="224" t="s">
        <v>1822</v>
      </c>
    </row>
    <row r="86" spans="1:12" ht="15.75" thickBot="1">
      <c r="A86" s="392"/>
      <c r="B86" s="222" t="s">
        <v>1824</v>
      </c>
      <c r="C86" s="223"/>
      <c r="D86" s="223"/>
      <c r="E86" s="395"/>
      <c r="F86" s="224" t="s">
        <v>1824</v>
      </c>
      <c r="G86" s="392"/>
      <c r="H86" s="222" t="s">
        <v>1824</v>
      </c>
      <c r="I86" s="223"/>
      <c r="J86" s="223"/>
      <c r="K86" s="395"/>
      <c r="L86" s="224" t="s">
        <v>1824</v>
      </c>
    </row>
    <row r="87" spans="1:12" ht="15.75" thickBot="1">
      <c r="A87" s="392"/>
      <c r="B87" s="222" t="s">
        <v>1825</v>
      </c>
      <c r="C87" s="223"/>
      <c r="D87" s="223"/>
      <c r="E87" s="395"/>
      <c r="F87" s="224" t="s">
        <v>1825</v>
      </c>
      <c r="G87" s="392"/>
      <c r="H87" s="222" t="s">
        <v>1825</v>
      </c>
      <c r="I87" s="223"/>
      <c r="J87" s="223"/>
      <c r="K87" s="395"/>
      <c r="L87" s="224" t="s">
        <v>1825</v>
      </c>
    </row>
    <row r="88" spans="1:12" ht="15.75" thickBot="1">
      <c r="A88" s="392"/>
      <c r="B88" s="222" t="s">
        <v>1826</v>
      </c>
      <c r="C88" s="223"/>
      <c r="D88" s="223"/>
      <c r="E88" s="395"/>
      <c r="F88" s="224" t="s">
        <v>1826</v>
      </c>
      <c r="G88" s="392"/>
      <c r="H88" s="222" t="s">
        <v>1826</v>
      </c>
      <c r="I88" s="223"/>
      <c r="J88" s="223"/>
      <c r="K88" s="395"/>
      <c r="L88" s="224" t="s">
        <v>1826</v>
      </c>
    </row>
    <row r="89" spans="1:12" ht="15.75" thickBot="1">
      <c r="A89" s="392"/>
      <c r="B89" s="222" t="s">
        <v>1827</v>
      </c>
      <c r="C89" s="223"/>
      <c r="D89" s="223"/>
      <c r="E89" s="395"/>
      <c r="F89" s="224" t="s">
        <v>1827</v>
      </c>
      <c r="G89" s="392"/>
      <c r="H89" s="222" t="s">
        <v>1827</v>
      </c>
      <c r="I89" s="223"/>
      <c r="J89" s="223"/>
      <c r="K89" s="395"/>
      <c r="L89" s="224" t="s">
        <v>1827</v>
      </c>
    </row>
    <row r="90" spans="1:12" ht="15.75" thickBot="1">
      <c r="A90" s="392"/>
      <c r="B90" s="222" t="s">
        <v>1828</v>
      </c>
      <c r="C90" s="223"/>
      <c r="D90" s="223"/>
      <c r="E90" s="395"/>
      <c r="F90" s="224" t="s">
        <v>1828</v>
      </c>
      <c r="G90" s="392"/>
      <c r="H90" s="222" t="s">
        <v>1828</v>
      </c>
      <c r="I90" s="223"/>
      <c r="J90" s="223"/>
      <c r="K90" s="395"/>
      <c r="L90" s="224" t="s">
        <v>1828</v>
      </c>
    </row>
    <row r="91" spans="1:12" ht="15.75" thickBot="1">
      <c r="A91" s="392"/>
      <c r="B91" s="222" t="s">
        <v>1829</v>
      </c>
      <c r="C91" s="223"/>
      <c r="D91" s="223"/>
      <c r="E91" s="395"/>
      <c r="F91" s="224" t="s">
        <v>1829</v>
      </c>
      <c r="G91" s="392"/>
      <c r="H91" s="222" t="s">
        <v>1829</v>
      </c>
      <c r="I91" s="223"/>
      <c r="J91" s="223"/>
      <c r="K91" s="395"/>
      <c r="L91" s="224" t="s">
        <v>1829</v>
      </c>
    </row>
    <row r="92" spans="1:12" ht="15.75" thickBot="1">
      <c r="A92" s="392"/>
      <c r="B92" s="222" t="s">
        <v>1830</v>
      </c>
      <c r="C92" s="223"/>
      <c r="D92" s="223"/>
      <c r="E92" s="395"/>
      <c r="F92" s="224" t="s">
        <v>1830</v>
      </c>
      <c r="G92" s="392"/>
      <c r="H92" s="222" t="s">
        <v>1830</v>
      </c>
      <c r="I92" s="223"/>
      <c r="J92" s="223"/>
      <c r="K92" s="395"/>
      <c r="L92" s="224" t="s">
        <v>1830</v>
      </c>
    </row>
    <row r="93" spans="1:12" ht="15.75" thickBot="1">
      <c r="A93" s="392"/>
      <c r="B93" s="222" t="s">
        <v>1831</v>
      </c>
      <c r="C93" s="223"/>
      <c r="D93" s="223"/>
      <c r="E93" s="395"/>
      <c r="F93" s="224" t="s">
        <v>1831</v>
      </c>
      <c r="G93" s="392"/>
      <c r="H93" s="222" t="s">
        <v>1831</v>
      </c>
      <c r="I93" s="223"/>
      <c r="J93" s="223"/>
      <c r="K93" s="395"/>
      <c r="L93" s="224" t="s">
        <v>1831</v>
      </c>
    </row>
    <row r="94" spans="1:12" ht="15.75" thickBot="1">
      <c r="A94" s="392"/>
      <c r="B94" s="222" t="s">
        <v>1832</v>
      </c>
      <c r="C94" s="223"/>
      <c r="D94" s="223"/>
      <c r="E94" s="395"/>
      <c r="F94" s="224" t="s">
        <v>1832</v>
      </c>
      <c r="G94" s="392"/>
      <c r="H94" s="222" t="s">
        <v>1832</v>
      </c>
      <c r="I94" s="223"/>
      <c r="J94" s="223"/>
      <c r="K94" s="395"/>
      <c r="L94" s="224" t="s">
        <v>1832</v>
      </c>
    </row>
    <row r="95" spans="1:12" ht="15.75" thickBot="1">
      <c r="A95" s="392"/>
      <c r="B95" s="222" t="s">
        <v>1833</v>
      </c>
      <c r="C95" s="223"/>
      <c r="D95" s="223"/>
      <c r="E95" s="395"/>
      <c r="F95" s="224" t="s">
        <v>1833</v>
      </c>
      <c r="G95" s="392"/>
      <c r="H95" s="222" t="s">
        <v>1833</v>
      </c>
      <c r="I95" s="223"/>
      <c r="J95" s="223"/>
      <c r="K95" s="395"/>
      <c r="L95" s="224" t="s">
        <v>1833</v>
      </c>
    </row>
    <row r="96" spans="1:12" ht="26.25" thickBot="1">
      <c r="A96" s="392"/>
      <c r="B96" s="222" t="s">
        <v>1834</v>
      </c>
      <c r="C96" s="223"/>
      <c r="D96" s="223"/>
      <c r="E96" s="395"/>
      <c r="F96" s="224" t="s">
        <v>1835</v>
      </c>
      <c r="G96" s="392"/>
      <c r="H96" s="222" t="s">
        <v>1834</v>
      </c>
      <c r="I96" s="223"/>
      <c r="J96" s="223"/>
      <c r="K96" s="395"/>
      <c r="L96" s="224" t="s">
        <v>1835</v>
      </c>
    </row>
    <row r="97" spans="1:12" ht="15.75" thickBot="1">
      <c r="A97" s="393"/>
      <c r="B97" s="222" t="s">
        <v>1836</v>
      </c>
      <c r="C97" s="223"/>
      <c r="D97" s="223"/>
      <c r="E97" s="396"/>
      <c r="F97" s="224" t="s">
        <v>1837</v>
      </c>
      <c r="G97" s="393"/>
      <c r="H97" s="222" t="s">
        <v>1836</v>
      </c>
      <c r="I97" s="223"/>
      <c r="J97" s="223"/>
      <c r="K97" s="396"/>
      <c r="L97" s="224" t="s">
        <v>1837</v>
      </c>
    </row>
    <row r="98" spans="1:12" ht="15.75" thickBot="1">
      <c r="A98" s="391" t="s">
        <v>2149</v>
      </c>
      <c r="B98" s="222" t="s">
        <v>1822</v>
      </c>
      <c r="C98" s="223"/>
      <c r="D98" s="223"/>
      <c r="E98" s="394" t="s">
        <v>2149</v>
      </c>
      <c r="F98" s="224" t="s">
        <v>1822</v>
      </c>
      <c r="G98" s="391" t="s">
        <v>2149</v>
      </c>
      <c r="H98" s="222" t="s">
        <v>1822</v>
      </c>
      <c r="I98" s="223"/>
      <c r="J98" s="223"/>
      <c r="K98" s="394" t="s">
        <v>2149</v>
      </c>
      <c r="L98" s="224" t="s">
        <v>1822</v>
      </c>
    </row>
    <row r="99" spans="1:12" ht="15.75" thickBot="1">
      <c r="A99" s="392"/>
      <c r="B99" s="222" t="s">
        <v>1824</v>
      </c>
      <c r="C99" s="223"/>
      <c r="D99" s="223"/>
      <c r="E99" s="395"/>
      <c r="F99" s="224" t="s">
        <v>1824</v>
      </c>
      <c r="G99" s="392"/>
      <c r="H99" s="222" t="s">
        <v>1824</v>
      </c>
      <c r="I99" s="223"/>
      <c r="J99" s="223"/>
      <c r="K99" s="395"/>
      <c r="L99" s="224" t="s">
        <v>1824</v>
      </c>
    </row>
    <row r="100" spans="1:12" ht="15.75" thickBot="1">
      <c r="A100" s="392"/>
      <c r="B100" s="222" t="s">
        <v>1825</v>
      </c>
      <c r="C100" s="223"/>
      <c r="D100" s="223"/>
      <c r="E100" s="395"/>
      <c r="F100" s="224" t="s">
        <v>1825</v>
      </c>
      <c r="G100" s="392"/>
      <c r="H100" s="222" t="s">
        <v>1825</v>
      </c>
      <c r="I100" s="223"/>
      <c r="J100" s="223"/>
      <c r="K100" s="395"/>
      <c r="L100" s="224" t="s">
        <v>1825</v>
      </c>
    </row>
    <row r="101" spans="1:12" ht="15.75" thickBot="1">
      <c r="A101" s="392"/>
      <c r="B101" s="222" t="s">
        <v>1826</v>
      </c>
      <c r="C101" s="223"/>
      <c r="D101" s="223"/>
      <c r="E101" s="395"/>
      <c r="F101" s="224" t="s">
        <v>1826</v>
      </c>
      <c r="G101" s="392"/>
      <c r="H101" s="222" t="s">
        <v>1826</v>
      </c>
      <c r="I101" s="223"/>
      <c r="J101" s="223"/>
      <c r="K101" s="395"/>
      <c r="L101" s="224" t="s">
        <v>1826</v>
      </c>
    </row>
    <row r="102" spans="1:12" ht="15.75" thickBot="1">
      <c r="A102" s="392"/>
      <c r="B102" s="222" t="s">
        <v>1827</v>
      </c>
      <c r="C102" s="223"/>
      <c r="D102" s="223"/>
      <c r="E102" s="395"/>
      <c r="F102" s="224" t="s">
        <v>1827</v>
      </c>
      <c r="G102" s="392"/>
      <c r="H102" s="222" t="s">
        <v>1827</v>
      </c>
      <c r="I102" s="223"/>
      <c r="J102" s="223"/>
      <c r="K102" s="395"/>
      <c r="L102" s="224" t="s">
        <v>1827</v>
      </c>
    </row>
    <row r="103" spans="1:12" ht="15.75" thickBot="1">
      <c r="A103" s="392"/>
      <c r="B103" s="222" t="s">
        <v>1828</v>
      </c>
      <c r="C103" s="223"/>
      <c r="D103" s="223"/>
      <c r="E103" s="395"/>
      <c r="F103" s="224" t="s">
        <v>1828</v>
      </c>
      <c r="G103" s="392"/>
      <c r="H103" s="222" t="s">
        <v>1828</v>
      </c>
      <c r="I103" s="223"/>
      <c r="J103" s="223"/>
      <c r="K103" s="395"/>
      <c r="L103" s="224" t="s">
        <v>1828</v>
      </c>
    </row>
    <row r="104" spans="1:12" ht="15.75" thickBot="1">
      <c r="A104" s="392"/>
      <c r="B104" s="222" t="s">
        <v>1829</v>
      </c>
      <c r="C104" s="223"/>
      <c r="D104" s="223"/>
      <c r="E104" s="395"/>
      <c r="F104" s="224" t="s">
        <v>1829</v>
      </c>
      <c r="G104" s="392"/>
      <c r="H104" s="222" t="s">
        <v>1829</v>
      </c>
      <c r="I104" s="223"/>
      <c r="J104" s="223"/>
      <c r="K104" s="395"/>
      <c r="L104" s="224" t="s">
        <v>1829</v>
      </c>
    </row>
    <row r="105" spans="1:12" ht="15.75" thickBot="1">
      <c r="A105" s="392"/>
      <c r="B105" s="222" t="s">
        <v>1830</v>
      </c>
      <c r="C105" s="223"/>
      <c r="D105" s="223"/>
      <c r="E105" s="395"/>
      <c r="F105" s="224" t="s">
        <v>1830</v>
      </c>
      <c r="G105" s="392"/>
      <c r="H105" s="222" t="s">
        <v>1830</v>
      </c>
      <c r="I105" s="223"/>
      <c r="J105" s="223"/>
      <c r="K105" s="395"/>
      <c r="L105" s="224" t="s">
        <v>1830</v>
      </c>
    </row>
    <row r="106" spans="1:12" ht="15.75" thickBot="1">
      <c r="A106" s="392"/>
      <c r="B106" s="222" t="s">
        <v>1831</v>
      </c>
      <c r="C106" s="223"/>
      <c r="D106" s="223"/>
      <c r="E106" s="395"/>
      <c r="F106" s="224" t="s">
        <v>1831</v>
      </c>
      <c r="G106" s="392"/>
      <c r="H106" s="222" t="s">
        <v>1831</v>
      </c>
      <c r="I106" s="223"/>
      <c r="J106" s="223"/>
      <c r="K106" s="395"/>
      <c r="L106" s="224" t="s">
        <v>1831</v>
      </c>
    </row>
    <row r="107" spans="1:12" ht="15.75" thickBot="1">
      <c r="A107" s="392"/>
      <c r="B107" s="222" t="s">
        <v>1832</v>
      </c>
      <c r="C107" s="223"/>
      <c r="D107" s="223"/>
      <c r="E107" s="395"/>
      <c r="F107" s="224" t="s">
        <v>1832</v>
      </c>
      <c r="G107" s="392"/>
      <c r="H107" s="222" t="s">
        <v>1832</v>
      </c>
      <c r="I107" s="223"/>
      <c r="J107" s="223"/>
      <c r="K107" s="395"/>
      <c r="L107" s="224" t="s">
        <v>1832</v>
      </c>
    </row>
    <row r="108" spans="1:12" ht="15.75" thickBot="1">
      <c r="A108" s="392"/>
      <c r="B108" s="222" t="s">
        <v>1833</v>
      </c>
      <c r="C108" s="223"/>
      <c r="D108" s="223"/>
      <c r="E108" s="395"/>
      <c r="F108" s="224" t="s">
        <v>1833</v>
      </c>
      <c r="G108" s="392"/>
      <c r="H108" s="222" t="s">
        <v>1833</v>
      </c>
      <c r="I108" s="223"/>
      <c r="J108" s="223"/>
      <c r="K108" s="395"/>
      <c r="L108" s="224" t="s">
        <v>1833</v>
      </c>
    </row>
    <row r="109" spans="1:12" ht="26.25" thickBot="1">
      <c r="A109" s="392"/>
      <c r="B109" s="222" t="s">
        <v>1834</v>
      </c>
      <c r="C109" s="223"/>
      <c r="D109" s="223"/>
      <c r="E109" s="395"/>
      <c r="F109" s="224" t="s">
        <v>1835</v>
      </c>
      <c r="G109" s="392"/>
      <c r="H109" s="222" t="s">
        <v>1834</v>
      </c>
      <c r="I109" s="223"/>
      <c r="J109" s="223"/>
      <c r="K109" s="395"/>
      <c r="L109" s="224" t="s">
        <v>1835</v>
      </c>
    </row>
    <row r="110" spans="1:12" ht="15.75" thickBot="1">
      <c r="A110" s="393"/>
      <c r="B110" s="222" t="s">
        <v>1836</v>
      </c>
      <c r="C110" s="223"/>
      <c r="D110" s="223"/>
      <c r="E110" s="396"/>
      <c r="F110" s="224" t="s">
        <v>1837</v>
      </c>
      <c r="G110" s="393"/>
      <c r="H110" s="222" t="s">
        <v>1836</v>
      </c>
      <c r="I110" s="223"/>
      <c r="J110" s="223"/>
      <c r="K110" s="396"/>
      <c r="L110" s="224" t="s">
        <v>1837</v>
      </c>
    </row>
    <row r="111" spans="1:12" ht="15.75" thickBot="1">
      <c r="A111" s="391" t="s">
        <v>2150</v>
      </c>
      <c r="B111" s="222" t="s">
        <v>1822</v>
      </c>
      <c r="C111" s="223"/>
      <c r="D111" s="223"/>
      <c r="E111" s="394" t="s">
        <v>2150</v>
      </c>
      <c r="F111" s="224" t="s">
        <v>1822</v>
      </c>
      <c r="G111" s="391" t="s">
        <v>2150</v>
      </c>
      <c r="H111" s="222" t="s">
        <v>1822</v>
      </c>
      <c r="I111" s="223"/>
      <c r="J111" s="223"/>
      <c r="K111" s="394" t="s">
        <v>2150</v>
      </c>
      <c r="L111" s="224" t="s">
        <v>1822</v>
      </c>
    </row>
    <row r="112" spans="1:12" ht="15.75" thickBot="1">
      <c r="A112" s="392"/>
      <c r="B112" s="222" t="s">
        <v>1824</v>
      </c>
      <c r="C112" s="223"/>
      <c r="D112" s="223"/>
      <c r="E112" s="395"/>
      <c r="F112" s="224" t="s">
        <v>1824</v>
      </c>
      <c r="G112" s="392"/>
      <c r="H112" s="222" t="s">
        <v>1824</v>
      </c>
      <c r="I112" s="223"/>
      <c r="J112" s="223"/>
      <c r="K112" s="395"/>
      <c r="L112" s="224" t="s">
        <v>1824</v>
      </c>
    </row>
    <row r="113" spans="1:12" ht="15.75" thickBot="1">
      <c r="A113" s="392"/>
      <c r="B113" s="222" t="s">
        <v>1825</v>
      </c>
      <c r="C113" s="223"/>
      <c r="D113" s="223"/>
      <c r="E113" s="395"/>
      <c r="F113" s="224" t="s">
        <v>1825</v>
      </c>
      <c r="G113" s="392"/>
      <c r="H113" s="222" t="s">
        <v>1825</v>
      </c>
      <c r="I113" s="223"/>
      <c r="J113" s="223"/>
      <c r="K113" s="395"/>
      <c r="L113" s="224" t="s">
        <v>1825</v>
      </c>
    </row>
    <row r="114" spans="1:12" ht="15.75" thickBot="1">
      <c r="A114" s="392"/>
      <c r="B114" s="222" t="s">
        <v>1826</v>
      </c>
      <c r="C114" s="223"/>
      <c r="D114" s="223"/>
      <c r="E114" s="395"/>
      <c r="F114" s="224" t="s">
        <v>1826</v>
      </c>
      <c r="G114" s="392"/>
      <c r="H114" s="222" t="s">
        <v>1826</v>
      </c>
      <c r="I114" s="223"/>
      <c r="J114" s="223"/>
      <c r="K114" s="395"/>
      <c r="L114" s="224" t="s">
        <v>1826</v>
      </c>
    </row>
    <row r="115" spans="1:12" ht="15.75" thickBot="1">
      <c r="A115" s="392"/>
      <c r="B115" s="222" t="s">
        <v>1827</v>
      </c>
      <c r="C115" s="223"/>
      <c r="D115" s="223"/>
      <c r="E115" s="395"/>
      <c r="F115" s="224" t="s">
        <v>1827</v>
      </c>
      <c r="G115" s="392"/>
      <c r="H115" s="222" t="s">
        <v>1827</v>
      </c>
      <c r="I115" s="223"/>
      <c r="J115" s="223"/>
      <c r="K115" s="395"/>
      <c r="L115" s="224" t="s">
        <v>1827</v>
      </c>
    </row>
    <row r="116" spans="1:12" ht="15.75" thickBot="1">
      <c r="A116" s="392"/>
      <c r="B116" s="222" t="s">
        <v>1828</v>
      </c>
      <c r="C116" s="223"/>
      <c r="D116" s="223"/>
      <c r="E116" s="395"/>
      <c r="F116" s="224" t="s">
        <v>1828</v>
      </c>
      <c r="G116" s="392"/>
      <c r="H116" s="222" t="s">
        <v>1828</v>
      </c>
      <c r="I116" s="223"/>
      <c r="J116" s="223"/>
      <c r="K116" s="395"/>
      <c r="L116" s="224" t="s">
        <v>1828</v>
      </c>
    </row>
    <row r="117" spans="1:12" ht="15.75" thickBot="1">
      <c r="A117" s="392"/>
      <c r="B117" s="222" t="s">
        <v>1829</v>
      </c>
      <c r="C117" s="223"/>
      <c r="D117" s="223"/>
      <c r="E117" s="395"/>
      <c r="F117" s="224" t="s">
        <v>1829</v>
      </c>
      <c r="G117" s="392"/>
      <c r="H117" s="222" t="s">
        <v>1829</v>
      </c>
      <c r="I117" s="223"/>
      <c r="J117" s="223"/>
      <c r="K117" s="395"/>
      <c r="L117" s="224" t="s">
        <v>1829</v>
      </c>
    </row>
    <row r="118" spans="1:12" ht="15.75" thickBot="1">
      <c r="A118" s="392"/>
      <c r="B118" s="222" t="s">
        <v>1830</v>
      </c>
      <c r="C118" s="223"/>
      <c r="D118" s="223"/>
      <c r="E118" s="395"/>
      <c r="F118" s="224" t="s">
        <v>1830</v>
      </c>
      <c r="G118" s="392"/>
      <c r="H118" s="222" t="s">
        <v>1830</v>
      </c>
      <c r="I118" s="223"/>
      <c r="J118" s="223"/>
      <c r="K118" s="395"/>
      <c r="L118" s="224" t="s">
        <v>1830</v>
      </c>
    </row>
    <row r="119" spans="1:12" ht="15.75" thickBot="1">
      <c r="A119" s="392"/>
      <c r="B119" s="222" t="s">
        <v>1831</v>
      </c>
      <c r="C119" s="223"/>
      <c r="D119" s="223"/>
      <c r="E119" s="395"/>
      <c r="F119" s="224" t="s">
        <v>1831</v>
      </c>
      <c r="G119" s="392"/>
      <c r="H119" s="222" t="s">
        <v>1831</v>
      </c>
      <c r="I119" s="223"/>
      <c r="J119" s="223"/>
      <c r="K119" s="395"/>
      <c r="L119" s="224" t="s">
        <v>1831</v>
      </c>
    </row>
    <row r="120" spans="1:12" ht="15.75" thickBot="1">
      <c r="A120" s="392"/>
      <c r="B120" s="222" t="s">
        <v>1832</v>
      </c>
      <c r="C120" s="223"/>
      <c r="D120" s="223"/>
      <c r="E120" s="395"/>
      <c r="F120" s="224" t="s">
        <v>1832</v>
      </c>
      <c r="G120" s="392"/>
      <c r="H120" s="222" t="s">
        <v>1832</v>
      </c>
      <c r="I120" s="223"/>
      <c r="J120" s="223"/>
      <c r="K120" s="395"/>
      <c r="L120" s="224" t="s">
        <v>1832</v>
      </c>
    </row>
    <row r="121" spans="1:12" ht="15.75" thickBot="1">
      <c r="A121" s="392"/>
      <c r="B121" s="222" t="s">
        <v>1833</v>
      </c>
      <c r="C121" s="223"/>
      <c r="D121" s="223"/>
      <c r="E121" s="395"/>
      <c r="F121" s="224" t="s">
        <v>1833</v>
      </c>
      <c r="G121" s="392"/>
      <c r="H121" s="222" t="s">
        <v>1833</v>
      </c>
      <c r="I121" s="223"/>
      <c r="J121" s="223"/>
      <c r="K121" s="395"/>
      <c r="L121" s="224" t="s">
        <v>1833</v>
      </c>
    </row>
    <row r="122" spans="1:12" ht="26.25" thickBot="1">
      <c r="A122" s="392"/>
      <c r="B122" s="222" t="s">
        <v>1834</v>
      </c>
      <c r="C122" s="223"/>
      <c r="D122" s="223"/>
      <c r="E122" s="395"/>
      <c r="F122" s="224" t="s">
        <v>1835</v>
      </c>
      <c r="G122" s="392"/>
      <c r="H122" s="222" t="s">
        <v>1834</v>
      </c>
      <c r="I122" s="223"/>
      <c r="J122" s="223"/>
      <c r="K122" s="395"/>
      <c r="L122" s="224" t="s">
        <v>1835</v>
      </c>
    </row>
    <row r="123" spans="1:12" ht="15.75" thickBot="1">
      <c r="A123" s="393"/>
      <c r="B123" s="222" t="s">
        <v>1836</v>
      </c>
      <c r="C123" s="223"/>
      <c r="D123" s="223"/>
      <c r="E123" s="396"/>
      <c r="F123" s="224" t="s">
        <v>1837</v>
      </c>
      <c r="G123" s="393"/>
      <c r="H123" s="222" t="s">
        <v>1836</v>
      </c>
      <c r="I123" s="223"/>
      <c r="J123" s="223"/>
      <c r="K123" s="396"/>
      <c r="L123" s="224" t="s">
        <v>1837</v>
      </c>
    </row>
    <row r="124" spans="1:12" ht="15.75" thickBot="1">
      <c r="A124" s="391" t="s">
        <v>2151</v>
      </c>
      <c r="B124" s="222" t="s">
        <v>1822</v>
      </c>
      <c r="C124" s="223"/>
      <c r="D124" s="223"/>
      <c r="E124" s="394" t="s">
        <v>2151</v>
      </c>
      <c r="F124" s="224" t="s">
        <v>1822</v>
      </c>
      <c r="G124" s="391" t="s">
        <v>2151</v>
      </c>
      <c r="H124" s="222" t="s">
        <v>1822</v>
      </c>
      <c r="I124" s="223"/>
      <c r="J124" s="223"/>
      <c r="K124" s="394" t="s">
        <v>2151</v>
      </c>
      <c r="L124" s="224" t="s">
        <v>1822</v>
      </c>
    </row>
    <row r="125" spans="1:12" ht="15.75" thickBot="1">
      <c r="A125" s="392"/>
      <c r="B125" s="222" t="s">
        <v>1824</v>
      </c>
      <c r="C125" s="223"/>
      <c r="D125" s="223"/>
      <c r="E125" s="395"/>
      <c r="F125" s="224" t="s">
        <v>1824</v>
      </c>
      <c r="G125" s="392"/>
      <c r="H125" s="222" t="s">
        <v>1824</v>
      </c>
      <c r="I125" s="223"/>
      <c r="J125" s="223"/>
      <c r="K125" s="395"/>
      <c r="L125" s="224" t="s">
        <v>1824</v>
      </c>
    </row>
    <row r="126" spans="1:12" ht="15.75" thickBot="1">
      <c r="A126" s="392"/>
      <c r="B126" s="222" t="s">
        <v>1825</v>
      </c>
      <c r="C126" s="223"/>
      <c r="D126" s="223"/>
      <c r="E126" s="395"/>
      <c r="F126" s="224" t="s">
        <v>1825</v>
      </c>
      <c r="G126" s="392"/>
      <c r="H126" s="222" t="s">
        <v>1825</v>
      </c>
      <c r="I126" s="223"/>
      <c r="J126" s="223"/>
      <c r="K126" s="395"/>
      <c r="L126" s="224" t="s">
        <v>1825</v>
      </c>
    </row>
    <row r="127" spans="1:12" ht="15.75" thickBot="1">
      <c r="A127" s="392"/>
      <c r="B127" s="222" t="s">
        <v>1826</v>
      </c>
      <c r="C127" s="223"/>
      <c r="D127" s="223"/>
      <c r="E127" s="395"/>
      <c r="F127" s="224" t="s">
        <v>1826</v>
      </c>
      <c r="G127" s="392"/>
      <c r="H127" s="222" t="s">
        <v>1826</v>
      </c>
      <c r="I127" s="223"/>
      <c r="J127" s="223"/>
      <c r="K127" s="395"/>
      <c r="L127" s="224" t="s">
        <v>1826</v>
      </c>
    </row>
    <row r="128" spans="1:12" ht="15.75" thickBot="1">
      <c r="A128" s="392"/>
      <c r="B128" s="222" t="s">
        <v>1827</v>
      </c>
      <c r="C128" s="223"/>
      <c r="D128" s="223"/>
      <c r="E128" s="395"/>
      <c r="F128" s="224" t="s">
        <v>1827</v>
      </c>
      <c r="G128" s="392"/>
      <c r="H128" s="222" t="s">
        <v>1827</v>
      </c>
      <c r="I128" s="223"/>
      <c r="J128" s="223"/>
      <c r="K128" s="395"/>
      <c r="L128" s="224" t="s">
        <v>1827</v>
      </c>
    </row>
    <row r="129" spans="1:12" ht="15.75" thickBot="1">
      <c r="A129" s="392"/>
      <c r="B129" s="222" t="s">
        <v>1828</v>
      </c>
      <c r="C129" s="223"/>
      <c r="D129" s="223"/>
      <c r="E129" s="395"/>
      <c r="F129" s="224" t="s">
        <v>1828</v>
      </c>
      <c r="G129" s="392"/>
      <c r="H129" s="222" t="s">
        <v>1828</v>
      </c>
      <c r="I129" s="223"/>
      <c r="J129" s="223"/>
      <c r="K129" s="395"/>
      <c r="L129" s="224" t="s">
        <v>1828</v>
      </c>
    </row>
    <row r="130" spans="1:12" ht="15.75" thickBot="1">
      <c r="A130" s="392"/>
      <c r="B130" s="222" t="s">
        <v>1829</v>
      </c>
      <c r="C130" s="223"/>
      <c r="D130" s="223"/>
      <c r="E130" s="395"/>
      <c r="F130" s="224" t="s">
        <v>1829</v>
      </c>
      <c r="G130" s="392"/>
      <c r="H130" s="222" t="s">
        <v>1829</v>
      </c>
      <c r="I130" s="223"/>
      <c r="J130" s="223"/>
      <c r="K130" s="395"/>
      <c r="L130" s="224" t="s">
        <v>1829</v>
      </c>
    </row>
    <row r="131" spans="1:12" ht="15.75" thickBot="1">
      <c r="A131" s="392"/>
      <c r="B131" s="222" t="s">
        <v>1830</v>
      </c>
      <c r="C131" s="223"/>
      <c r="D131" s="223"/>
      <c r="E131" s="395"/>
      <c r="F131" s="224" t="s">
        <v>1830</v>
      </c>
      <c r="G131" s="392"/>
      <c r="H131" s="222" t="s">
        <v>1830</v>
      </c>
      <c r="I131" s="223"/>
      <c r="J131" s="223"/>
      <c r="K131" s="395"/>
      <c r="L131" s="224" t="s">
        <v>1830</v>
      </c>
    </row>
    <row r="132" spans="1:12" ht="15.75" thickBot="1">
      <c r="A132" s="392"/>
      <c r="B132" s="222" t="s">
        <v>1831</v>
      </c>
      <c r="C132" s="223"/>
      <c r="D132" s="223"/>
      <c r="E132" s="395"/>
      <c r="F132" s="224" t="s">
        <v>1831</v>
      </c>
      <c r="G132" s="392"/>
      <c r="H132" s="222" t="s">
        <v>1831</v>
      </c>
      <c r="I132" s="223"/>
      <c r="J132" s="223"/>
      <c r="K132" s="395"/>
      <c r="L132" s="224" t="s">
        <v>1831</v>
      </c>
    </row>
    <row r="133" spans="1:12" ht="15.75" thickBot="1">
      <c r="A133" s="392"/>
      <c r="B133" s="222" t="s">
        <v>1832</v>
      </c>
      <c r="C133" s="223"/>
      <c r="D133" s="223"/>
      <c r="E133" s="395"/>
      <c r="F133" s="224" t="s">
        <v>1832</v>
      </c>
      <c r="G133" s="392"/>
      <c r="H133" s="222" t="s">
        <v>1832</v>
      </c>
      <c r="I133" s="223"/>
      <c r="J133" s="223"/>
      <c r="K133" s="395"/>
      <c r="L133" s="224" t="s">
        <v>1832</v>
      </c>
    </row>
    <row r="134" spans="1:12" ht="15.75" thickBot="1">
      <c r="A134" s="392"/>
      <c r="B134" s="222" t="s">
        <v>1833</v>
      </c>
      <c r="C134" s="223"/>
      <c r="D134" s="223"/>
      <c r="E134" s="395"/>
      <c r="F134" s="224" t="s">
        <v>1833</v>
      </c>
      <c r="G134" s="392"/>
      <c r="H134" s="222" t="s">
        <v>1833</v>
      </c>
      <c r="I134" s="223"/>
      <c r="J134" s="223"/>
      <c r="K134" s="395"/>
      <c r="L134" s="224" t="s">
        <v>1833</v>
      </c>
    </row>
    <row r="135" spans="1:12" ht="26.25" thickBot="1">
      <c r="A135" s="392"/>
      <c r="B135" s="222" t="s">
        <v>1834</v>
      </c>
      <c r="C135" s="223"/>
      <c r="D135" s="223"/>
      <c r="E135" s="395"/>
      <c r="F135" s="224" t="s">
        <v>1835</v>
      </c>
      <c r="G135" s="392"/>
      <c r="H135" s="222" t="s">
        <v>1834</v>
      </c>
      <c r="I135" s="223"/>
      <c r="J135" s="223"/>
      <c r="K135" s="395"/>
      <c r="L135" s="224" t="s">
        <v>1835</v>
      </c>
    </row>
    <row r="136" spans="1:12" ht="15.75" thickBot="1">
      <c r="A136" s="393"/>
      <c r="B136" s="222" t="s">
        <v>1836</v>
      </c>
      <c r="C136" s="223"/>
      <c r="D136" s="223"/>
      <c r="E136" s="396"/>
      <c r="F136" s="224" t="s">
        <v>1837</v>
      </c>
      <c r="G136" s="393"/>
      <c r="H136" s="222" t="s">
        <v>1836</v>
      </c>
      <c r="I136" s="223"/>
      <c r="J136" s="223"/>
      <c r="K136" s="396"/>
      <c r="L136" s="224" t="s">
        <v>1837</v>
      </c>
    </row>
    <row r="137" spans="1:12" ht="15.75" thickBot="1">
      <c r="A137" s="391" t="s">
        <v>2152</v>
      </c>
      <c r="B137" s="222" t="s">
        <v>1822</v>
      </c>
      <c r="C137" s="223"/>
      <c r="D137" s="223"/>
      <c r="E137" s="394" t="s">
        <v>2152</v>
      </c>
      <c r="F137" s="224" t="s">
        <v>1822</v>
      </c>
      <c r="G137" s="391" t="s">
        <v>2152</v>
      </c>
      <c r="H137" s="222" t="s">
        <v>1822</v>
      </c>
      <c r="I137" s="223"/>
      <c r="J137" s="223"/>
      <c r="K137" s="394" t="s">
        <v>2152</v>
      </c>
      <c r="L137" s="224" t="s">
        <v>1822</v>
      </c>
    </row>
    <row r="138" spans="1:12" ht="15.75" thickBot="1">
      <c r="A138" s="392"/>
      <c r="B138" s="222" t="s">
        <v>1824</v>
      </c>
      <c r="C138" s="223"/>
      <c r="D138" s="223"/>
      <c r="E138" s="395"/>
      <c r="F138" s="224" t="s">
        <v>1824</v>
      </c>
      <c r="G138" s="392"/>
      <c r="H138" s="222" t="s">
        <v>1824</v>
      </c>
      <c r="I138" s="223"/>
      <c r="J138" s="223"/>
      <c r="K138" s="395"/>
      <c r="L138" s="224" t="s">
        <v>1824</v>
      </c>
    </row>
    <row r="139" spans="1:12" ht="15.75" thickBot="1">
      <c r="A139" s="392"/>
      <c r="B139" s="222" t="s">
        <v>1825</v>
      </c>
      <c r="C139" s="223"/>
      <c r="D139" s="223"/>
      <c r="E139" s="395"/>
      <c r="F139" s="224" t="s">
        <v>1825</v>
      </c>
      <c r="G139" s="392"/>
      <c r="H139" s="222" t="s">
        <v>1825</v>
      </c>
      <c r="I139" s="223"/>
      <c r="J139" s="223"/>
      <c r="K139" s="395"/>
      <c r="L139" s="224" t="s">
        <v>1825</v>
      </c>
    </row>
    <row r="140" spans="1:12" ht="15.75" thickBot="1">
      <c r="A140" s="392"/>
      <c r="B140" s="222" t="s">
        <v>1826</v>
      </c>
      <c r="C140" s="223"/>
      <c r="D140" s="223"/>
      <c r="E140" s="395"/>
      <c r="F140" s="224" t="s">
        <v>1826</v>
      </c>
      <c r="G140" s="392"/>
      <c r="H140" s="222" t="s">
        <v>1826</v>
      </c>
      <c r="I140" s="223"/>
      <c r="J140" s="223"/>
      <c r="K140" s="395"/>
      <c r="L140" s="224" t="s">
        <v>1826</v>
      </c>
    </row>
    <row r="141" spans="1:12" ht="15.75" thickBot="1">
      <c r="A141" s="392"/>
      <c r="B141" s="222" t="s">
        <v>1827</v>
      </c>
      <c r="C141" s="223"/>
      <c r="D141" s="223"/>
      <c r="E141" s="395"/>
      <c r="F141" s="224" t="s">
        <v>1827</v>
      </c>
      <c r="G141" s="392"/>
      <c r="H141" s="222" t="s">
        <v>1827</v>
      </c>
      <c r="I141" s="223"/>
      <c r="J141" s="223"/>
      <c r="K141" s="395"/>
      <c r="L141" s="224" t="s">
        <v>1827</v>
      </c>
    </row>
    <row r="142" spans="1:12" ht="15.75" thickBot="1">
      <c r="A142" s="392"/>
      <c r="B142" s="222" t="s">
        <v>1828</v>
      </c>
      <c r="C142" s="223"/>
      <c r="D142" s="223"/>
      <c r="E142" s="395"/>
      <c r="F142" s="224" t="s">
        <v>1828</v>
      </c>
      <c r="G142" s="392"/>
      <c r="H142" s="222" t="s">
        <v>1828</v>
      </c>
      <c r="I142" s="223"/>
      <c r="J142" s="223"/>
      <c r="K142" s="395"/>
      <c r="L142" s="224" t="s">
        <v>1828</v>
      </c>
    </row>
    <row r="143" spans="1:12" ht="15.75" thickBot="1">
      <c r="A143" s="392"/>
      <c r="B143" s="222" t="s">
        <v>1829</v>
      </c>
      <c r="C143" s="223"/>
      <c r="D143" s="223"/>
      <c r="E143" s="395"/>
      <c r="F143" s="224" t="s">
        <v>1829</v>
      </c>
      <c r="G143" s="392"/>
      <c r="H143" s="222" t="s">
        <v>1829</v>
      </c>
      <c r="I143" s="223"/>
      <c r="J143" s="223"/>
      <c r="K143" s="395"/>
      <c r="L143" s="224" t="s">
        <v>1829</v>
      </c>
    </row>
    <row r="144" spans="1:12" ht="15.75" thickBot="1">
      <c r="A144" s="392"/>
      <c r="B144" s="222" t="s">
        <v>1830</v>
      </c>
      <c r="C144" s="223"/>
      <c r="D144" s="223"/>
      <c r="E144" s="395"/>
      <c r="F144" s="224" t="s">
        <v>1830</v>
      </c>
      <c r="G144" s="392"/>
      <c r="H144" s="222" t="s">
        <v>1830</v>
      </c>
      <c r="I144" s="223"/>
      <c r="J144" s="223"/>
      <c r="K144" s="395"/>
      <c r="L144" s="224" t="s">
        <v>1830</v>
      </c>
    </row>
    <row r="145" spans="1:12" ht="15.75" thickBot="1">
      <c r="A145" s="392"/>
      <c r="B145" s="222" t="s">
        <v>1831</v>
      </c>
      <c r="C145" s="223"/>
      <c r="D145" s="223"/>
      <c r="E145" s="395"/>
      <c r="F145" s="224" t="s">
        <v>1831</v>
      </c>
      <c r="G145" s="392"/>
      <c r="H145" s="222" t="s">
        <v>1831</v>
      </c>
      <c r="I145" s="223"/>
      <c r="J145" s="223"/>
      <c r="K145" s="395"/>
      <c r="L145" s="224" t="s">
        <v>1831</v>
      </c>
    </row>
    <row r="146" spans="1:12" ht="15.75" thickBot="1">
      <c r="A146" s="392"/>
      <c r="B146" s="222" t="s">
        <v>1832</v>
      </c>
      <c r="C146" s="223"/>
      <c r="D146" s="223"/>
      <c r="E146" s="395"/>
      <c r="F146" s="224" t="s">
        <v>1832</v>
      </c>
      <c r="G146" s="392"/>
      <c r="H146" s="222" t="s">
        <v>1832</v>
      </c>
      <c r="I146" s="223"/>
      <c r="J146" s="223"/>
      <c r="K146" s="395"/>
      <c r="L146" s="224" t="s">
        <v>1832</v>
      </c>
    </row>
    <row r="147" spans="1:12" ht="15.75" thickBot="1">
      <c r="A147" s="392"/>
      <c r="B147" s="222" t="s">
        <v>1833</v>
      </c>
      <c r="C147" s="223"/>
      <c r="D147" s="223"/>
      <c r="E147" s="395"/>
      <c r="F147" s="224" t="s">
        <v>1833</v>
      </c>
      <c r="G147" s="392"/>
      <c r="H147" s="222" t="s">
        <v>1833</v>
      </c>
      <c r="I147" s="223"/>
      <c r="J147" s="223"/>
      <c r="K147" s="395"/>
      <c r="L147" s="224" t="s">
        <v>1833</v>
      </c>
    </row>
    <row r="148" spans="1:12" ht="26.25" thickBot="1">
      <c r="A148" s="392"/>
      <c r="B148" s="222" t="s">
        <v>1834</v>
      </c>
      <c r="C148" s="223"/>
      <c r="D148" s="223"/>
      <c r="E148" s="395"/>
      <c r="F148" s="224" t="s">
        <v>1835</v>
      </c>
      <c r="G148" s="392"/>
      <c r="H148" s="222" t="s">
        <v>1834</v>
      </c>
      <c r="I148" s="223"/>
      <c r="J148" s="223"/>
      <c r="K148" s="395"/>
      <c r="L148" s="224" t="s">
        <v>1835</v>
      </c>
    </row>
    <row r="149" spans="1:12" ht="15.75" thickBot="1">
      <c r="A149" s="393"/>
      <c r="B149" s="222" t="s">
        <v>1836</v>
      </c>
      <c r="C149" s="223"/>
      <c r="D149" s="223"/>
      <c r="E149" s="396"/>
      <c r="F149" s="224" t="s">
        <v>1837</v>
      </c>
      <c r="G149" s="393"/>
      <c r="H149" s="222" t="s">
        <v>1836</v>
      </c>
      <c r="I149" s="223"/>
      <c r="J149" s="223"/>
      <c r="K149" s="396"/>
      <c r="L149" s="224" t="s">
        <v>1837</v>
      </c>
    </row>
    <row r="150" spans="1:12" ht="15.75" thickBot="1">
      <c r="A150" s="391" t="s">
        <v>2153</v>
      </c>
      <c r="B150" s="222" t="s">
        <v>1822</v>
      </c>
      <c r="C150" s="223"/>
      <c r="D150" s="223"/>
      <c r="E150" s="394" t="s">
        <v>2153</v>
      </c>
      <c r="F150" s="224" t="s">
        <v>1822</v>
      </c>
      <c r="G150" s="391" t="s">
        <v>2153</v>
      </c>
      <c r="H150" s="222" t="s">
        <v>1822</v>
      </c>
      <c r="I150" s="223"/>
      <c r="J150" s="223"/>
      <c r="K150" s="394" t="s">
        <v>2153</v>
      </c>
      <c r="L150" s="224" t="s">
        <v>1822</v>
      </c>
    </row>
    <row r="151" spans="1:12" ht="15.75" thickBot="1">
      <c r="A151" s="392"/>
      <c r="B151" s="222" t="s">
        <v>1824</v>
      </c>
      <c r="C151" s="223"/>
      <c r="D151" s="223"/>
      <c r="E151" s="395"/>
      <c r="F151" s="224" t="s">
        <v>1824</v>
      </c>
      <c r="G151" s="392"/>
      <c r="H151" s="222" t="s">
        <v>1824</v>
      </c>
      <c r="I151" s="223"/>
      <c r="J151" s="223"/>
      <c r="K151" s="395"/>
      <c r="L151" s="224" t="s">
        <v>1824</v>
      </c>
    </row>
    <row r="152" spans="1:12" ht="15.75" thickBot="1">
      <c r="A152" s="392"/>
      <c r="B152" s="222" t="s">
        <v>1825</v>
      </c>
      <c r="C152" s="223"/>
      <c r="D152" s="223"/>
      <c r="E152" s="395"/>
      <c r="F152" s="224" t="s">
        <v>1825</v>
      </c>
      <c r="G152" s="392"/>
      <c r="H152" s="222" t="s">
        <v>1825</v>
      </c>
      <c r="I152" s="223"/>
      <c r="J152" s="223"/>
      <c r="K152" s="395"/>
      <c r="L152" s="224" t="s">
        <v>1825</v>
      </c>
    </row>
    <row r="153" spans="1:12" ht="15.75" thickBot="1">
      <c r="A153" s="392"/>
      <c r="B153" s="222" t="s">
        <v>1826</v>
      </c>
      <c r="C153" s="223"/>
      <c r="D153" s="223"/>
      <c r="E153" s="395"/>
      <c r="F153" s="224" t="s">
        <v>1826</v>
      </c>
      <c r="G153" s="392"/>
      <c r="H153" s="222" t="s">
        <v>1826</v>
      </c>
      <c r="I153" s="223"/>
      <c r="J153" s="223"/>
      <c r="K153" s="395"/>
      <c r="L153" s="224" t="s">
        <v>1826</v>
      </c>
    </row>
    <row r="154" spans="1:12" ht="15.75" thickBot="1">
      <c r="A154" s="392"/>
      <c r="B154" s="222" t="s">
        <v>1827</v>
      </c>
      <c r="C154" s="223"/>
      <c r="D154" s="223"/>
      <c r="E154" s="395"/>
      <c r="F154" s="224" t="s">
        <v>1827</v>
      </c>
      <c r="G154" s="392"/>
      <c r="H154" s="222" t="s">
        <v>1827</v>
      </c>
      <c r="I154" s="223"/>
      <c r="J154" s="223"/>
      <c r="K154" s="395"/>
      <c r="L154" s="224" t="s">
        <v>1827</v>
      </c>
    </row>
    <row r="155" spans="1:12" ht="15.75" thickBot="1">
      <c r="A155" s="392"/>
      <c r="B155" s="222" t="s">
        <v>1828</v>
      </c>
      <c r="C155" s="223"/>
      <c r="D155" s="223"/>
      <c r="E155" s="395"/>
      <c r="F155" s="224" t="s">
        <v>1828</v>
      </c>
      <c r="G155" s="392"/>
      <c r="H155" s="222" t="s">
        <v>1828</v>
      </c>
      <c r="I155" s="223"/>
      <c r="J155" s="223"/>
      <c r="K155" s="395"/>
      <c r="L155" s="224" t="s">
        <v>1828</v>
      </c>
    </row>
    <row r="156" spans="1:12" ht="15.75" thickBot="1">
      <c r="A156" s="392"/>
      <c r="B156" s="222" t="s">
        <v>1829</v>
      </c>
      <c r="C156" s="223"/>
      <c r="D156" s="223"/>
      <c r="E156" s="395"/>
      <c r="F156" s="224" t="s">
        <v>1829</v>
      </c>
      <c r="G156" s="392"/>
      <c r="H156" s="222" t="s">
        <v>1829</v>
      </c>
      <c r="I156" s="223"/>
      <c r="J156" s="223"/>
      <c r="K156" s="395"/>
      <c r="L156" s="224" t="s">
        <v>1829</v>
      </c>
    </row>
    <row r="157" spans="1:12" ht="15.75" thickBot="1">
      <c r="A157" s="392"/>
      <c r="B157" s="222" t="s">
        <v>1830</v>
      </c>
      <c r="C157" s="223"/>
      <c r="D157" s="223"/>
      <c r="E157" s="395"/>
      <c r="F157" s="224" t="s">
        <v>1830</v>
      </c>
      <c r="G157" s="392"/>
      <c r="H157" s="222" t="s">
        <v>1830</v>
      </c>
      <c r="I157" s="223"/>
      <c r="J157" s="223"/>
      <c r="K157" s="395"/>
      <c r="L157" s="224" t="s">
        <v>1830</v>
      </c>
    </row>
    <row r="158" spans="1:12" ht="15.75" thickBot="1">
      <c r="A158" s="392"/>
      <c r="B158" s="222" t="s">
        <v>1831</v>
      </c>
      <c r="C158" s="223"/>
      <c r="D158" s="223"/>
      <c r="E158" s="395"/>
      <c r="F158" s="224" t="s">
        <v>1831</v>
      </c>
      <c r="G158" s="392"/>
      <c r="H158" s="222" t="s">
        <v>1831</v>
      </c>
      <c r="I158" s="223"/>
      <c r="J158" s="223"/>
      <c r="K158" s="395"/>
      <c r="L158" s="224" t="s">
        <v>1831</v>
      </c>
    </row>
    <row r="159" spans="1:12" ht="15.75" thickBot="1">
      <c r="A159" s="392"/>
      <c r="B159" s="222" t="s">
        <v>1832</v>
      </c>
      <c r="C159" s="223"/>
      <c r="D159" s="223"/>
      <c r="E159" s="395"/>
      <c r="F159" s="224" t="s">
        <v>1832</v>
      </c>
      <c r="G159" s="392"/>
      <c r="H159" s="222" t="s">
        <v>1832</v>
      </c>
      <c r="I159" s="223"/>
      <c r="J159" s="223"/>
      <c r="K159" s="395"/>
      <c r="L159" s="224" t="s">
        <v>1832</v>
      </c>
    </row>
    <row r="160" spans="1:12" ht="15.75" thickBot="1">
      <c r="A160" s="392"/>
      <c r="B160" s="222" t="s">
        <v>1833</v>
      </c>
      <c r="C160" s="223"/>
      <c r="D160" s="223"/>
      <c r="E160" s="395"/>
      <c r="F160" s="224" t="s">
        <v>1833</v>
      </c>
      <c r="G160" s="392"/>
      <c r="H160" s="222" t="s">
        <v>1833</v>
      </c>
      <c r="I160" s="223"/>
      <c r="J160" s="223"/>
      <c r="K160" s="395"/>
      <c r="L160" s="224" t="s">
        <v>1833</v>
      </c>
    </row>
    <row r="161" spans="1:12" ht="26.25" thickBot="1">
      <c r="A161" s="392"/>
      <c r="B161" s="222" t="s">
        <v>1834</v>
      </c>
      <c r="C161" s="223"/>
      <c r="D161" s="223"/>
      <c r="E161" s="395"/>
      <c r="F161" s="224" t="s">
        <v>1835</v>
      </c>
      <c r="G161" s="392"/>
      <c r="H161" s="222" t="s">
        <v>1834</v>
      </c>
      <c r="I161" s="223"/>
      <c r="J161" s="223"/>
      <c r="K161" s="395"/>
      <c r="L161" s="224" t="s">
        <v>1835</v>
      </c>
    </row>
    <row r="162" spans="1:12" ht="15.75" thickBot="1">
      <c r="A162" s="393"/>
      <c r="B162" s="222" t="s">
        <v>1836</v>
      </c>
      <c r="C162" s="223"/>
      <c r="D162" s="223"/>
      <c r="E162" s="396"/>
      <c r="F162" s="224" t="s">
        <v>1837</v>
      </c>
      <c r="G162" s="393"/>
      <c r="H162" s="222" t="s">
        <v>1836</v>
      </c>
      <c r="I162" s="223"/>
      <c r="J162" s="223"/>
      <c r="K162" s="396"/>
      <c r="L162" s="224" t="s">
        <v>1837</v>
      </c>
    </row>
    <row r="163" spans="1:12" ht="15.75" thickBot="1">
      <c r="A163" s="391" t="s">
        <v>2154</v>
      </c>
      <c r="B163" s="222" t="s">
        <v>1822</v>
      </c>
      <c r="C163" s="223"/>
      <c r="D163" s="223"/>
      <c r="E163" s="394" t="s">
        <v>2154</v>
      </c>
      <c r="F163" s="224" t="s">
        <v>1822</v>
      </c>
      <c r="G163" s="391" t="s">
        <v>2154</v>
      </c>
      <c r="H163" s="222" t="s">
        <v>1822</v>
      </c>
      <c r="I163" s="223"/>
      <c r="J163" s="223"/>
      <c r="K163" s="394" t="s">
        <v>2154</v>
      </c>
      <c r="L163" s="224" t="s">
        <v>1822</v>
      </c>
    </row>
    <row r="164" spans="1:12" ht="15.75" thickBot="1">
      <c r="A164" s="392"/>
      <c r="B164" s="222" t="s">
        <v>1824</v>
      </c>
      <c r="C164" s="223"/>
      <c r="D164" s="223"/>
      <c r="E164" s="395"/>
      <c r="F164" s="224" t="s">
        <v>1824</v>
      </c>
      <c r="G164" s="392"/>
      <c r="H164" s="222" t="s">
        <v>1824</v>
      </c>
      <c r="I164" s="223"/>
      <c r="J164" s="223"/>
      <c r="K164" s="395"/>
      <c r="L164" s="224" t="s">
        <v>1824</v>
      </c>
    </row>
    <row r="165" spans="1:12" ht="15.75" thickBot="1">
      <c r="A165" s="392"/>
      <c r="B165" s="222" t="s">
        <v>1825</v>
      </c>
      <c r="C165" s="223"/>
      <c r="D165" s="223"/>
      <c r="E165" s="395"/>
      <c r="F165" s="224" t="s">
        <v>1825</v>
      </c>
      <c r="G165" s="392"/>
      <c r="H165" s="222" t="s">
        <v>1825</v>
      </c>
      <c r="I165" s="223"/>
      <c r="J165" s="223"/>
      <c r="K165" s="395"/>
      <c r="L165" s="224" t="s">
        <v>1825</v>
      </c>
    </row>
    <row r="166" spans="1:12" ht="15.75" thickBot="1">
      <c r="A166" s="392"/>
      <c r="B166" s="222" t="s">
        <v>1826</v>
      </c>
      <c r="C166" s="223"/>
      <c r="D166" s="223"/>
      <c r="E166" s="395"/>
      <c r="F166" s="224" t="s">
        <v>1826</v>
      </c>
      <c r="G166" s="392"/>
      <c r="H166" s="222" t="s">
        <v>1826</v>
      </c>
      <c r="I166" s="223"/>
      <c r="J166" s="223"/>
      <c r="K166" s="395"/>
      <c r="L166" s="224" t="s">
        <v>1826</v>
      </c>
    </row>
    <row r="167" spans="1:12" ht="15.75" thickBot="1">
      <c r="A167" s="392"/>
      <c r="B167" s="222" t="s">
        <v>1827</v>
      </c>
      <c r="C167" s="223"/>
      <c r="D167" s="223"/>
      <c r="E167" s="395"/>
      <c r="F167" s="224" t="s">
        <v>1827</v>
      </c>
      <c r="G167" s="392"/>
      <c r="H167" s="222" t="s">
        <v>1827</v>
      </c>
      <c r="I167" s="223"/>
      <c r="J167" s="223"/>
      <c r="K167" s="395"/>
      <c r="L167" s="224" t="s">
        <v>1827</v>
      </c>
    </row>
    <row r="168" spans="1:12" ht="15.75" thickBot="1">
      <c r="A168" s="392"/>
      <c r="B168" s="222" t="s">
        <v>1828</v>
      </c>
      <c r="C168" s="223"/>
      <c r="D168" s="223"/>
      <c r="E168" s="395"/>
      <c r="F168" s="224" t="s">
        <v>1828</v>
      </c>
      <c r="G168" s="392"/>
      <c r="H168" s="222" t="s">
        <v>1828</v>
      </c>
      <c r="I168" s="223"/>
      <c r="J168" s="223"/>
      <c r="K168" s="395"/>
      <c r="L168" s="224" t="s">
        <v>1828</v>
      </c>
    </row>
    <row r="169" spans="1:12" ht="15.75" thickBot="1">
      <c r="A169" s="392"/>
      <c r="B169" s="222" t="s">
        <v>1829</v>
      </c>
      <c r="C169" s="223"/>
      <c r="D169" s="223"/>
      <c r="E169" s="395"/>
      <c r="F169" s="224" t="s">
        <v>1829</v>
      </c>
      <c r="G169" s="392"/>
      <c r="H169" s="222" t="s">
        <v>1829</v>
      </c>
      <c r="I169" s="223"/>
      <c r="J169" s="223"/>
      <c r="K169" s="395"/>
      <c r="L169" s="224" t="s">
        <v>1829</v>
      </c>
    </row>
    <row r="170" spans="1:12" ht="15.75" thickBot="1">
      <c r="A170" s="392"/>
      <c r="B170" s="222" t="s">
        <v>1830</v>
      </c>
      <c r="C170" s="223"/>
      <c r="D170" s="223"/>
      <c r="E170" s="395"/>
      <c r="F170" s="224" t="s">
        <v>1830</v>
      </c>
      <c r="G170" s="392"/>
      <c r="H170" s="222" t="s">
        <v>1830</v>
      </c>
      <c r="I170" s="223"/>
      <c r="J170" s="223"/>
      <c r="K170" s="395"/>
      <c r="L170" s="224" t="s">
        <v>1830</v>
      </c>
    </row>
    <row r="171" spans="1:12" ht="15.75" thickBot="1">
      <c r="A171" s="392"/>
      <c r="B171" s="222" t="s">
        <v>1831</v>
      </c>
      <c r="C171" s="223"/>
      <c r="D171" s="223"/>
      <c r="E171" s="395"/>
      <c r="F171" s="224" t="s">
        <v>1831</v>
      </c>
      <c r="G171" s="392"/>
      <c r="H171" s="222" t="s">
        <v>1831</v>
      </c>
      <c r="I171" s="223"/>
      <c r="J171" s="223"/>
      <c r="K171" s="395"/>
      <c r="L171" s="224" t="s">
        <v>1831</v>
      </c>
    </row>
    <row r="172" spans="1:12" ht="15.75" thickBot="1">
      <c r="A172" s="392"/>
      <c r="B172" s="222" t="s">
        <v>1832</v>
      </c>
      <c r="C172" s="223"/>
      <c r="D172" s="223"/>
      <c r="E172" s="395"/>
      <c r="F172" s="224" t="s">
        <v>1832</v>
      </c>
      <c r="G172" s="392"/>
      <c r="H172" s="222" t="s">
        <v>1832</v>
      </c>
      <c r="I172" s="223"/>
      <c r="J172" s="223"/>
      <c r="K172" s="395"/>
      <c r="L172" s="224" t="s">
        <v>1832</v>
      </c>
    </row>
    <row r="173" spans="1:12" ht="15.75" thickBot="1">
      <c r="A173" s="392"/>
      <c r="B173" s="222" t="s">
        <v>1833</v>
      </c>
      <c r="C173" s="223"/>
      <c r="D173" s="223"/>
      <c r="E173" s="395"/>
      <c r="F173" s="224" t="s">
        <v>1833</v>
      </c>
      <c r="G173" s="392"/>
      <c r="H173" s="222" t="s">
        <v>1833</v>
      </c>
      <c r="I173" s="223"/>
      <c r="J173" s="223"/>
      <c r="K173" s="395"/>
      <c r="L173" s="224" t="s">
        <v>1833</v>
      </c>
    </row>
    <row r="174" spans="1:12" ht="26.25" thickBot="1">
      <c r="A174" s="392"/>
      <c r="B174" s="222" t="s">
        <v>1834</v>
      </c>
      <c r="C174" s="223"/>
      <c r="D174" s="223"/>
      <c r="E174" s="395"/>
      <c r="F174" s="224" t="s">
        <v>1835</v>
      </c>
      <c r="G174" s="392"/>
      <c r="H174" s="222" t="s">
        <v>1834</v>
      </c>
      <c r="I174" s="223"/>
      <c r="J174" s="223"/>
      <c r="K174" s="395"/>
      <c r="L174" s="224" t="s">
        <v>1835</v>
      </c>
    </row>
    <row r="175" spans="1:12" ht="15.75" thickBot="1">
      <c r="A175" s="393"/>
      <c r="B175" s="222" t="s">
        <v>1836</v>
      </c>
      <c r="C175" s="223"/>
      <c r="D175" s="223"/>
      <c r="E175" s="396"/>
      <c r="F175" s="224" t="s">
        <v>1837</v>
      </c>
      <c r="G175" s="393"/>
      <c r="H175" s="222" t="s">
        <v>1836</v>
      </c>
      <c r="I175" s="223"/>
      <c r="J175" s="223"/>
      <c r="K175" s="396"/>
      <c r="L175" s="224" t="s">
        <v>1837</v>
      </c>
    </row>
    <row r="176" spans="1:12" ht="15.75" thickBot="1">
      <c r="A176" s="391" t="s">
        <v>2155</v>
      </c>
      <c r="B176" s="222" t="s">
        <v>1822</v>
      </c>
      <c r="C176" s="223"/>
      <c r="D176" s="223"/>
      <c r="E176" s="394" t="s">
        <v>2155</v>
      </c>
      <c r="F176" s="224" t="s">
        <v>1822</v>
      </c>
      <c r="G176" s="391" t="s">
        <v>2155</v>
      </c>
      <c r="H176" s="222" t="s">
        <v>1822</v>
      </c>
      <c r="I176" s="223"/>
      <c r="J176" s="223"/>
      <c r="K176" s="394" t="s">
        <v>2155</v>
      </c>
      <c r="L176" s="224" t="s">
        <v>1822</v>
      </c>
    </row>
    <row r="177" spans="1:12" ht="15.75" thickBot="1">
      <c r="A177" s="392"/>
      <c r="B177" s="222" t="s">
        <v>1824</v>
      </c>
      <c r="C177" s="223"/>
      <c r="D177" s="223"/>
      <c r="E177" s="395"/>
      <c r="F177" s="224" t="s">
        <v>1824</v>
      </c>
      <c r="G177" s="392"/>
      <c r="H177" s="222" t="s">
        <v>1824</v>
      </c>
      <c r="I177" s="223"/>
      <c r="J177" s="223"/>
      <c r="K177" s="395"/>
      <c r="L177" s="224" t="s">
        <v>1824</v>
      </c>
    </row>
    <row r="178" spans="1:12" ht="15.75" thickBot="1">
      <c r="A178" s="392"/>
      <c r="B178" s="222" t="s">
        <v>1825</v>
      </c>
      <c r="C178" s="223"/>
      <c r="D178" s="223"/>
      <c r="E178" s="395"/>
      <c r="F178" s="224" t="s">
        <v>1825</v>
      </c>
      <c r="G178" s="392"/>
      <c r="H178" s="222" t="s">
        <v>1825</v>
      </c>
      <c r="I178" s="223"/>
      <c r="J178" s="223"/>
      <c r="K178" s="395"/>
      <c r="L178" s="224" t="s">
        <v>1825</v>
      </c>
    </row>
    <row r="179" spans="1:12" ht="15.75" thickBot="1">
      <c r="A179" s="392"/>
      <c r="B179" s="222" t="s">
        <v>1826</v>
      </c>
      <c r="C179" s="223"/>
      <c r="D179" s="223"/>
      <c r="E179" s="395"/>
      <c r="F179" s="224" t="s">
        <v>1826</v>
      </c>
      <c r="G179" s="392"/>
      <c r="H179" s="222" t="s">
        <v>1826</v>
      </c>
      <c r="I179" s="223"/>
      <c r="J179" s="223"/>
      <c r="K179" s="395"/>
      <c r="L179" s="224" t="s">
        <v>1826</v>
      </c>
    </row>
    <row r="180" spans="1:12" ht="15.75" thickBot="1">
      <c r="A180" s="392"/>
      <c r="B180" s="222" t="s">
        <v>1827</v>
      </c>
      <c r="C180" s="223"/>
      <c r="D180" s="223"/>
      <c r="E180" s="395"/>
      <c r="F180" s="224" t="s">
        <v>1827</v>
      </c>
      <c r="G180" s="392"/>
      <c r="H180" s="222" t="s">
        <v>1827</v>
      </c>
      <c r="I180" s="223"/>
      <c r="J180" s="223"/>
      <c r="K180" s="395"/>
      <c r="L180" s="224" t="s">
        <v>1827</v>
      </c>
    </row>
    <row r="181" spans="1:12" ht="15.75" thickBot="1">
      <c r="A181" s="392"/>
      <c r="B181" s="222" t="s">
        <v>1828</v>
      </c>
      <c r="C181" s="223"/>
      <c r="D181" s="223"/>
      <c r="E181" s="395"/>
      <c r="F181" s="224" t="s">
        <v>1828</v>
      </c>
      <c r="G181" s="392"/>
      <c r="H181" s="222" t="s">
        <v>1828</v>
      </c>
      <c r="I181" s="223"/>
      <c r="J181" s="223"/>
      <c r="K181" s="395"/>
      <c r="L181" s="224" t="s">
        <v>1828</v>
      </c>
    </row>
    <row r="182" spans="1:12" ht="15.75" thickBot="1">
      <c r="A182" s="392"/>
      <c r="B182" s="222" t="s">
        <v>1829</v>
      </c>
      <c r="C182" s="223"/>
      <c r="D182" s="223"/>
      <c r="E182" s="395"/>
      <c r="F182" s="224" t="s">
        <v>1829</v>
      </c>
      <c r="G182" s="392"/>
      <c r="H182" s="222" t="s">
        <v>1829</v>
      </c>
      <c r="I182" s="223"/>
      <c r="J182" s="223"/>
      <c r="K182" s="395"/>
      <c r="L182" s="224" t="s">
        <v>1829</v>
      </c>
    </row>
    <row r="183" spans="1:12" ht="15.75" thickBot="1">
      <c r="A183" s="392"/>
      <c r="B183" s="222" t="s">
        <v>1830</v>
      </c>
      <c r="C183" s="223"/>
      <c r="D183" s="223"/>
      <c r="E183" s="395"/>
      <c r="F183" s="224" t="s">
        <v>1830</v>
      </c>
      <c r="G183" s="392"/>
      <c r="H183" s="222" t="s">
        <v>1830</v>
      </c>
      <c r="I183" s="223"/>
      <c r="J183" s="223"/>
      <c r="K183" s="395"/>
      <c r="L183" s="224" t="s">
        <v>1830</v>
      </c>
    </row>
    <row r="184" spans="1:12" ht="15.75" thickBot="1">
      <c r="A184" s="392"/>
      <c r="B184" s="222" t="s">
        <v>1831</v>
      </c>
      <c r="C184" s="223"/>
      <c r="D184" s="223"/>
      <c r="E184" s="395"/>
      <c r="F184" s="224" t="s">
        <v>1831</v>
      </c>
      <c r="G184" s="392"/>
      <c r="H184" s="222" t="s">
        <v>1831</v>
      </c>
      <c r="I184" s="223"/>
      <c r="J184" s="223"/>
      <c r="K184" s="395"/>
      <c r="L184" s="224" t="s">
        <v>1831</v>
      </c>
    </row>
    <row r="185" spans="1:12" ht="15.75" thickBot="1">
      <c r="A185" s="392"/>
      <c r="B185" s="222" t="s">
        <v>1832</v>
      </c>
      <c r="C185" s="223"/>
      <c r="D185" s="223"/>
      <c r="E185" s="395"/>
      <c r="F185" s="224" t="s">
        <v>1832</v>
      </c>
      <c r="G185" s="392"/>
      <c r="H185" s="222" t="s">
        <v>1832</v>
      </c>
      <c r="I185" s="223"/>
      <c r="J185" s="223"/>
      <c r="K185" s="395"/>
      <c r="L185" s="224" t="s">
        <v>1832</v>
      </c>
    </row>
    <row r="186" spans="1:12" ht="15.75" thickBot="1">
      <c r="A186" s="392"/>
      <c r="B186" s="222" t="s">
        <v>1833</v>
      </c>
      <c r="C186" s="223"/>
      <c r="D186" s="223"/>
      <c r="E186" s="395"/>
      <c r="F186" s="224" t="s">
        <v>1833</v>
      </c>
      <c r="G186" s="392"/>
      <c r="H186" s="222" t="s">
        <v>1833</v>
      </c>
      <c r="I186" s="223"/>
      <c r="J186" s="223"/>
      <c r="K186" s="395"/>
      <c r="L186" s="224" t="s">
        <v>1833</v>
      </c>
    </row>
    <row r="187" spans="1:12" ht="26.25" thickBot="1">
      <c r="A187" s="392"/>
      <c r="B187" s="222" t="s">
        <v>1834</v>
      </c>
      <c r="C187" s="223"/>
      <c r="D187" s="223"/>
      <c r="E187" s="395"/>
      <c r="F187" s="224" t="s">
        <v>1835</v>
      </c>
      <c r="G187" s="392"/>
      <c r="H187" s="222" t="s">
        <v>1834</v>
      </c>
      <c r="I187" s="223"/>
      <c r="J187" s="223"/>
      <c r="K187" s="395"/>
      <c r="L187" s="224" t="s">
        <v>1835</v>
      </c>
    </row>
    <row r="188" spans="1:12" ht="15.75" thickBot="1">
      <c r="A188" s="393"/>
      <c r="B188" s="222" t="s">
        <v>1836</v>
      </c>
      <c r="C188" s="223"/>
      <c r="D188" s="223"/>
      <c r="E188" s="396"/>
      <c r="F188" s="224" t="s">
        <v>1837</v>
      </c>
      <c r="G188" s="393"/>
      <c r="H188" s="222" t="s">
        <v>1836</v>
      </c>
      <c r="I188" s="223"/>
      <c r="J188" s="223"/>
      <c r="K188" s="396"/>
      <c r="L188" s="224" t="s">
        <v>1837</v>
      </c>
    </row>
    <row r="189" spans="1:12" ht="15.75" thickBot="1">
      <c r="A189" s="391" t="s">
        <v>2156</v>
      </c>
      <c r="B189" s="222" t="s">
        <v>1822</v>
      </c>
      <c r="C189" s="223"/>
      <c r="D189" s="223"/>
      <c r="E189" s="394" t="s">
        <v>2156</v>
      </c>
      <c r="F189" s="224" t="s">
        <v>1822</v>
      </c>
      <c r="G189" s="391" t="s">
        <v>2156</v>
      </c>
      <c r="H189" s="222" t="s">
        <v>1822</v>
      </c>
      <c r="I189" s="223"/>
      <c r="J189" s="223"/>
      <c r="K189" s="394" t="s">
        <v>2156</v>
      </c>
      <c r="L189" s="224" t="s">
        <v>1822</v>
      </c>
    </row>
    <row r="190" spans="1:12" ht="15.75" thickBot="1">
      <c r="A190" s="392"/>
      <c r="B190" s="222" t="s">
        <v>1824</v>
      </c>
      <c r="C190" s="223"/>
      <c r="D190" s="223"/>
      <c r="E190" s="395"/>
      <c r="F190" s="224" t="s">
        <v>1824</v>
      </c>
      <c r="G190" s="392"/>
      <c r="H190" s="222" t="s">
        <v>1824</v>
      </c>
      <c r="I190" s="223"/>
      <c r="J190" s="223"/>
      <c r="K190" s="395"/>
      <c r="L190" s="224" t="s">
        <v>1824</v>
      </c>
    </row>
    <row r="191" spans="1:12" ht="15.75" thickBot="1">
      <c r="A191" s="392"/>
      <c r="B191" s="222" t="s">
        <v>1825</v>
      </c>
      <c r="C191" s="223"/>
      <c r="D191" s="223"/>
      <c r="E191" s="395"/>
      <c r="F191" s="224" t="s">
        <v>1825</v>
      </c>
      <c r="G191" s="392"/>
      <c r="H191" s="222" t="s">
        <v>1825</v>
      </c>
      <c r="I191" s="223"/>
      <c r="J191" s="223"/>
      <c r="K191" s="395"/>
      <c r="L191" s="224" t="s">
        <v>1825</v>
      </c>
    </row>
    <row r="192" spans="1:12" ht="15.75" thickBot="1">
      <c r="A192" s="392"/>
      <c r="B192" s="222" t="s">
        <v>1826</v>
      </c>
      <c r="C192" s="223"/>
      <c r="D192" s="223"/>
      <c r="E192" s="395"/>
      <c r="F192" s="224" t="s">
        <v>1826</v>
      </c>
      <c r="G192" s="392"/>
      <c r="H192" s="222" t="s">
        <v>1826</v>
      </c>
      <c r="I192" s="223"/>
      <c r="J192" s="223"/>
      <c r="K192" s="395"/>
      <c r="L192" s="224" t="s">
        <v>1826</v>
      </c>
    </row>
    <row r="193" spans="1:12" ht="15.75" thickBot="1">
      <c r="A193" s="392"/>
      <c r="B193" s="222" t="s">
        <v>1827</v>
      </c>
      <c r="C193" s="223"/>
      <c r="D193" s="223"/>
      <c r="E193" s="395"/>
      <c r="F193" s="224" t="s">
        <v>1827</v>
      </c>
      <c r="G193" s="392"/>
      <c r="H193" s="222" t="s">
        <v>1827</v>
      </c>
      <c r="I193" s="223"/>
      <c r="J193" s="223"/>
      <c r="K193" s="395"/>
      <c r="L193" s="224" t="s">
        <v>1827</v>
      </c>
    </row>
    <row r="194" spans="1:12" ht="15.75" thickBot="1">
      <c r="A194" s="392"/>
      <c r="B194" s="222" t="s">
        <v>1828</v>
      </c>
      <c r="C194" s="223"/>
      <c r="D194" s="223"/>
      <c r="E194" s="395"/>
      <c r="F194" s="224" t="s">
        <v>1828</v>
      </c>
      <c r="G194" s="392"/>
      <c r="H194" s="222" t="s">
        <v>1828</v>
      </c>
      <c r="I194" s="223"/>
      <c r="J194" s="223"/>
      <c r="K194" s="395"/>
      <c r="L194" s="224" t="s">
        <v>1828</v>
      </c>
    </row>
    <row r="195" spans="1:12" ht="15.75" thickBot="1">
      <c r="A195" s="392"/>
      <c r="B195" s="222" t="s">
        <v>1829</v>
      </c>
      <c r="C195" s="223"/>
      <c r="D195" s="223"/>
      <c r="E195" s="395"/>
      <c r="F195" s="224" t="s">
        <v>1829</v>
      </c>
      <c r="G195" s="392"/>
      <c r="H195" s="222" t="s">
        <v>1829</v>
      </c>
      <c r="I195" s="223"/>
      <c r="J195" s="223"/>
      <c r="K195" s="395"/>
      <c r="L195" s="224" t="s">
        <v>1829</v>
      </c>
    </row>
    <row r="196" spans="1:12" ht="15.75" thickBot="1">
      <c r="A196" s="392"/>
      <c r="B196" s="222" t="s">
        <v>1830</v>
      </c>
      <c r="C196" s="223"/>
      <c r="D196" s="223"/>
      <c r="E196" s="395"/>
      <c r="F196" s="224" t="s">
        <v>1830</v>
      </c>
      <c r="G196" s="392"/>
      <c r="H196" s="222" t="s">
        <v>1830</v>
      </c>
      <c r="I196" s="223"/>
      <c r="J196" s="223"/>
      <c r="K196" s="395"/>
      <c r="L196" s="224" t="s">
        <v>1830</v>
      </c>
    </row>
    <row r="197" spans="1:12" ht="15.75" thickBot="1">
      <c r="A197" s="392"/>
      <c r="B197" s="222" t="s">
        <v>1831</v>
      </c>
      <c r="C197" s="223"/>
      <c r="D197" s="223"/>
      <c r="E197" s="395"/>
      <c r="F197" s="224" t="s">
        <v>1831</v>
      </c>
      <c r="G197" s="392"/>
      <c r="H197" s="222" t="s">
        <v>1831</v>
      </c>
      <c r="I197" s="223"/>
      <c r="J197" s="223"/>
      <c r="K197" s="395"/>
      <c r="L197" s="224" t="s">
        <v>1831</v>
      </c>
    </row>
    <row r="198" spans="1:12" ht="15.75" thickBot="1">
      <c r="A198" s="392"/>
      <c r="B198" s="222" t="s">
        <v>1832</v>
      </c>
      <c r="C198" s="223"/>
      <c r="D198" s="223"/>
      <c r="E198" s="395"/>
      <c r="F198" s="224" t="s">
        <v>1832</v>
      </c>
      <c r="G198" s="392"/>
      <c r="H198" s="222" t="s">
        <v>1832</v>
      </c>
      <c r="I198" s="223"/>
      <c r="J198" s="223"/>
      <c r="K198" s="395"/>
      <c r="L198" s="224" t="s">
        <v>1832</v>
      </c>
    </row>
    <row r="199" spans="1:12" ht="15.75" thickBot="1">
      <c r="A199" s="392"/>
      <c r="B199" s="222" t="s">
        <v>1833</v>
      </c>
      <c r="C199" s="223"/>
      <c r="D199" s="223"/>
      <c r="E199" s="395"/>
      <c r="F199" s="224" t="s">
        <v>1833</v>
      </c>
      <c r="G199" s="392"/>
      <c r="H199" s="222" t="s">
        <v>1833</v>
      </c>
      <c r="I199" s="223"/>
      <c r="J199" s="223"/>
      <c r="K199" s="395"/>
      <c r="L199" s="224" t="s">
        <v>1833</v>
      </c>
    </row>
    <row r="200" spans="1:12" ht="26.25" thickBot="1">
      <c r="A200" s="392"/>
      <c r="B200" s="222" t="s">
        <v>1834</v>
      </c>
      <c r="C200" s="223"/>
      <c r="D200" s="223"/>
      <c r="E200" s="395"/>
      <c r="F200" s="224" t="s">
        <v>1835</v>
      </c>
      <c r="G200" s="392"/>
      <c r="H200" s="222" t="s">
        <v>1834</v>
      </c>
      <c r="I200" s="223"/>
      <c r="J200" s="223"/>
      <c r="K200" s="395"/>
      <c r="L200" s="224" t="s">
        <v>1835</v>
      </c>
    </row>
    <row r="201" spans="1:12" ht="15.75" thickBot="1">
      <c r="A201" s="393"/>
      <c r="B201" s="222" t="s">
        <v>1836</v>
      </c>
      <c r="C201" s="223"/>
      <c r="D201" s="223"/>
      <c r="E201" s="396"/>
      <c r="F201" s="224" t="s">
        <v>1837</v>
      </c>
      <c r="G201" s="393"/>
      <c r="H201" s="222" t="s">
        <v>1836</v>
      </c>
      <c r="I201" s="223"/>
      <c r="J201" s="223"/>
      <c r="K201" s="396"/>
      <c r="L201" s="224" t="s">
        <v>1837</v>
      </c>
    </row>
    <row r="202" spans="1:12" ht="15.75" thickBot="1">
      <c r="A202" s="391" t="s">
        <v>2157</v>
      </c>
      <c r="B202" s="222" t="s">
        <v>1822</v>
      </c>
      <c r="C202" s="223"/>
      <c r="D202" s="223"/>
      <c r="E202" s="394" t="s">
        <v>2157</v>
      </c>
      <c r="F202" s="224" t="s">
        <v>1822</v>
      </c>
      <c r="G202" s="391" t="s">
        <v>2157</v>
      </c>
      <c r="H202" s="222" t="s">
        <v>1822</v>
      </c>
      <c r="I202" s="223"/>
      <c r="J202" s="223"/>
      <c r="K202" s="394" t="s">
        <v>2157</v>
      </c>
      <c r="L202" s="224" t="s">
        <v>1822</v>
      </c>
    </row>
    <row r="203" spans="1:12" ht="15.75" thickBot="1">
      <c r="A203" s="392"/>
      <c r="B203" s="222" t="s">
        <v>1824</v>
      </c>
      <c r="C203" s="223"/>
      <c r="D203" s="223"/>
      <c r="E203" s="395"/>
      <c r="F203" s="224" t="s">
        <v>1824</v>
      </c>
      <c r="G203" s="392"/>
      <c r="H203" s="222" t="s">
        <v>1824</v>
      </c>
      <c r="I203" s="223"/>
      <c r="J203" s="223"/>
      <c r="K203" s="395"/>
      <c r="L203" s="224" t="s">
        <v>1824</v>
      </c>
    </row>
    <row r="204" spans="1:12" ht="15.75" thickBot="1">
      <c r="A204" s="392"/>
      <c r="B204" s="222" t="s">
        <v>1825</v>
      </c>
      <c r="C204" s="223"/>
      <c r="D204" s="223"/>
      <c r="E204" s="395"/>
      <c r="F204" s="224" t="s">
        <v>1825</v>
      </c>
      <c r="G204" s="392"/>
      <c r="H204" s="222" t="s">
        <v>1825</v>
      </c>
      <c r="I204" s="223"/>
      <c r="J204" s="223"/>
      <c r="K204" s="395"/>
      <c r="L204" s="224" t="s">
        <v>1825</v>
      </c>
    </row>
    <row r="205" spans="1:12" ht="15.75" thickBot="1">
      <c r="A205" s="392"/>
      <c r="B205" s="222" t="s">
        <v>1826</v>
      </c>
      <c r="C205" s="223"/>
      <c r="D205" s="223"/>
      <c r="E205" s="395"/>
      <c r="F205" s="224" t="s">
        <v>1826</v>
      </c>
      <c r="G205" s="392"/>
      <c r="H205" s="222" t="s">
        <v>1826</v>
      </c>
      <c r="I205" s="223"/>
      <c r="J205" s="223"/>
      <c r="K205" s="395"/>
      <c r="L205" s="224" t="s">
        <v>1826</v>
      </c>
    </row>
    <row r="206" spans="1:12" ht="15.75" thickBot="1">
      <c r="A206" s="392"/>
      <c r="B206" s="222" t="s">
        <v>1827</v>
      </c>
      <c r="C206" s="223"/>
      <c r="D206" s="223"/>
      <c r="E206" s="395"/>
      <c r="F206" s="224" t="s">
        <v>1827</v>
      </c>
      <c r="G206" s="392"/>
      <c r="H206" s="222" t="s">
        <v>1827</v>
      </c>
      <c r="I206" s="223"/>
      <c r="J206" s="223"/>
      <c r="K206" s="395"/>
      <c r="L206" s="224" t="s">
        <v>1827</v>
      </c>
    </row>
    <row r="207" spans="1:12" ht="15.75" thickBot="1">
      <c r="A207" s="392"/>
      <c r="B207" s="222" t="s">
        <v>1828</v>
      </c>
      <c r="C207" s="223"/>
      <c r="D207" s="223"/>
      <c r="E207" s="395"/>
      <c r="F207" s="224" t="s">
        <v>1828</v>
      </c>
      <c r="G207" s="392"/>
      <c r="H207" s="222" t="s">
        <v>1828</v>
      </c>
      <c r="I207" s="223"/>
      <c r="J207" s="223"/>
      <c r="K207" s="395"/>
      <c r="L207" s="224" t="s">
        <v>1828</v>
      </c>
    </row>
    <row r="208" spans="1:12" ht="15.75" thickBot="1">
      <c r="A208" s="392"/>
      <c r="B208" s="222" t="s">
        <v>1829</v>
      </c>
      <c r="C208" s="223"/>
      <c r="D208" s="223"/>
      <c r="E208" s="395"/>
      <c r="F208" s="224" t="s">
        <v>1829</v>
      </c>
      <c r="G208" s="392"/>
      <c r="H208" s="222" t="s">
        <v>1829</v>
      </c>
      <c r="I208" s="223"/>
      <c r="J208" s="223"/>
      <c r="K208" s="395"/>
      <c r="L208" s="224" t="s">
        <v>1829</v>
      </c>
    </row>
    <row r="209" spans="1:12" ht="15.75" thickBot="1">
      <c r="A209" s="392"/>
      <c r="B209" s="222" t="s">
        <v>1830</v>
      </c>
      <c r="C209" s="223"/>
      <c r="D209" s="223"/>
      <c r="E209" s="395"/>
      <c r="F209" s="224" t="s">
        <v>1830</v>
      </c>
      <c r="G209" s="392"/>
      <c r="H209" s="222" t="s">
        <v>1830</v>
      </c>
      <c r="I209" s="223"/>
      <c r="J209" s="223"/>
      <c r="K209" s="395"/>
      <c r="L209" s="224" t="s">
        <v>1830</v>
      </c>
    </row>
    <row r="210" spans="1:12" ht="15.75" thickBot="1">
      <c r="A210" s="392"/>
      <c r="B210" s="222" t="s">
        <v>1831</v>
      </c>
      <c r="C210" s="223"/>
      <c r="D210" s="223"/>
      <c r="E210" s="395"/>
      <c r="F210" s="224" t="s">
        <v>1831</v>
      </c>
      <c r="G210" s="392"/>
      <c r="H210" s="222" t="s">
        <v>1831</v>
      </c>
      <c r="I210" s="223"/>
      <c r="J210" s="223"/>
      <c r="K210" s="395"/>
      <c r="L210" s="224" t="s">
        <v>1831</v>
      </c>
    </row>
    <row r="211" spans="1:12" ht="15.75" thickBot="1">
      <c r="A211" s="392"/>
      <c r="B211" s="222" t="s">
        <v>1832</v>
      </c>
      <c r="C211" s="223"/>
      <c r="D211" s="223"/>
      <c r="E211" s="395"/>
      <c r="F211" s="224" t="s">
        <v>1832</v>
      </c>
      <c r="G211" s="392"/>
      <c r="H211" s="222" t="s">
        <v>1832</v>
      </c>
      <c r="I211" s="223"/>
      <c r="J211" s="223"/>
      <c r="K211" s="395"/>
      <c r="L211" s="224" t="s">
        <v>1832</v>
      </c>
    </row>
    <row r="212" spans="1:12" ht="15.75" thickBot="1">
      <c r="A212" s="392"/>
      <c r="B212" s="222" t="s">
        <v>1833</v>
      </c>
      <c r="C212" s="223"/>
      <c r="D212" s="223"/>
      <c r="E212" s="395"/>
      <c r="F212" s="224" t="s">
        <v>1833</v>
      </c>
      <c r="G212" s="392"/>
      <c r="H212" s="222" t="s">
        <v>1833</v>
      </c>
      <c r="I212" s="223"/>
      <c r="J212" s="223"/>
      <c r="K212" s="395"/>
      <c r="L212" s="224" t="s">
        <v>1833</v>
      </c>
    </row>
    <row r="213" spans="1:12" ht="26.25" thickBot="1">
      <c r="A213" s="392"/>
      <c r="B213" s="222" t="s">
        <v>1834</v>
      </c>
      <c r="C213" s="223"/>
      <c r="D213" s="223"/>
      <c r="E213" s="395"/>
      <c r="F213" s="224" t="s">
        <v>1835</v>
      </c>
      <c r="G213" s="392"/>
      <c r="H213" s="222" t="s">
        <v>1834</v>
      </c>
      <c r="I213" s="223"/>
      <c r="J213" s="223"/>
      <c r="K213" s="395"/>
      <c r="L213" s="224" t="s">
        <v>1835</v>
      </c>
    </row>
    <row r="214" spans="1:12" ht="15.75" thickBot="1">
      <c r="A214" s="393"/>
      <c r="B214" s="222" t="s">
        <v>1836</v>
      </c>
      <c r="C214" s="223"/>
      <c r="D214" s="223"/>
      <c r="E214" s="396"/>
      <c r="F214" s="224" t="s">
        <v>1837</v>
      </c>
      <c r="G214" s="393"/>
      <c r="H214" s="222" t="s">
        <v>1836</v>
      </c>
      <c r="I214" s="223"/>
      <c r="J214" s="223"/>
      <c r="K214" s="396"/>
      <c r="L214" s="224" t="s">
        <v>1837</v>
      </c>
    </row>
    <row r="215" spans="1:12" ht="15.75" thickBot="1">
      <c r="A215" s="391" t="s">
        <v>2158</v>
      </c>
      <c r="B215" s="222" t="s">
        <v>1822</v>
      </c>
      <c r="C215" s="223"/>
      <c r="D215" s="223"/>
      <c r="E215" s="394" t="s">
        <v>2158</v>
      </c>
      <c r="F215" s="224" t="s">
        <v>1822</v>
      </c>
      <c r="G215" s="391" t="s">
        <v>2158</v>
      </c>
      <c r="H215" s="222" t="s">
        <v>1822</v>
      </c>
      <c r="I215" s="223"/>
      <c r="J215" s="223"/>
      <c r="K215" s="394" t="s">
        <v>2158</v>
      </c>
      <c r="L215" s="224" t="s">
        <v>1822</v>
      </c>
    </row>
    <row r="216" spans="1:12" ht="15.75" thickBot="1">
      <c r="A216" s="392"/>
      <c r="B216" s="222" t="s">
        <v>1824</v>
      </c>
      <c r="C216" s="223"/>
      <c r="D216" s="223"/>
      <c r="E216" s="395"/>
      <c r="F216" s="224" t="s">
        <v>1824</v>
      </c>
      <c r="G216" s="392"/>
      <c r="H216" s="222" t="s">
        <v>1824</v>
      </c>
      <c r="I216" s="223"/>
      <c r="J216" s="223"/>
      <c r="K216" s="395"/>
      <c r="L216" s="224" t="s">
        <v>1824</v>
      </c>
    </row>
    <row r="217" spans="1:12" ht="15.75" thickBot="1">
      <c r="A217" s="392"/>
      <c r="B217" s="222" t="s">
        <v>1825</v>
      </c>
      <c r="C217" s="223"/>
      <c r="D217" s="223"/>
      <c r="E217" s="395"/>
      <c r="F217" s="224" t="s">
        <v>1825</v>
      </c>
      <c r="G217" s="392"/>
      <c r="H217" s="222" t="s">
        <v>1825</v>
      </c>
      <c r="I217" s="223"/>
      <c r="J217" s="223"/>
      <c r="K217" s="395"/>
      <c r="L217" s="224" t="s">
        <v>1825</v>
      </c>
    </row>
    <row r="218" spans="1:12" ht="15.75" thickBot="1">
      <c r="A218" s="392"/>
      <c r="B218" s="222" t="s">
        <v>1826</v>
      </c>
      <c r="C218" s="223"/>
      <c r="D218" s="223"/>
      <c r="E218" s="395"/>
      <c r="F218" s="224" t="s">
        <v>1826</v>
      </c>
      <c r="G218" s="392"/>
      <c r="H218" s="222" t="s">
        <v>1826</v>
      </c>
      <c r="I218" s="223"/>
      <c r="J218" s="223"/>
      <c r="K218" s="395"/>
      <c r="L218" s="224" t="s">
        <v>1826</v>
      </c>
    </row>
    <row r="219" spans="1:12" ht="15.75" thickBot="1">
      <c r="A219" s="392"/>
      <c r="B219" s="222" t="s">
        <v>1827</v>
      </c>
      <c r="C219" s="223"/>
      <c r="D219" s="223"/>
      <c r="E219" s="395"/>
      <c r="F219" s="224" t="s">
        <v>1827</v>
      </c>
      <c r="G219" s="392"/>
      <c r="H219" s="222" t="s">
        <v>1827</v>
      </c>
      <c r="I219" s="223"/>
      <c r="J219" s="223"/>
      <c r="K219" s="395"/>
      <c r="L219" s="224" t="s">
        <v>1827</v>
      </c>
    </row>
    <row r="220" spans="1:12" ht="15.75" thickBot="1">
      <c r="A220" s="392"/>
      <c r="B220" s="222" t="s">
        <v>1828</v>
      </c>
      <c r="C220" s="223"/>
      <c r="D220" s="223"/>
      <c r="E220" s="395"/>
      <c r="F220" s="224" t="s">
        <v>1828</v>
      </c>
      <c r="G220" s="392"/>
      <c r="H220" s="222" t="s">
        <v>1828</v>
      </c>
      <c r="I220" s="223"/>
      <c r="J220" s="223"/>
      <c r="K220" s="395"/>
      <c r="L220" s="224" t="s">
        <v>1828</v>
      </c>
    </row>
    <row r="221" spans="1:12" ht="15.75" thickBot="1">
      <c r="A221" s="392"/>
      <c r="B221" s="222" t="s">
        <v>1829</v>
      </c>
      <c r="C221" s="223"/>
      <c r="D221" s="223"/>
      <c r="E221" s="395"/>
      <c r="F221" s="224" t="s">
        <v>1829</v>
      </c>
      <c r="G221" s="392"/>
      <c r="H221" s="222" t="s">
        <v>1829</v>
      </c>
      <c r="I221" s="223"/>
      <c r="J221" s="223"/>
      <c r="K221" s="395"/>
      <c r="L221" s="224" t="s">
        <v>1829</v>
      </c>
    </row>
    <row r="222" spans="1:12" ht="15.75" thickBot="1">
      <c r="A222" s="392"/>
      <c r="B222" s="222" t="s">
        <v>1830</v>
      </c>
      <c r="C222" s="223"/>
      <c r="D222" s="223"/>
      <c r="E222" s="395"/>
      <c r="F222" s="224" t="s">
        <v>1830</v>
      </c>
      <c r="G222" s="392"/>
      <c r="H222" s="222" t="s">
        <v>1830</v>
      </c>
      <c r="I222" s="223"/>
      <c r="J222" s="223"/>
      <c r="K222" s="395"/>
      <c r="L222" s="224" t="s">
        <v>1830</v>
      </c>
    </row>
    <row r="223" spans="1:12" ht="15.75" thickBot="1">
      <c r="A223" s="392"/>
      <c r="B223" s="222" t="s">
        <v>1831</v>
      </c>
      <c r="C223" s="223"/>
      <c r="D223" s="223"/>
      <c r="E223" s="395"/>
      <c r="F223" s="224" t="s">
        <v>1831</v>
      </c>
      <c r="G223" s="392"/>
      <c r="H223" s="222" t="s">
        <v>1831</v>
      </c>
      <c r="I223" s="223"/>
      <c r="J223" s="223"/>
      <c r="K223" s="395"/>
      <c r="L223" s="224" t="s">
        <v>1831</v>
      </c>
    </row>
    <row r="224" spans="1:12" ht="15.75" thickBot="1">
      <c r="A224" s="392"/>
      <c r="B224" s="222" t="s">
        <v>1832</v>
      </c>
      <c r="C224" s="223"/>
      <c r="D224" s="223"/>
      <c r="E224" s="395"/>
      <c r="F224" s="224" t="s">
        <v>1832</v>
      </c>
      <c r="G224" s="392"/>
      <c r="H224" s="222" t="s">
        <v>1832</v>
      </c>
      <c r="I224" s="223"/>
      <c r="J224" s="223"/>
      <c r="K224" s="395"/>
      <c r="L224" s="224" t="s">
        <v>1832</v>
      </c>
    </row>
    <row r="225" spans="1:12" ht="15.75" thickBot="1">
      <c r="A225" s="392"/>
      <c r="B225" s="222" t="s">
        <v>1833</v>
      </c>
      <c r="C225" s="223"/>
      <c r="D225" s="223"/>
      <c r="E225" s="395"/>
      <c r="F225" s="224" t="s">
        <v>1833</v>
      </c>
      <c r="G225" s="392"/>
      <c r="H225" s="222" t="s">
        <v>1833</v>
      </c>
      <c r="I225" s="223"/>
      <c r="J225" s="223"/>
      <c r="K225" s="395"/>
      <c r="L225" s="224" t="s">
        <v>1833</v>
      </c>
    </row>
    <row r="226" spans="1:12" ht="26.25" thickBot="1">
      <c r="A226" s="392"/>
      <c r="B226" s="222" t="s">
        <v>1834</v>
      </c>
      <c r="C226" s="223"/>
      <c r="D226" s="223"/>
      <c r="E226" s="395"/>
      <c r="F226" s="224" t="s">
        <v>1835</v>
      </c>
      <c r="G226" s="392"/>
      <c r="H226" s="222" t="s">
        <v>1834</v>
      </c>
      <c r="I226" s="223"/>
      <c r="J226" s="223"/>
      <c r="K226" s="395"/>
      <c r="L226" s="224" t="s">
        <v>1835</v>
      </c>
    </row>
    <row r="227" spans="1:12" ht="15.75" thickBot="1">
      <c r="A227" s="393"/>
      <c r="B227" s="222" t="s">
        <v>1836</v>
      </c>
      <c r="C227" s="223"/>
      <c r="D227" s="223"/>
      <c r="E227" s="396"/>
      <c r="F227" s="224" t="s">
        <v>1837</v>
      </c>
      <c r="G227" s="393"/>
      <c r="H227" s="222" t="s">
        <v>1836</v>
      </c>
      <c r="I227" s="223"/>
      <c r="J227" s="223"/>
      <c r="K227" s="396"/>
      <c r="L227" s="224" t="s">
        <v>1837</v>
      </c>
    </row>
    <row r="228" spans="1:12" ht="15.75" thickBot="1">
      <c r="A228" s="391" t="s">
        <v>2159</v>
      </c>
      <c r="B228" s="222" t="s">
        <v>1822</v>
      </c>
      <c r="C228" s="223"/>
      <c r="D228" s="223"/>
      <c r="E228" s="394" t="s">
        <v>2159</v>
      </c>
      <c r="F228" s="224" t="s">
        <v>1822</v>
      </c>
      <c r="G228" s="391" t="s">
        <v>2159</v>
      </c>
      <c r="H228" s="222" t="s">
        <v>1822</v>
      </c>
      <c r="I228" s="223"/>
      <c r="J228" s="223"/>
      <c r="K228" s="394" t="s">
        <v>2159</v>
      </c>
      <c r="L228" s="224" t="s">
        <v>1822</v>
      </c>
    </row>
    <row r="229" spans="1:12" ht="15.75" thickBot="1">
      <c r="A229" s="392"/>
      <c r="B229" s="222" t="s">
        <v>1824</v>
      </c>
      <c r="C229" s="223"/>
      <c r="D229" s="223"/>
      <c r="E229" s="395"/>
      <c r="F229" s="224" t="s">
        <v>1824</v>
      </c>
      <c r="G229" s="392"/>
      <c r="H229" s="222" t="s">
        <v>1824</v>
      </c>
      <c r="I229" s="223"/>
      <c r="J229" s="223"/>
      <c r="K229" s="395"/>
      <c r="L229" s="224" t="s">
        <v>1824</v>
      </c>
    </row>
    <row r="230" spans="1:12" ht="15.75" thickBot="1">
      <c r="A230" s="392"/>
      <c r="B230" s="222" t="s">
        <v>1825</v>
      </c>
      <c r="C230" s="223"/>
      <c r="D230" s="223"/>
      <c r="E230" s="395"/>
      <c r="F230" s="224" t="s">
        <v>1825</v>
      </c>
      <c r="G230" s="392"/>
      <c r="H230" s="222" t="s">
        <v>1825</v>
      </c>
      <c r="I230" s="223"/>
      <c r="J230" s="223"/>
      <c r="K230" s="395"/>
      <c r="L230" s="224" t="s">
        <v>1825</v>
      </c>
    </row>
    <row r="231" spans="1:12" ht="15.75" thickBot="1">
      <c r="A231" s="392"/>
      <c r="B231" s="222" t="s">
        <v>1826</v>
      </c>
      <c r="C231" s="223"/>
      <c r="D231" s="223"/>
      <c r="E231" s="395"/>
      <c r="F231" s="224" t="s">
        <v>1826</v>
      </c>
      <c r="G231" s="392"/>
      <c r="H231" s="222" t="s">
        <v>1826</v>
      </c>
      <c r="I231" s="223"/>
      <c r="J231" s="223"/>
      <c r="K231" s="395"/>
      <c r="L231" s="224" t="s">
        <v>1826</v>
      </c>
    </row>
    <row r="232" spans="1:12" ht="15.75" thickBot="1">
      <c r="A232" s="392"/>
      <c r="B232" s="222" t="s">
        <v>1827</v>
      </c>
      <c r="C232" s="223"/>
      <c r="D232" s="223"/>
      <c r="E232" s="395"/>
      <c r="F232" s="224" t="s">
        <v>1827</v>
      </c>
      <c r="G232" s="392"/>
      <c r="H232" s="222" t="s">
        <v>1827</v>
      </c>
      <c r="I232" s="223"/>
      <c r="J232" s="223"/>
      <c r="K232" s="395"/>
      <c r="L232" s="224" t="s">
        <v>1827</v>
      </c>
    </row>
    <row r="233" spans="1:12" ht="15.75" thickBot="1">
      <c r="A233" s="392"/>
      <c r="B233" s="222" t="s">
        <v>1828</v>
      </c>
      <c r="C233" s="223"/>
      <c r="D233" s="223"/>
      <c r="E233" s="395"/>
      <c r="F233" s="224" t="s">
        <v>1828</v>
      </c>
      <c r="G233" s="392"/>
      <c r="H233" s="222" t="s">
        <v>1828</v>
      </c>
      <c r="I233" s="223"/>
      <c r="J233" s="223"/>
      <c r="K233" s="395"/>
      <c r="L233" s="224" t="s">
        <v>1828</v>
      </c>
    </row>
    <row r="234" spans="1:12" ht="15.75" thickBot="1">
      <c r="A234" s="392"/>
      <c r="B234" s="222" t="s">
        <v>1829</v>
      </c>
      <c r="C234" s="223"/>
      <c r="D234" s="223"/>
      <c r="E234" s="395"/>
      <c r="F234" s="224" t="s">
        <v>1829</v>
      </c>
      <c r="G234" s="392"/>
      <c r="H234" s="222" t="s">
        <v>1829</v>
      </c>
      <c r="I234" s="223"/>
      <c r="J234" s="223"/>
      <c r="K234" s="395"/>
      <c r="L234" s="224" t="s">
        <v>1829</v>
      </c>
    </row>
    <row r="235" spans="1:12" ht="15.75" thickBot="1">
      <c r="A235" s="392"/>
      <c r="B235" s="222" t="s">
        <v>1830</v>
      </c>
      <c r="C235" s="223"/>
      <c r="D235" s="223"/>
      <c r="E235" s="395"/>
      <c r="F235" s="224" t="s">
        <v>1830</v>
      </c>
      <c r="G235" s="392"/>
      <c r="H235" s="222" t="s">
        <v>1830</v>
      </c>
      <c r="I235" s="223"/>
      <c r="J235" s="223"/>
      <c r="K235" s="395"/>
      <c r="L235" s="224" t="s">
        <v>1830</v>
      </c>
    </row>
    <row r="236" spans="1:12" ht="15.75" thickBot="1">
      <c r="A236" s="392"/>
      <c r="B236" s="222" t="s">
        <v>1831</v>
      </c>
      <c r="C236" s="223"/>
      <c r="D236" s="223"/>
      <c r="E236" s="395"/>
      <c r="F236" s="224" t="s">
        <v>1831</v>
      </c>
      <c r="G236" s="392"/>
      <c r="H236" s="222" t="s">
        <v>1831</v>
      </c>
      <c r="I236" s="223"/>
      <c r="J236" s="223"/>
      <c r="K236" s="395"/>
      <c r="L236" s="224" t="s">
        <v>1831</v>
      </c>
    </row>
    <row r="237" spans="1:12" ht="15.75" thickBot="1">
      <c r="A237" s="392"/>
      <c r="B237" s="222" t="s">
        <v>1832</v>
      </c>
      <c r="C237" s="223"/>
      <c r="D237" s="223"/>
      <c r="E237" s="395"/>
      <c r="F237" s="224" t="s">
        <v>1832</v>
      </c>
      <c r="G237" s="392"/>
      <c r="H237" s="222" t="s">
        <v>1832</v>
      </c>
      <c r="I237" s="223"/>
      <c r="J237" s="223"/>
      <c r="K237" s="395"/>
      <c r="L237" s="224" t="s">
        <v>1832</v>
      </c>
    </row>
    <row r="238" spans="1:12" ht="15.75" thickBot="1">
      <c r="A238" s="392"/>
      <c r="B238" s="222" t="s">
        <v>1833</v>
      </c>
      <c r="C238" s="223"/>
      <c r="D238" s="223"/>
      <c r="E238" s="395"/>
      <c r="F238" s="224" t="s">
        <v>1833</v>
      </c>
      <c r="G238" s="392"/>
      <c r="H238" s="222" t="s">
        <v>1833</v>
      </c>
      <c r="I238" s="223"/>
      <c r="J238" s="223"/>
      <c r="K238" s="395"/>
      <c r="L238" s="224" t="s">
        <v>1833</v>
      </c>
    </row>
    <row r="239" spans="1:12" ht="26.25" thickBot="1">
      <c r="A239" s="392"/>
      <c r="B239" s="222" t="s">
        <v>1834</v>
      </c>
      <c r="C239" s="223"/>
      <c r="D239" s="223"/>
      <c r="E239" s="395"/>
      <c r="F239" s="224" t="s">
        <v>1835</v>
      </c>
      <c r="G239" s="392"/>
      <c r="H239" s="222" t="s">
        <v>1834</v>
      </c>
      <c r="I239" s="223"/>
      <c r="J239" s="223"/>
      <c r="K239" s="395"/>
      <c r="L239" s="224" t="s">
        <v>1835</v>
      </c>
    </row>
    <row r="240" spans="1:12" ht="15.75" thickBot="1">
      <c r="A240" s="393"/>
      <c r="B240" s="222" t="s">
        <v>1836</v>
      </c>
      <c r="C240" s="223"/>
      <c r="D240" s="223"/>
      <c r="E240" s="396"/>
      <c r="F240" s="224" t="s">
        <v>1837</v>
      </c>
      <c r="G240" s="393"/>
      <c r="H240" s="222" t="s">
        <v>1836</v>
      </c>
      <c r="I240" s="223"/>
      <c r="J240" s="223"/>
      <c r="K240" s="396"/>
      <c r="L240" s="224" t="s">
        <v>1837</v>
      </c>
    </row>
    <row r="241" spans="1:12" ht="15.75" thickBot="1">
      <c r="A241" s="391" t="s">
        <v>2160</v>
      </c>
      <c r="B241" s="222" t="s">
        <v>1822</v>
      </c>
      <c r="C241" s="223"/>
      <c r="D241" s="223"/>
      <c r="E241" s="394" t="s">
        <v>2160</v>
      </c>
      <c r="F241" s="224" t="s">
        <v>1822</v>
      </c>
      <c r="G241" s="391" t="s">
        <v>2160</v>
      </c>
      <c r="H241" s="222" t="s">
        <v>1822</v>
      </c>
      <c r="I241" s="223"/>
      <c r="J241" s="223"/>
      <c r="K241" s="394" t="s">
        <v>2160</v>
      </c>
      <c r="L241" s="224" t="s">
        <v>1822</v>
      </c>
    </row>
    <row r="242" spans="1:12" ht="15.75" thickBot="1">
      <c r="A242" s="392"/>
      <c r="B242" s="222" t="s">
        <v>1824</v>
      </c>
      <c r="C242" s="223"/>
      <c r="D242" s="223"/>
      <c r="E242" s="395"/>
      <c r="F242" s="224" t="s">
        <v>1824</v>
      </c>
      <c r="G242" s="392"/>
      <c r="H242" s="222" t="s">
        <v>1824</v>
      </c>
      <c r="I242" s="223"/>
      <c r="J242" s="223"/>
      <c r="K242" s="395"/>
      <c r="L242" s="224" t="s">
        <v>1824</v>
      </c>
    </row>
    <row r="243" spans="1:12" ht="15.75" thickBot="1">
      <c r="A243" s="392"/>
      <c r="B243" s="222" t="s">
        <v>1825</v>
      </c>
      <c r="C243" s="223"/>
      <c r="D243" s="223"/>
      <c r="E243" s="395"/>
      <c r="F243" s="224" t="s">
        <v>1825</v>
      </c>
      <c r="G243" s="392"/>
      <c r="H243" s="222" t="s">
        <v>1825</v>
      </c>
      <c r="I243" s="223"/>
      <c r="J243" s="223"/>
      <c r="K243" s="395"/>
      <c r="L243" s="224" t="s">
        <v>1825</v>
      </c>
    </row>
    <row r="244" spans="1:12" ht="15.75" thickBot="1">
      <c r="A244" s="392"/>
      <c r="B244" s="222" t="s">
        <v>1826</v>
      </c>
      <c r="C244" s="223"/>
      <c r="D244" s="223"/>
      <c r="E244" s="395"/>
      <c r="F244" s="224" t="s">
        <v>1826</v>
      </c>
      <c r="G244" s="392"/>
      <c r="H244" s="222" t="s">
        <v>1826</v>
      </c>
      <c r="I244" s="223"/>
      <c r="J244" s="223"/>
      <c r="K244" s="395"/>
      <c r="L244" s="224" t="s">
        <v>1826</v>
      </c>
    </row>
    <row r="245" spans="1:12" ht="15.75" thickBot="1">
      <c r="A245" s="392"/>
      <c r="B245" s="222" t="s">
        <v>1827</v>
      </c>
      <c r="C245" s="223"/>
      <c r="D245" s="223"/>
      <c r="E245" s="395"/>
      <c r="F245" s="224" t="s">
        <v>1827</v>
      </c>
      <c r="G245" s="392"/>
      <c r="H245" s="222" t="s">
        <v>1827</v>
      </c>
      <c r="I245" s="223"/>
      <c r="J245" s="223"/>
      <c r="K245" s="395"/>
      <c r="L245" s="224" t="s">
        <v>1827</v>
      </c>
    </row>
    <row r="246" spans="1:12" ht="15.75" thickBot="1">
      <c r="A246" s="392"/>
      <c r="B246" s="222" t="s">
        <v>1828</v>
      </c>
      <c r="C246" s="223"/>
      <c r="D246" s="223"/>
      <c r="E246" s="395"/>
      <c r="F246" s="224" t="s">
        <v>1828</v>
      </c>
      <c r="G246" s="392"/>
      <c r="H246" s="222" t="s">
        <v>1828</v>
      </c>
      <c r="I246" s="223"/>
      <c r="J246" s="223"/>
      <c r="K246" s="395"/>
      <c r="L246" s="224" t="s">
        <v>1828</v>
      </c>
    </row>
    <row r="247" spans="1:12" ht="15.75" thickBot="1">
      <c r="A247" s="392"/>
      <c r="B247" s="222" t="s">
        <v>1829</v>
      </c>
      <c r="C247" s="223"/>
      <c r="D247" s="223"/>
      <c r="E247" s="395"/>
      <c r="F247" s="224" t="s">
        <v>1829</v>
      </c>
      <c r="G247" s="392"/>
      <c r="H247" s="222" t="s">
        <v>1829</v>
      </c>
      <c r="I247" s="223"/>
      <c r="J247" s="223"/>
      <c r="K247" s="395"/>
      <c r="L247" s="224" t="s">
        <v>1829</v>
      </c>
    </row>
    <row r="248" spans="1:12" ht="15.75" thickBot="1">
      <c r="A248" s="392"/>
      <c r="B248" s="222" t="s">
        <v>1830</v>
      </c>
      <c r="C248" s="223"/>
      <c r="D248" s="223"/>
      <c r="E248" s="395"/>
      <c r="F248" s="224" t="s">
        <v>1830</v>
      </c>
      <c r="G248" s="392"/>
      <c r="H248" s="222" t="s">
        <v>1830</v>
      </c>
      <c r="I248" s="223"/>
      <c r="J248" s="223"/>
      <c r="K248" s="395"/>
      <c r="L248" s="224" t="s">
        <v>1830</v>
      </c>
    </row>
    <row r="249" spans="1:12" ht="15.75" thickBot="1">
      <c r="A249" s="392"/>
      <c r="B249" s="222" t="s">
        <v>1831</v>
      </c>
      <c r="C249" s="223"/>
      <c r="D249" s="223"/>
      <c r="E249" s="395"/>
      <c r="F249" s="224" t="s">
        <v>1831</v>
      </c>
      <c r="G249" s="392"/>
      <c r="H249" s="222" t="s">
        <v>1831</v>
      </c>
      <c r="I249" s="223"/>
      <c r="J249" s="223"/>
      <c r="K249" s="395"/>
      <c r="L249" s="224" t="s">
        <v>1831</v>
      </c>
    </row>
    <row r="250" spans="1:12" ht="15.75" thickBot="1">
      <c r="A250" s="392"/>
      <c r="B250" s="222" t="s">
        <v>1832</v>
      </c>
      <c r="C250" s="223"/>
      <c r="D250" s="223"/>
      <c r="E250" s="395"/>
      <c r="F250" s="224" t="s">
        <v>1832</v>
      </c>
      <c r="G250" s="392"/>
      <c r="H250" s="222" t="s">
        <v>1832</v>
      </c>
      <c r="I250" s="223"/>
      <c r="J250" s="223"/>
      <c r="K250" s="395"/>
      <c r="L250" s="224" t="s">
        <v>1832</v>
      </c>
    </row>
    <row r="251" spans="1:12" ht="15.75" thickBot="1">
      <c r="A251" s="392"/>
      <c r="B251" s="222" t="s">
        <v>1833</v>
      </c>
      <c r="C251" s="223"/>
      <c r="D251" s="223"/>
      <c r="E251" s="395"/>
      <c r="F251" s="224" t="s">
        <v>1833</v>
      </c>
      <c r="G251" s="392"/>
      <c r="H251" s="222" t="s">
        <v>1833</v>
      </c>
      <c r="I251" s="223"/>
      <c r="J251" s="223"/>
      <c r="K251" s="395"/>
      <c r="L251" s="224" t="s">
        <v>1833</v>
      </c>
    </row>
    <row r="252" spans="1:12" ht="26.25" thickBot="1">
      <c r="A252" s="392"/>
      <c r="B252" s="222" t="s">
        <v>1834</v>
      </c>
      <c r="C252" s="223"/>
      <c r="D252" s="223"/>
      <c r="E252" s="395"/>
      <c r="F252" s="224" t="s">
        <v>1835</v>
      </c>
      <c r="G252" s="392"/>
      <c r="H252" s="222" t="s">
        <v>1834</v>
      </c>
      <c r="I252" s="223"/>
      <c r="J252" s="223"/>
      <c r="K252" s="395"/>
      <c r="L252" s="224" t="s">
        <v>1835</v>
      </c>
    </row>
    <row r="253" spans="1:12" ht="15.75" thickBot="1">
      <c r="A253" s="393"/>
      <c r="B253" s="222" t="s">
        <v>1836</v>
      </c>
      <c r="C253" s="223"/>
      <c r="D253" s="223"/>
      <c r="E253" s="396"/>
      <c r="F253" s="224" t="s">
        <v>1837</v>
      </c>
      <c r="G253" s="393"/>
      <c r="H253" s="222" t="s">
        <v>1836</v>
      </c>
      <c r="I253" s="223"/>
      <c r="J253" s="223"/>
      <c r="K253" s="396"/>
      <c r="L253" s="224" t="s">
        <v>1837</v>
      </c>
    </row>
    <row r="254" spans="1:12" ht="15.75" thickBot="1">
      <c r="A254" s="391" t="s">
        <v>2161</v>
      </c>
      <c r="B254" s="222" t="s">
        <v>1822</v>
      </c>
      <c r="C254" s="223"/>
      <c r="D254" s="223"/>
      <c r="E254" s="394" t="s">
        <v>2161</v>
      </c>
      <c r="F254" s="224" t="s">
        <v>1822</v>
      </c>
      <c r="G254" s="391" t="s">
        <v>2161</v>
      </c>
      <c r="H254" s="222" t="s">
        <v>1822</v>
      </c>
      <c r="I254" s="223"/>
      <c r="J254" s="223"/>
      <c r="K254" s="394" t="s">
        <v>2161</v>
      </c>
      <c r="L254" s="224" t="s">
        <v>1822</v>
      </c>
    </row>
    <row r="255" spans="1:12" ht="15.75" thickBot="1">
      <c r="A255" s="392"/>
      <c r="B255" s="222" t="s">
        <v>1824</v>
      </c>
      <c r="C255" s="223"/>
      <c r="D255" s="223"/>
      <c r="E255" s="395"/>
      <c r="F255" s="224" t="s">
        <v>1824</v>
      </c>
      <c r="G255" s="392"/>
      <c r="H255" s="222" t="s">
        <v>1824</v>
      </c>
      <c r="I255" s="223"/>
      <c r="J255" s="223"/>
      <c r="K255" s="395"/>
      <c r="L255" s="224" t="s">
        <v>1824</v>
      </c>
    </row>
    <row r="256" spans="1:12" ht="15.75" thickBot="1">
      <c r="A256" s="392"/>
      <c r="B256" s="222" t="s">
        <v>1825</v>
      </c>
      <c r="C256" s="223"/>
      <c r="D256" s="223"/>
      <c r="E256" s="395"/>
      <c r="F256" s="224" t="s">
        <v>1825</v>
      </c>
      <c r="G256" s="392"/>
      <c r="H256" s="222" t="s">
        <v>1825</v>
      </c>
      <c r="I256" s="223"/>
      <c r="J256" s="223"/>
      <c r="K256" s="395"/>
      <c r="L256" s="224" t="s">
        <v>1825</v>
      </c>
    </row>
    <row r="257" spans="1:12" ht="15.75" thickBot="1">
      <c r="A257" s="392"/>
      <c r="B257" s="222" t="s">
        <v>1826</v>
      </c>
      <c r="C257" s="223"/>
      <c r="D257" s="223"/>
      <c r="E257" s="395"/>
      <c r="F257" s="224" t="s">
        <v>1826</v>
      </c>
      <c r="G257" s="392"/>
      <c r="H257" s="222" t="s">
        <v>1826</v>
      </c>
      <c r="I257" s="223"/>
      <c r="J257" s="223"/>
      <c r="K257" s="395"/>
      <c r="L257" s="224" t="s">
        <v>1826</v>
      </c>
    </row>
    <row r="258" spans="1:12" ht="15.75" thickBot="1">
      <c r="A258" s="392"/>
      <c r="B258" s="222" t="s">
        <v>1827</v>
      </c>
      <c r="C258" s="223"/>
      <c r="D258" s="223"/>
      <c r="E258" s="395"/>
      <c r="F258" s="224" t="s">
        <v>1827</v>
      </c>
      <c r="G258" s="392"/>
      <c r="H258" s="222" t="s">
        <v>1827</v>
      </c>
      <c r="I258" s="223"/>
      <c r="J258" s="223"/>
      <c r="K258" s="395"/>
      <c r="L258" s="224" t="s">
        <v>1827</v>
      </c>
    </row>
    <row r="259" spans="1:12" ht="15.75" thickBot="1">
      <c r="A259" s="392"/>
      <c r="B259" s="222" t="s">
        <v>1828</v>
      </c>
      <c r="C259" s="223"/>
      <c r="D259" s="223"/>
      <c r="E259" s="395"/>
      <c r="F259" s="224" t="s">
        <v>1828</v>
      </c>
      <c r="G259" s="392"/>
      <c r="H259" s="222" t="s">
        <v>1828</v>
      </c>
      <c r="I259" s="223"/>
      <c r="J259" s="223"/>
      <c r="K259" s="395"/>
      <c r="L259" s="224" t="s">
        <v>1828</v>
      </c>
    </row>
    <row r="260" spans="1:12" ht="15.75" thickBot="1">
      <c r="A260" s="392"/>
      <c r="B260" s="222" t="s">
        <v>1829</v>
      </c>
      <c r="C260" s="223"/>
      <c r="D260" s="223"/>
      <c r="E260" s="395"/>
      <c r="F260" s="224" t="s">
        <v>1829</v>
      </c>
      <c r="G260" s="392"/>
      <c r="H260" s="222" t="s">
        <v>1829</v>
      </c>
      <c r="I260" s="223"/>
      <c r="J260" s="223"/>
      <c r="K260" s="395"/>
      <c r="L260" s="224" t="s">
        <v>1829</v>
      </c>
    </row>
    <row r="261" spans="1:12" ht="15.75" thickBot="1">
      <c r="A261" s="392"/>
      <c r="B261" s="222" t="s">
        <v>1830</v>
      </c>
      <c r="C261" s="223"/>
      <c r="D261" s="223"/>
      <c r="E261" s="395"/>
      <c r="F261" s="224" t="s">
        <v>1830</v>
      </c>
      <c r="G261" s="392"/>
      <c r="H261" s="222" t="s">
        <v>1830</v>
      </c>
      <c r="I261" s="223"/>
      <c r="J261" s="223"/>
      <c r="K261" s="395"/>
      <c r="L261" s="224" t="s">
        <v>1830</v>
      </c>
    </row>
    <row r="262" spans="1:12" ht="15.75" thickBot="1">
      <c r="A262" s="392"/>
      <c r="B262" s="222" t="s">
        <v>1831</v>
      </c>
      <c r="C262" s="223"/>
      <c r="D262" s="223"/>
      <c r="E262" s="395"/>
      <c r="F262" s="224" t="s">
        <v>1831</v>
      </c>
      <c r="G262" s="392"/>
      <c r="H262" s="222" t="s">
        <v>1831</v>
      </c>
      <c r="I262" s="223"/>
      <c r="J262" s="223"/>
      <c r="K262" s="395"/>
      <c r="L262" s="224" t="s">
        <v>1831</v>
      </c>
    </row>
    <row r="263" spans="1:12" ht="15.75" thickBot="1">
      <c r="A263" s="392"/>
      <c r="B263" s="222" t="s">
        <v>1832</v>
      </c>
      <c r="C263" s="223"/>
      <c r="D263" s="223"/>
      <c r="E263" s="395"/>
      <c r="F263" s="224" t="s">
        <v>1832</v>
      </c>
      <c r="G263" s="392"/>
      <c r="H263" s="222" t="s">
        <v>1832</v>
      </c>
      <c r="I263" s="223"/>
      <c r="J263" s="223"/>
      <c r="K263" s="395"/>
      <c r="L263" s="224" t="s">
        <v>1832</v>
      </c>
    </row>
    <row r="264" spans="1:12" ht="15.75" thickBot="1">
      <c r="A264" s="392"/>
      <c r="B264" s="222" t="s">
        <v>1833</v>
      </c>
      <c r="C264" s="223"/>
      <c r="D264" s="223"/>
      <c r="E264" s="395"/>
      <c r="F264" s="224" t="s">
        <v>1833</v>
      </c>
      <c r="G264" s="392"/>
      <c r="H264" s="222" t="s">
        <v>1833</v>
      </c>
      <c r="I264" s="223"/>
      <c r="J264" s="223"/>
      <c r="K264" s="395"/>
      <c r="L264" s="224" t="s">
        <v>1833</v>
      </c>
    </row>
    <row r="265" spans="1:12" ht="26.25" thickBot="1">
      <c r="A265" s="392"/>
      <c r="B265" s="222" t="s">
        <v>1834</v>
      </c>
      <c r="C265" s="223"/>
      <c r="D265" s="223"/>
      <c r="E265" s="395"/>
      <c r="F265" s="224" t="s">
        <v>1835</v>
      </c>
      <c r="G265" s="392"/>
      <c r="H265" s="222" t="s">
        <v>1834</v>
      </c>
      <c r="I265" s="223"/>
      <c r="J265" s="223"/>
      <c r="K265" s="395"/>
      <c r="L265" s="224" t="s">
        <v>1835</v>
      </c>
    </row>
    <row r="266" spans="1:12" ht="15.75" thickBot="1">
      <c r="A266" s="393"/>
      <c r="B266" s="222" t="s">
        <v>1836</v>
      </c>
      <c r="C266" s="223"/>
      <c r="D266" s="223"/>
      <c r="E266" s="396"/>
      <c r="F266" s="224" t="s">
        <v>1837</v>
      </c>
      <c r="G266" s="393"/>
      <c r="H266" s="222" t="s">
        <v>1836</v>
      </c>
      <c r="I266" s="223"/>
      <c r="J266" s="223"/>
      <c r="K266" s="396"/>
      <c r="L266" s="224" t="s">
        <v>1837</v>
      </c>
    </row>
    <row r="267" spans="1:12" ht="15.75" thickBot="1">
      <c r="A267" s="391" t="s">
        <v>2162</v>
      </c>
      <c r="B267" s="222" t="s">
        <v>1822</v>
      </c>
      <c r="C267" s="223"/>
      <c r="D267" s="223">
        <v>75000</v>
      </c>
      <c r="E267" s="394" t="s">
        <v>2163</v>
      </c>
      <c r="F267" s="224" t="s">
        <v>1822</v>
      </c>
      <c r="G267" s="391" t="s">
        <v>2162</v>
      </c>
      <c r="H267" s="222" t="s">
        <v>1822</v>
      </c>
      <c r="I267" s="223"/>
      <c r="J267" s="223">
        <v>75000</v>
      </c>
      <c r="K267" s="394" t="s">
        <v>2163</v>
      </c>
      <c r="L267" s="224" t="s">
        <v>1822</v>
      </c>
    </row>
    <row r="268" spans="1:12" ht="15.75" thickBot="1">
      <c r="A268" s="392"/>
      <c r="B268" s="222" t="s">
        <v>1824</v>
      </c>
      <c r="C268" s="223"/>
      <c r="D268" s="223"/>
      <c r="E268" s="395"/>
      <c r="F268" s="224" t="s">
        <v>1824</v>
      </c>
      <c r="G268" s="392"/>
      <c r="H268" s="222" t="s">
        <v>1824</v>
      </c>
      <c r="I268" s="223"/>
      <c r="J268" s="223"/>
      <c r="K268" s="395"/>
      <c r="L268" s="224" t="s">
        <v>1824</v>
      </c>
    </row>
    <row r="269" spans="1:12" ht="15.75" thickBot="1">
      <c r="A269" s="392"/>
      <c r="B269" s="222" t="s">
        <v>1825</v>
      </c>
      <c r="C269" s="223"/>
      <c r="D269" s="223"/>
      <c r="E269" s="395"/>
      <c r="F269" s="224" t="s">
        <v>1825</v>
      </c>
      <c r="G269" s="392"/>
      <c r="H269" s="222" t="s">
        <v>1825</v>
      </c>
      <c r="I269" s="223"/>
      <c r="J269" s="223"/>
      <c r="K269" s="395"/>
      <c r="L269" s="224" t="s">
        <v>1825</v>
      </c>
    </row>
    <row r="270" spans="1:12" ht="15.75" thickBot="1">
      <c r="A270" s="392"/>
      <c r="B270" s="222" t="s">
        <v>1826</v>
      </c>
      <c r="C270" s="223"/>
      <c r="D270" s="223"/>
      <c r="E270" s="395"/>
      <c r="F270" s="224" t="s">
        <v>1826</v>
      </c>
      <c r="G270" s="392"/>
      <c r="H270" s="222" t="s">
        <v>1826</v>
      </c>
      <c r="I270" s="223"/>
      <c r="J270" s="223"/>
      <c r="K270" s="395"/>
      <c r="L270" s="224" t="s">
        <v>1826</v>
      </c>
    </row>
    <row r="271" spans="1:12" ht="15.75" thickBot="1">
      <c r="A271" s="392"/>
      <c r="B271" s="222" t="s">
        <v>1827</v>
      </c>
      <c r="C271" s="223"/>
      <c r="D271" s="223"/>
      <c r="E271" s="395"/>
      <c r="F271" s="224" t="s">
        <v>1827</v>
      </c>
      <c r="G271" s="392"/>
      <c r="H271" s="222" t="s">
        <v>1827</v>
      </c>
      <c r="I271" s="223"/>
      <c r="J271" s="223"/>
      <c r="K271" s="395"/>
      <c r="L271" s="224" t="s">
        <v>1827</v>
      </c>
    </row>
    <row r="272" spans="1:12" ht="15.75" thickBot="1">
      <c r="A272" s="392"/>
      <c r="B272" s="222" t="s">
        <v>1828</v>
      </c>
      <c r="C272" s="223"/>
      <c r="D272" s="223"/>
      <c r="E272" s="395"/>
      <c r="F272" s="224" t="s">
        <v>1828</v>
      </c>
      <c r="G272" s="392"/>
      <c r="H272" s="222" t="s">
        <v>1828</v>
      </c>
      <c r="I272" s="223"/>
      <c r="J272" s="223"/>
      <c r="K272" s="395"/>
      <c r="L272" s="224" t="s">
        <v>1828</v>
      </c>
    </row>
    <row r="273" spans="1:12" ht="15.75" thickBot="1">
      <c r="A273" s="392"/>
      <c r="B273" s="222" t="s">
        <v>1829</v>
      </c>
      <c r="C273" s="223"/>
      <c r="D273" s="223"/>
      <c r="E273" s="395"/>
      <c r="F273" s="224" t="s">
        <v>1829</v>
      </c>
      <c r="G273" s="392"/>
      <c r="H273" s="222" t="s">
        <v>1829</v>
      </c>
      <c r="I273" s="223"/>
      <c r="J273" s="223"/>
      <c r="K273" s="395"/>
      <c r="L273" s="224" t="s">
        <v>1829</v>
      </c>
    </row>
    <row r="274" spans="1:12" ht="15.75" thickBot="1">
      <c r="A274" s="392"/>
      <c r="B274" s="222" t="s">
        <v>1830</v>
      </c>
      <c r="C274" s="223"/>
      <c r="D274" s="223"/>
      <c r="E274" s="395"/>
      <c r="F274" s="224" t="s">
        <v>1830</v>
      </c>
      <c r="G274" s="392"/>
      <c r="H274" s="222" t="s">
        <v>1830</v>
      </c>
      <c r="I274" s="223"/>
      <c r="J274" s="223"/>
      <c r="K274" s="395"/>
      <c r="L274" s="224" t="s">
        <v>1830</v>
      </c>
    </row>
    <row r="275" spans="1:12" ht="15.75" thickBot="1">
      <c r="A275" s="392"/>
      <c r="B275" s="222" t="s">
        <v>1831</v>
      </c>
      <c r="C275" s="223"/>
      <c r="D275" s="223"/>
      <c r="E275" s="395"/>
      <c r="F275" s="224" t="s">
        <v>1831</v>
      </c>
      <c r="G275" s="392"/>
      <c r="H275" s="222" t="s">
        <v>1831</v>
      </c>
      <c r="I275" s="223"/>
      <c r="J275" s="223"/>
      <c r="K275" s="395"/>
      <c r="L275" s="224" t="s">
        <v>1831</v>
      </c>
    </row>
    <row r="276" spans="1:12" ht="15.75" thickBot="1">
      <c r="A276" s="392"/>
      <c r="B276" s="222" t="s">
        <v>1832</v>
      </c>
      <c r="C276" s="223"/>
      <c r="D276" s="223"/>
      <c r="E276" s="395"/>
      <c r="F276" s="224" t="s">
        <v>1832</v>
      </c>
      <c r="G276" s="392"/>
      <c r="H276" s="222" t="s">
        <v>1832</v>
      </c>
      <c r="I276" s="223"/>
      <c r="J276" s="223"/>
      <c r="K276" s="395"/>
      <c r="L276" s="224" t="s">
        <v>1832</v>
      </c>
    </row>
    <row r="277" spans="1:12" ht="15.75" thickBot="1">
      <c r="A277" s="392"/>
      <c r="B277" s="222" t="s">
        <v>1833</v>
      </c>
      <c r="C277" s="223"/>
      <c r="D277" s="223"/>
      <c r="E277" s="395"/>
      <c r="F277" s="224" t="s">
        <v>1833</v>
      </c>
      <c r="G277" s="392"/>
      <c r="H277" s="222" t="s">
        <v>1833</v>
      </c>
      <c r="I277" s="223"/>
      <c r="J277" s="223"/>
      <c r="K277" s="395"/>
      <c r="L277" s="224" t="s">
        <v>1833</v>
      </c>
    </row>
    <row r="278" spans="1:12" ht="26.25" thickBot="1">
      <c r="A278" s="392"/>
      <c r="B278" s="222" t="s">
        <v>1834</v>
      </c>
      <c r="C278" s="223"/>
      <c r="D278" s="223"/>
      <c r="E278" s="395"/>
      <c r="F278" s="224" t="s">
        <v>1835</v>
      </c>
      <c r="G278" s="392"/>
      <c r="H278" s="222" t="s">
        <v>1834</v>
      </c>
      <c r="I278" s="223"/>
      <c r="J278" s="223"/>
      <c r="K278" s="395"/>
      <c r="L278" s="224" t="s">
        <v>1835</v>
      </c>
    </row>
    <row r="279" spans="1:12" ht="15.75" thickBot="1">
      <c r="A279" s="393"/>
      <c r="B279" s="222" t="s">
        <v>1836</v>
      </c>
      <c r="C279" s="223"/>
      <c r="D279" s="223">
        <v>75000</v>
      </c>
      <c r="E279" s="396"/>
      <c r="F279" s="224" t="s">
        <v>1837</v>
      </c>
      <c r="G279" s="393"/>
      <c r="H279" s="222" t="s">
        <v>1836</v>
      </c>
      <c r="I279" s="223"/>
      <c r="J279" s="223">
        <v>75000</v>
      </c>
      <c r="K279" s="396"/>
      <c r="L279" s="224" t="s">
        <v>1837</v>
      </c>
    </row>
    <row r="280" spans="1:12" ht="15.75" thickBot="1">
      <c r="A280" s="391" t="s">
        <v>2164</v>
      </c>
      <c r="B280" s="222" t="s">
        <v>1822</v>
      </c>
      <c r="C280" s="223"/>
      <c r="D280" s="223"/>
      <c r="E280" s="394" t="s">
        <v>2165</v>
      </c>
      <c r="F280" s="224" t="s">
        <v>1822</v>
      </c>
      <c r="G280" s="391" t="s">
        <v>2164</v>
      </c>
      <c r="H280" s="222" t="s">
        <v>1822</v>
      </c>
      <c r="I280" s="223"/>
      <c r="J280" s="223"/>
      <c r="K280" s="394" t="s">
        <v>2165</v>
      </c>
      <c r="L280" s="224" t="s">
        <v>1822</v>
      </c>
    </row>
    <row r="281" spans="1:12" ht="15.75" thickBot="1">
      <c r="A281" s="392"/>
      <c r="B281" s="222" t="s">
        <v>1824</v>
      </c>
      <c r="C281" s="223"/>
      <c r="D281" s="223"/>
      <c r="E281" s="395"/>
      <c r="F281" s="224" t="s">
        <v>1824</v>
      </c>
      <c r="G281" s="392"/>
      <c r="H281" s="222" t="s">
        <v>1824</v>
      </c>
      <c r="I281" s="223"/>
      <c r="J281" s="223"/>
      <c r="K281" s="395"/>
      <c r="L281" s="224" t="s">
        <v>1824</v>
      </c>
    </row>
    <row r="282" spans="1:12" ht="15.75" thickBot="1">
      <c r="A282" s="392"/>
      <c r="B282" s="222" t="s">
        <v>1825</v>
      </c>
      <c r="C282" s="223"/>
      <c r="D282" s="223"/>
      <c r="E282" s="395"/>
      <c r="F282" s="224" t="s">
        <v>1825</v>
      </c>
      <c r="G282" s="392"/>
      <c r="H282" s="222" t="s">
        <v>1825</v>
      </c>
      <c r="I282" s="223"/>
      <c r="J282" s="223"/>
      <c r="K282" s="395"/>
      <c r="L282" s="224" t="s">
        <v>1825</v>
      </c>
    </row>
    <row r="283" spans="1:12" ht="15.75" thickBot="1">
      <c r="A283" s="392"/>
      <c r="B283" s="222" t="s">
        <v>1826</v>
      </c>
      <c r="C283" s="223"/>
      <c r="D283" s="223"/>
      <c r="E283" s="395"/>
      <c r="F283" s="224" t="s">
        <v>1826</v>
      </c>
      <c r="G283" s="392"/>
      <c r="H283" s="222" t="s">
        <v>1826</v>
      </c>
      <c r="I283" s="223"/>
      <c r="J283" s="223"/>
      <c r="K283" s="395"/>
      <c r="L283" s="224" t="s">
        <v>1826</v>
      </c>
    </row>
    <row r="284" spans="1:12" ht="15.75" thickBot="1">
      <c r="A284" s="392"/>
      <c r="B284" s="222" t="s">
        <v>1827</v>
      </c>
      <c r="C284" s="223"/>
      <c r="D284" s="223"/>
      <c r="E284" s="395"/>
      <c r="F284" s="224" t="s">
        <v>1827</v>
      </c>
      <c r="G284" s="392"/>
      <c r="H284" s="222" t="s">
        <v>1827</v>
      </c>
      <c r="I284" s="223"/>
      <c r="J284" s="223"/>
      <c r="K284" s="395"/>
      <c r="L284" s="224" t="s">
        <v>1827</v>
      </c>
    </row>
    <row r="285" spans="1:12" ht="15.75" thickBot="1">
      <c r="A285" s="392"/>
      <c r="B285" s="222" t="s">
        <v>1828</v>
      </c>
      <c r="C285" s="223"/>
      <c r="D285" s="223"/>
      <c r="E285" s="395"/>
      <c r="F285" s="224" t="s">
        <v>1828</v>
      </c>
      <c r="G285" s="392"/>
      <c r="H285" s="222" t="s">
        <v>1828</v>
      </c>
      <c r="I285" s="223"/>
      <c r="J285" s="223"/>
      <c r="K285" s="395"/>
      <c r="L285" s="224" t="s">
        <v>1828</v>
      </c>
    </row>
    <row r="286" spans="1:12" ht="15.75" thickBot="1">
      <c r="A286" s="392"/>
      <c r="B286" s="222" t="s">
        <v>1829</v>
      </c>
      <c r="C286" s="223"/>
      <c r="D286" s="223"/>
      <c r="E286" s="395"/>
      <c r="F286" s="224" t="s">
        <v>1829</v>
      </c>
      <c r="G286" s="392"/>
      <c r="H286" s="222" t="s">
        <v>1829</v>
      </c>
      <c r="I286" s="223"/>
      <c r="J286" s="223"/>
      <c r="K286" s="395"/>
      <c r="L286" s="224" t="s">
        <v>1829</v>
      </c>
    </row>
    <row r="287" spans="1:12" ht="15.75" thickBot="1">
      <c r="A287" s="392"/>
      <c r="B287" s="222" t="s">
        <v>1830</v>
      </c>
      <c r="C287" s="223"/>
      <c r="D287" s="223"/>
      <c r="E287" s="395"/>
      <c r="F287" s="224" t="s">
        <v>1830</v>
      </c>
      <c r="G287" s="392"/>
      <c r="H287" s="222" t="s">
        <v>1830</v>
      </c>
      <c r="I287" s="223"/>
      <c r="J287" s="223"/>
      <c r="K287" s="395"/>
      <c r="L287" s="224" t="s">
        <v>1830</v>
      </c>
    </row>
    <row r="288" spans="1:12" ht="15.75" thickBot="1">
      <c r="A288" s="392"/>
      <c r="B288" s="222" t="s">
        <v>1831</v>
      </c>
      <c r="C288" s="223"/>
      <c r="D288" s="223"/>
      <c r="E288" s="395"/>
      <c r="F288" s="224" t="s">
        <v>1831</v>
      </c>
      <c r="G288" s="392"/>
      <c r="H288" s="222" t="s">
        <v>1831</v>
      </c>
      <c r="I288" s="223"/>
      <c r="J288" s="223"/>
      <c r="K288" s="395"/>
      <c r="L288" s="224" t="s">
        <v>1831</v>
      </c>
    </row>
    <row r="289" spans="1:12" ht="15.75" thickBot="1">
      <c r="A289" s="392"/>
      <c r="B289" s="222" t="s">
        <v>1832</v>
      </c>
      <c r="C289" s="223"/>
      <c r="D289" s="223"/>
      <c r="E289" s="395"/>
      <c r="F289" s="224" t="s">
        <v>1832</v>
      </c>
      <c r="G289" s="392"/>
      <c r="H289" s="222" t="s">
        <v>1832</v>
      </c>
      <c r="I289" s="223"/>
      <c r="J289" s="223"/>
      <c r="K289" s="395"/>
      <c r="L289" s="224" t="s">
        <v>1832</v>
      </c>
    </row>
    <row r="290" spans="1:12" ht="15.75" thickBot="1">
      <c r="A290" s="392"/>
      <c r="B290" s="222" t="s">
        <v>1833</v>
      </c>
      <c r="C290" s="223"/>
      <c r="D290" s="223"/>
      <c r="E290" s="395"/>
      <c r="F290" s="224" t="s">
        <v>1833</v>
      </c>
      <c r="G290" s="392"/>
      <c r="H290" s="222" t="s">
        <v>1833</v>
      </c>
      <c r="I290" s="223"/>
      <c r="J290" s="223"/>
      <c r="K290" s="395"/>
      <c r="L290" s="224" t="s">
        <v>1833</v>
      </c>
    </row>
    <row r="291" spans="1:12" ht="26.25" thickBot="1">
      <c r="A291" s="392"/>
      <c r="B291" s="222" t="s">
        <v>1834</v>
      </c>
      <c r="C291" s="223"/>
      <c r="D291" s="223"/>
      <c r="E291" s="395"/>
      <c r="F291" s="224" t="s">
        <v>1835</v>
      </c>
      <c r="G291" s="392"/>
      <c r="H291" s="222" t="s">
        <v>1834</v>
      </c>
      <c r="I291" s="223"/>
      <c r="J291" s="223"/>
      <c r="K291" s="395"/>
      <c r="L291" s="224" t="s">
        <v>1835</v>
      </c>
    </row>
    <row r="292" spans="1:12" ht="15.75" thickBot="1">
      <c r="A292" s="393"/>
      <c r="B292" s="222" t="s">
        <v>1836</v>
      </c>
      <c r="C292" s="223"/>
      <c r="D292" s="223"/>
      <c r="E292" s="396"/>
      <c r="F292" s="224" t="s">
        <v>1837</v>
      </c>
      <c r="G292" s="393"/>
      <c r="H292" s="222" t="s">
        <v>1836</v>
      </c>
      <c r="I292" s="223"/>
      <c r="J292" s="223"/>
      <c r="K292" s="396"/>
      <c r="L292" s="224" t="s">
        <v>1837</v>
      </c>
    </row>
    <row r="293" spans="1:12" ht="15.75" thickBot="1">
      <c r="A293" s="391" t="s">
        <v>2166</v>
      </c>
      <c r="B293" s="222" t="s">
        <v>1822</v>
      </c>
      <c r="C293" s="223"/>
      <c r="D293" s="223"/>
      <c r="E293" s="394" t="s">
        <v>2167</v>
      </c>
      <c r="F293" s="224" t="s">
        <v>1822</v>
      </c>
      <c r="G293" s="391" t="s">
        <v>2166</v>
      </c>
      <c r="H293" s="222" t="s">
        <v>1822</v>
      </c>
      <c r="I293" s="223"/>
      <c r="J293" s="223"/>
      <c r="K293" s="394" t="s">
        <v>2167</v>
      </c>
      <c r="L293" s="224" t="s">
        <v>1822</v>
      </c>
    </row>
    <row r="294" spans="1:12" ht="15.75" thickBot="1">
      <c r="A294" s="392"/>
      <c r="B294" s="222" t="s">
        <v>1824</v>
      </c>
      <c r="C294" s="223"/>
      <c r="D294" s="223"/>
      <c r="E294" s="395"/>
      <c r="F294" s="224" t="s">
        <v>1824</v>
      </c>
      <c r="G294" s="392"/>
      <c r="H294" s="222" t="s">
        <v>1824</v>
      </c>
      <c r="I294" s="223"/>
      <c r="J294" s="223"/>
      <c r="K294" s="395"/>
      <c r="L294" s="224" t="s">
        <v>1824</v>
      </c>
    </row>
    <row r="295" spans="1:12" ht="15.75" thickBot="1">
      <c r="A295" s="392"/>
      <c r="B295" s="222" t="s">
        <v>1825</v>
      </c>
      <c r="C295" s="223"/>
      <c r="D295" s="223"/>
      <c r="E295" s="395"/>
      <c r="F295" s="224" t="s">
        <v>1825</v>
      </c>
      <c r="G295" s="392"/>
      <c r="H295" s="222" t="s">
        <v>1825</v>
      </c>
      <c r="I295" s="223"/>
      <c r="J295" s="223"/>
      <c r="K295" s="395"/>
      <c r="L295" s="224" t="s">
        <v>1825</v>
      </c>
    </row>
    <row r="296" spans="1:12" ht="15.75" thickBot="1">
      <c r="A296" s="392"/>
      <c r="B296" s="222" t="s">
        <v>1826</v>
      </c>
      <c r="C296" s="223"/>
      <c r="D296" s="223"/>
      <c r="E296" s="395"/>
      <c r="F296" s="224" t="s">
        <v>1826</v>
      </c>
      <c r="G296" s="392"/>
      <c r="H296" s="222" t="s">
        <v>1826</v>
      </c>
      <c r="I296" s="223"/>
      <c r="J296" s="223"/>
      <c r="K296" s="395"/>
      <c r="L296" s="224" t="s">
        <v>1826</v>
      </c>
    </row>
    <row r="297" spans="1:12" ht="15.75" thickBot="1">
      <c r="A297" s="392"/>
      <c r="B297" s="222" t="s">
        <v>1827</v>
      </c>
      <c r="C297" s="223"/>
      <c r="D297" s="223"/>
      <c r="E297" s="395"/>
      <c r="F297" s="224" t="s">
        <v>1827</v>
      </c>
      <c r="G297" s="392"/>
      <c r="H297" s="222" t="s">
        <v>1827</v>
      </c>
      <c r="I297" s="223"/>
      <c r="J297" s="223"/>
      <c r="K297" s="395"/>
      <c r="L297" s="224" t="s">
        <v>1827</v>
      </c>
    </row>
    <row r="298" spans="1:12" ht="15.75" thickBot="1">
      <c r="A298" s="392"/>
      <c r="B298" s="222" t="s">
        <v>1828</v>
      </c>
      <c r="C298" s="223"/>
      <c r="D298" s="223"/>
      <c r="E298" s="395"/>
      <c r="F298" s="224" t="s">
        <v>1828</v>
      </c>
      <c r="G298" s="392"/>
      <c r="H298" s="222" t="s">
        <v>1828</v>
      </c>
      <c r="I298" s="223"/>
      <c r="J298" s="223"/>
      <c r="K298" s="395"/>
      <c r="L298" s="224" t="s">
        <v>1828</v>
      </c>
    </row>
    <row r="299" spans="1:12" ht="15.75" thickBot="1">
      <c r="A299" s="392"/>
      <c r="B299" s="222" t="s">
        <v>1829</v>
      </c>
      <c r="C299" s="223"/>
      <c r="D299" s="223"/>
      <c r="E299" s="395"/>
      <c r="F299" s="224" t="s">
        <v>1829</v>
      </c>
      <c r="G299" s="392"/>
      <c r="H299" s="222" t="s">
        <v>1829</v>
      </c>
      <c r="I299" s="223"/>
      <c r="J299" s="223"/>
      <c r="K299" s="395"/>
      <c r="L299" s="224" t="s">
        <v>1829</v>
      </c>
    </row>
    <row r="300" spans="1:12" ht="15.75" thickBot="1">
      <c r="A300" s="392"/>
      <c r="B300" s="222" t="s">
        <v>1830</v>
      </c>
      <c r="C300" s="223"/>
      <c r="D300" s="223"/>
      <c r="E300" s="395"/>
      <c r="F300" s="224" t="s">
        <v>1830</v>
      </c>
      <c r="G300" s="392"/>
      <c r="H300" s="222" t="s">
        <v>1830</v>
      </c>
      <c r="I300" s="223"/>
      <c r="J300" s="223"/>
      <c r="K300" s="395"/>
      <c r="L300" s="224" t="s">
        <v>1830</v>
      </c>
    </row>
    <row r="301" spans="1:12" ht="15.75" thickBot="1">
      <c r="A301" s="392"/>
      <c r="B301" s="222" t="s">
        <v>1831</v>
      </c>
      <c r="C301" s="223"/>
      <c r="D301" s="223"/>
      <c r="E301" s="395"/>
      <c r="F301" s="224" t="s">
        <v>1831</v>
      </c>
      <c r="G301" s="392"/>
      <c r="H301" s="222" t="s">
        <v>1831</v>
      </c>
      <c r="I301" s="223"/>
      <c r="J301" s="223"/>
      <c r="K301" s="395"/>
      <c r="L301" s="224" t="s">
        <v>1831</v>
      </c>
    </row>
    <row r="302" spans="1:12" ht="15.75" thickBot="1">
      <c r="A302" s="392"/>
      <c r="B302" s="222" t="s">
        <v>1832</v>
      </c>
      <c r="C302" s="223"/>
      <c r="D302" s="223"/>
      <c r="E302" s="395"/>
      <c r="F302" s="224" t="s">
        <v>1832</v>
      </c>
      <c r="G302" s="392"/>
      <c r="H302" s="222" t="s">
        <v>1832</v>
      </c>
      <c r="I302" s="223"/>
      <c r="J302" s="223"/>
      <c r="K302" s="395"/>
      <c r="L302" s="224" t="s">
        <v>1832</v>
      </c>
    </row>
    <row r="303" spans="1:12" ht="15.75" thickBot="1">
      <c r="A303" s="392"/>
      <c r="B303" s="222" t="s">
        <v>1833</v>
      </c>
      <c r="C303" s="223"/>
      <c r="D303" s="223"/>
      <c r="E303" s="395"/>
      <c r="F303" s="224" t="s">
        <v>1833</v>
      </c>
      <c r="G303" s="392"/>
      <c r="H303" s="222" t="s">
        <v>1833</v>
      </c>
      <c r="I303" s="223"/>
      <c r="J303" s="223"/>
      <c r="K303" s="395"/>
      <c r="L303" s="224" t="s">
        <v>1833</v>
      </c>
    </row>
    <row r="304" spans="1:12" ht="26.25" thickBot="1">
      <c r="A304" s="392"/>
      <c r="B304" s="222" t="s">
        <v>1834</v>
      </c>
      <c r="C304" s="223"/>
      <c r="D304" s="223"/>
      <c r="E304" s="395"/>
      <c r="F304" s="224" t="s">
        <v>1835</v>
      </c>
      <c r="G304" s="392"/>
      <c r="H304" s="222" t="s">
        <v>1834</v>
      </c>
      <c r="I304" s="223"/>
      <c r="J304" s="223"/>
      <c r="K304" s="395"/>
      <c r="L304" s="224" t="s">
        <v>1835</v>
      </c>
    </row>
    <row r="305" spans="1:12" ht="15.75" thickBot="1">
      <c r="A305" s="393"/>
      <c r="B305" s="222" t="s">
        <v>1836</v>
      </c>
      <c r="C305" s="223"/>
      <c r="D305" s="223"/>
      <c r="E305" s="396"/>
      <c r="F305" s="224" t="s">
        <v>1837</v>
      </c>
      <c r="G305" s="393"/>
      <c r="H305" s="222" t="s">
        <v>1836</v>
      </c>
      <c r="I305" s="223"/>
      <c r="J305" s="223"/>
      <c r="K305" s="396"/>
      <c r="L305" s="224" t="s">
        <v>1837</v>
      </c>
    </row>
    <row r="306" spans="1:12" ht="17.25" customHeight="1">
      <c r="A306" s="385" t="s">
        <v>19</v>
      </c>
      <c r="B306" s="385"/>
      <c r="C306" s="385"/>
      <c r="D306" s="385"/>
      <c r="E306" s="385"/>
      <c r="F306" s="385"/>
      <c r="G306" s="386" t="s">
        <v>106</v>
      </c>
      <c r="H306" s="386"/>
      <c r="I306" s="386"/>
      <c r="J306" s="386"/>
      <c r="K306" s="386"/>
      <c r="L306" s="386"/>
    </row>
    <row r="307" spans="1:12" ht="17.25" customHeight="1">
      <c r="A307" s="387" t="s">
        <v>2137</v>
      </c>
      <c r="B307" s="387"/>
      <c r="C307" s="387"/>
      <c r="D307" s="388" t="s">
        <v>2138</v>
      </c>
      <c r="E307" s="388"/>
      <c r="F307" s="388"/>
      <c r="G307" s="387" t="s">
        <v>2137</v>
      </c>
      <c r="H307" s="387"/>
      <c r="I307" s="387"/>
      <c r="J307" s="388" t="s">
        <v>2138</v>
      </c>
      <c r="K307" s="388"/>
      <c r="L307" s="388"/>
    </row>
    <row r="308" spans="1:12">
      <c r="A308" s="389"/>
      <c r="B308" s="389"/>
      <c r="C308" s="390" t="s">
        <v>2139</v>
      </c>
      <c r="D308" s="390"/>
      <c r="E308" s="389"/>
      <c r="F308" s="389"/>
      <c r="G308" s="389"/>
      <c r="H308" s="389"/>
      <c r="I308" s="390" t="s">
        <v>2139</v>
      </c>
      <c r="J308" s="390"/>
      <c r="K308" s="389"/>
      <c r="L308" s="389"/>
    </row>
    <row r="309" spans="1:12" ht="23.25">
      <c r="A309" s="389"/>
      <c r="B309" s="389"/>
      <c r="C309" s="221" t="s">
        <v>2140</v>
      </c>
      <c r="D309" s="221" t="s">
        <v>2141</v>
      </c>
      <c r="E309" s="389"/>
      <c r="F309" s="389"/>
      <c r="G309" s="389"/>
      <c r="H309" s="389"/>
      <c r="I309" s="221" t="s">
        <v>2140</v>
      </c>
      <c r="J309" s="221" t="s">
        <v>2141</v>
      </c>
      <c r="K309" s="389"/>
      <c r="L309" s="389"/>
    </row>
    <row r="310" spans="1:12" ht="15.75" thickBot="1">
      <c r="A310" s="222" t="s">
        <v>2168</v>
      </c>
      <c r="B310" s="222" t="s">
        <v>1836</v>
      </c>
      <c r="C310" s="223"/>
      <c r="D310" s="223">
        <v>75000</v>
      </c>
      <c r="E310" s="224" t="s">
        <v>2169</v>
      </c>
      <c r="F310" s="224" t="s">
        <v>1837</v>
      </c>
      <c r="G310" s="222" t="s">
        <v>2168</v>
      </c>
      <c r="H310" s="222" t="s">
        <v>1836</v>
      </c>
      <c r="I310" s="223"/>
      <c r="J310" s="223">
        <v>75000</v>
      </c>
      <c r="K310" s="224" t="s">
        <v>2169</v>
      </c>
      <c r="L310" s="224" t="s">
        <v>1837</v>
      </c>
    </row>
    <row r="311" spans="1:12" ht="17.25" customHeight="1">
      <c r="A311" s="385" t="s">
        <v>2137</v>
      </c>
      <c r="B311" s="385"/>
      <c r="C311" s="386" t="s">
        <v>2138</v>
      </c>
      <c r="D311" s="386"/>
    </row>
    <row r="312" spans="1:12" ht="23.25">
      <c r="A312" s="225"/>
      <c r="B312" s="221" t="s">
        <v>19</v>
      </c>
      <c r="C312" s="221" t="s">
        <v>106</v>
      </c>
    </row>
    <row r="313" spans="1:12" ht="15.75" thickBot="1">
      <c r="A313" s="222" t="s">
        <v>2137</v>
      </c>
      <c r="B313" s="226"/>
      <c r="C313" s="226"/>
      <c r="D313" s="224" t="s">
        <v>2138</v>
      </c>
    </row>
    <row r="314" spans="1:12" ht="15.75" thickBot="1">
      <c r="A314" s="227" t="s">
        <v>2141</v>
      </c>
      <c r="B314" s="223">
        <v>75000</v>
      </c>
      <c r="C314" s="223">
        <v>75000</v>
      </c>
      <c r="D314" s="224" t="s">
        <v>2170</v>
      </c>
    </row>
    <row r="315" spans="1:12" ht="26.25" thickBot="1">
      <c r="A315" s="228" t="s">
        <v>2171</v>
      </c>
      <c r="B315" s="223">
        <v>5723</v>
      </c>
      <c r="C315" s="223">
        <v>6181</v>
      </c>
      <c r="D315" s="224" t="s">
        <v>2172</v>
      </c>
    </row>
    <row r="316" spans="1:12" ht="15.75" thickBot="1">
      <c r="A316" s="228" t="s">
        <v>2173</v>
      </c>
      <c r="B316" s="223">
        <v>69277</v>
      </c>
      <c r="C316" s="223">
        <v>68819</v>
      </c>
      <c r="D316" s="224" t="s">
        <v>2174</v>
      </c>
    </row>
    <row r="317" spans="1:12" ht="39" thickBot="1">
      <c r="A317" s="229" t="s">
        <v>761</v>
      </c>
      <c r="B317" s="223"/>
      <c r="C317" s="223"/>
      <c r="D317" s="224" t="s">
        <v>762</v>
      </c>
    </row>
    <row r="318" spans="1:12" ht="26.25" thickBot="1">
      <c r="A318" s="229" t="s">
        <v>825</v>
      </c>
      <c r="B318" s="223">
        <v>69277</v>
      </c>
      <c r="C318" s="223">
        <v>68819</v>
      </c>
      <c r="D318" s="224" t="s">
        <v>826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9E50C0B8-63DC-4177-9574-CD6D557747FF}">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B62097-C67C-47F3-9D3A-F6093C05BAD6}">
  <dimension ref="A1:C6"/>
  <sheetViews>
    <sheetView showGridLines="0" workbookViewId="0">
      <selection sqref="A1:C1"/>
    </sheetView>
  </sheetViews>
  <sheetFormatPr defaultRowHeight="15"/>
  <cols>
    <col min="1" max="1" width="42.6640625" style="230" bestFit="1" customWidth="1" collapsed="1"/>
    <col min="2" max="2" width="33.33203125" style="230" customWidth="1" collapsed="1"/>
    <col min="3" max="3" width="42.6640625" style="230" bestFit="1" customWidth="1" collapsed="1"/>
    <col min="4" max="16384" width="9.33203125" style="230" collapsed="1"/>
  </cols>
  <sheetData>
    <row r="1" spans="1:3" ht="34.5" customHeight="1">
      <c r="A1" s="397" t="s">
        <v>2175</v>
      </c>
      <c r="B1" s="398"/>
      <c r="C1" s="398"/>
    </row>
    <row r="3" spans="1:3" ht="17.25" customHeight="1">
      <c r="A3" s="231" t="s">
        <v>1744</v>
      </c>
      <c r="B3" s="399" t="s">
        <v>1745</v>
      </c>
      <c r="C3" s="399"/>
    </row>
    <row r="4" spans="1:3">
      <c r="A4" s="232"/>
      <c r="B4" s="233" t="s">
        <v>104</v>
      </c>
    </row>
    <row r="5" spans="1:3" ht="15.75" thickBot="1">
      <c r="A5" s="234" t="s">
        <v>1744</v>
      </c>
      <c r="B5" s="235"/>
      <c r="C5" s="236" t="s">
        <v>1745</v>
      </c>
    </row>
    <row r="6" spans="1:3" ht="75" customHeight="1" thickBot="1">
      <c r="A6" s="237" t="s">
        <v>2176</v>
      </c>
      <c r="B6" s="238" t="s">
        <v>2177</v>
      </c>
      <c r="C6" s="236"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D01FA1A-C931-4E7F-9B84-9771FF240ADF}">
      <formula1>0</formula1>
    </dataValidation>
  </dataValidations>
  <pageMargins left="0.15" right="0.15" top="0.15" bottom="0.15" header="0.5" footer="0.5"/>
  <pageSetup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C4955-F4B7-40D8-AAB7-6BF81A099179}">
  <dimension ref="A1:P287"/>
  <sheetViews>
    <sheetView showGridLines="0" workbookViewId="0"/>
  </sheetViews>
  <sheetFormatPr defaultRowHeight="15"/>
  <cols>
    <col min="1" max="1" width="42.6640625" style="240" bestFit="1" customWidth="1" collapsed="1"/>
    <col min="2" max="2" width="19" style="240" bestFit="1" customWidth="1" collapsed="1"/>
    <col min="3" max="4" width="38.33203125" style="240" bestFit="1" customWidth="1" collapsed="1"/>
    <col min="5" max="5" width="32.33203125" style="240" bestFit="1" customWidth="1" collapsed="1"/>
    <col min="6" max="6" width="38" style="240" bestFit="1" customWidth="1" collapsed="1"/>
    <col min="7" max="7" width="42.6640625" style="240" bestFit="1" customWidth="1" collapsed="1"/>
    <col min="8" max="8" width="15.6640625" style="240" bestFit="1" customWidth="1" collapsed="1"/>
    <col min="9" max="9" width="42.6640625" style="240" bestFit="1" customWidth="1" collapsed="1"/>
    <col min="10" max="10" width="19" style="240" bestFit="1" customWidth="1" collapsed="1"/>
    <col min="11" max="12" width="38.33203125" style="240" bestFit="1" customWidth="1" collapsed="1"/>
    <col min="13" max="13" width="32.33203125" style="240" bestFit="1" customWidth="1" collapsed="1"/>
    <col min="14" max="14" width="38" style="240" bestFit="1" customWidth="1" collapsed="1"/>
    <col min="15" max="15" width="42.6640625" style="240" bestFit="1" customWidth="1" collapsed="1"/>
    <col min="16" max="16" width="15.6640625" style="240" bestFit="1" customWidth="1" collapsed="1"/>
    <col min="17" max="16384" width="9.33203125" style="240" collapsed="1"/>
  </cols>
  <sheetData>
    <row r="1" spans="1:16" ht="17.25">
      <c r="A1" s="239" t="s">
        <v>2179</v>
      </c>
    </row>
    <row r="3" spans="1:16" ht="17.25" customHeight="1">
      <c r="A3" s="400" t="s">
        <v>19</v>
      </c>
      <c r="B3" s="400"/>
      <c r="C3" s="400"/>
      <c r="D3" s="400"/>
      <c r="E3" s="400"/>
      <c r="F3" s="400"/>
      <c r="G3" s="400"/>
      <c r="H3" s="400"/>
      <c r="I3" s="401" t="s">
        <v>106</v>
      </c>
      <c r="J3" s="401"/>
      <c r="K3" s="401"/>
      <c r="L3" s="401"/>
      <c r="M3" s="401"/>
      <c r="N3" s="401"/>
      <c r="O3" s="401"/>
      <c r="P3" s="401"/>
    </row>
    <row r="4" spans="1:16" ht="17.25" customHeight="1">
      <c r="A4" s="400" t="s">
        <v>2137</v>
      </c>
      <c r="B4" s="400"/>
      <c r="C4" s="400"/>
      <c r="D4" s="400"/>
      <c r="E4" s="401" t="s">
        <v>2138</v>
      </c>
      <c r="F4" s="401"/>
      <c r="G4" s="401"/>
      <c r="H4" s="401"/>
      <c r="I4" s="400" t="s">
        <v>2137</v>
      </c>
      <c r="J4" s="400"/>
      <c r="K4" s="400"/>
      <c r="L4" s="400"/>
      <c r="M4" s="401" t="s">
        <v>2138</v>
      </c>
      <c r="N4" s="401"/>
      <c r="O4" s="401"/>
      <c r="P4" s="401"/>
    </row>
    <row r="5" spans="1:16">
      <c r="A5" s="402"/>
      <c r="B5" s="402"/>
      <c r="C5" s="403" t="s">
        <v>2139</v>
      </c>
      <c r="D5" s="403"/>
      <c r="E5" s="403"/>
      <c r="F5" s="403"/>
      <c r="G5" s="402"/>
      <c r="H5" s="402"/>
      <c r="I5" s="402"/>
      <c r="J5" s="402"/>
      <c r="K5" s="403" t="s">
        <v>2139</v>
      </c>
      <c r="L5" s="403"/>
      <c r="M5" s="403"/>
      <c r="N5" s="403"/>
      <c r="O5" s="402"/>
      <c r="P5" s="402"/>
    </row>
    <row r="6" spans="1:16" ht="23.25">
      <c r="A6" s="402"/>
      <c r="B6" s="402"/>
      <c r="C6" s="241" t="s">
        <v>2140</v>
      </c>
      <c r="D6" s="241" t="s">
        <v>2180</v>
      </c>
      <c r="E6" s="241" t="s">
        <v>2181</v>
      </c>
      <c r="F6" s="241" t="s">
        <v>2182</v>
      </c>
      <c r="G6" s="402"/>
      <c r="H6" s="402"/>
      <c r="I6" s="402"/>
      <c r="J6" s="402"/>
      <c r="K6" s="241" t="s">
        <v>2140</v>
      </c>
      <c r="L6" s="241" t="s">
        <v>2180</v>
      </c>
      <c r="M6" s="241" t="s">
        <v>2181</v>
      </c>
      <c r="N6" s="241" t="s">
        <v>2182</v>
      </c>
      <c r="O6" s="402"/>
      <c r="P6" s="402"/>
    </row>
    <row r="7" spans="1:16" ht="15.75" thickBot="1">
      <c r="A7" s="405" t="s">
        <v>2142</v>
      </c>
      <c r="B7" s="242" t="s">
        <v>1822</v>
      </c>
      <c r="C7" s="243"/>
      <c r="D7" s="244"/>
      <c r="E7" s="244"/>
      <c r="F7" s="244"/>
      <c r="G7" s="408" t="s">
        <v>2142</v>
      </c>
      <c r="H7" s="245" t="s">
        <v>1822</v>
      </c>
      <c r="I7" s="405" t="s">
        <v>2142</v>
      </c>
      <c r="J7" s="242" t="s">
        <v>1822</v>
      </c>
      <c r="K7" s="243"/>
      <c r="L7" s="244"/>
      <c r="M7" s="244"/>
      <c r="N7" s="244"/>
      <c r="O7" s="408" t="s">
        <v>2142</v>
      </c>
      <c r="P7" s="245" t="s">
        <v>1822</v>
      </c>
    </row>
    <row r="8" spans="1:16" ht="15.75" thickBot="1">
      <c r="A8" s="405"/>
      <c r="B8" s="242" t="s">
        <v>1824</v>
      </c>
      <c r="C8" s="243"/>
      <c r="D8" s="244"/>
      <c r="E8" s="244"/>
      <c r="F8" s="244"/>
      <c r="G8" s="408"/>
      <c r="H8" s="245" t="s">
        <v>1824</v>
      </c>
      <c r="I8" s="405"/>
      <c r="J8" s="242" t="s">
        <v>1824</v>
      </c>
      <c r="K8" s="243"/>
      <c r="L8" s="244"/>
      <c r="M8" s="244"/>
      <c r="N8" s="244"/>
      <c r="O8" s="408"/>
      <c r="P8" s="245" t="s">
        <v>1824</v>
      </c>
    </row>
    <row r="9" spans="1:16" ht="15.75" thickBot="1">
      <c r="A9" s="405"/>
      <c r="B9" s="242" t="s">
        <v>1825</v>
      </c>
      <c r="C9" s="243"/>
      <c r="D9" s="244"/>
      <c r="E9" s="244"/>
      <c r="F9" s="244"/>
      <c r="G9" s="408"/>
      <c r="H9" s="245" t="s">
        <v>1825</v>
      </c>
      <c r="I9" s="405"/>
      <c r="J9" s="242" t="s">
        <v>1825</v>
      </c>
      <c r="K9" s="243"/>
      <c r="L9" s="244"/>
      <c r="M9" s="244"/>
      <c r="N9" s="244"/>
      <c r="O9" s="408"/>
      <c r="P9" s="245" t="s">
        <v>1825</v>
      </c>
    </row>
    <row r="10" spans="1:16" ht="15.75" thickBot="1">
      <c r="A10" s="405"/>
      <c r="B10" s="242" t="s">
        <v>1826</v>
      </c>
      <c r="C10" s="243"/>
      <c r="D10" s="244"/>
      <c r="E10" s="244"/>
      <c r="F10" s="244"/>
      <c r="G10" s="408"/>
      <c r="H10" s="245" t="s">
        <v>1826</v>
      </c>
      <c r="I10" s="405"/>
      <c r="J10" s="242" t="s">
        <v>1826</v>
      </c>
      <c r="K10" s="243"/>
      <c r="L10" s="244"/>
      <c r="M10" s="244"/>
      <c r="N10" s="244"/>
      <c r="O10" s="408"/>
      <c r="P10" s="245" t="s">
        <v>1826</v>
      </c>
    </row>
    <row r="11" spans="1:16" ht="15.75" thickBot="1">
      <c r="A11" s="405"/>
      <c r="B11" s="242" t="s">
        <v>1827</v>
      </c>
      <c r="C11" s="243"/>
      <c r="D11" s="244"/>
      <c r="E11" s="244"/>
      <c r="F11" s="244"/>
      <c r="G11" s="408"/>
      <c r="H11" s="245" t="s">
        <v>1827</v>
      </c>
      <c r="I11" s="405"/>
      <c r="J11" s="242" t="s">
        <v>1827</v>
      </c>
      <c r="K11" s="243"/>
      <c r="L11" s="244"/>
      <c r="M11" s="244"/>
      <c r="N11" s="244"/>
      <c r="O11" s="408"/>
      <c r="P11" s="245" t="s">
        <v>1827</v>
      </c>
    </row>
    <row r="12" spans="1:16" ht="15.75" thickBot="1">
      <c r="A12" s="405"/>
      <c r="B12" s="242" t="s">
        <v>1828</v>
      </c>
      <c r="C12" s="243"/>
      <c r="D12" s="244"/>
      <c r="E12" s="244"/>
      <c r="F12" s="244"/>
      <c r="G12" s="408"/>
      <c r="H12" s="245" t="s">
        <v>1828</v>
      </c>
      <c r="I12" s="405"/>
      <c r="J12" s="242" t="s">
        <v>1828</v>
      </c>
      <c r="K12" s="243"/>
      <c r="L12" s="244"/>
      <c r="M12" s="244"/>
      <c r="N12" s="244"/>
      <c r="O12" s="408"/>
      <c r="P12" s="245" t="s">
        <v>1828</v>
      </c>
    </row>
    <row r="13" spans="1:16" ht="15.75" thickBot="1">
      <c r="A13" s="405"/>
      <c r="B13" s="242" t="s">
        <v>1829</v>
      </c>
      <c r="C13" s="243"/>
      <c r="D13" s="244"/>
      <c r="E13" s="244"/>
      <c r="F13" s="244"/>
      <c r="G13" s="408"/>
      <c r="H13" s="245" t="s">
        <v>1829</v>
      </c>
      <c r="I13" s="405"/>
      <c r="J13" s="242" t="s">
        <v>1829</v>
      </c>
      <c r="K13" s="243"/>
      <c r="L13" s="244"/>
      <c r="M13" s="244"/>
      <c r="N13" s="244"/>
      <c r="O13" s="408"/>
      <c r="P13" s="245" t="s">
        <v>1829</v>
      </c>
    </row>
    <row r="14" spans="1:16" ht="15.75" thickBot="1">
      <c r="A14" s="405"/>
      <c r="B14" s="242" t="s">
        <v>1830</v>
      </c>
      <c r="C14" s="243"/>
      <c r="D14" s="244"/>
      <c r="E14" s="244"/>
      <c r="F14" s="244"/>
      <c r="G14" s="408"/>
      <c r="H14" s="245" t="s">
        <v>1830</v>
      </c>
      <c r="I14" s="405"/>
      <c r="J14" s="242" t="s">
        <v>1830</v>
      </c>
      <c r="K14" s="243"/>
      <c r="L14" s="244"/>
      <c r="M14" s="244"/>
      <c r="N14" s="244"/>
      <c r="O14" s="408"/>
      <c r="P14" s="245" t="s">
        <v>1830</v>
      </c>
    </row>
    <row r="15" spans="1:16" ht="15.75" thickBot="1">
      <c r="A15" s="405"/>
      <c r="B15" s="242" t="s">
        <v>1831</v>
      </c>
      <c r="C15" s="243"/>
      <c r="D15" s="244"/>
      <c r="E15" s="244"/>
      <c r="F15" s="244"/>
      <c r="G15" s="408"/>
      <c r="H15" s="245" t="s">
        <v>1831</v>
      </c>
      <c r="I15" s="405"/>
      <c r="J15" s="242" t="s">
        <v>1831</v>
      </c>
      <c r="K15" s="243"/>
      <c r="L15" s="244"/>
      <c r="M15" s="244"/>
      <c r="N15" s="244"/>
      <c r="O15" s="408"/>
      <c r="P15" s="245" t="s">
        <v>1831</v>
      </c>
    </row>
    <row r="16" spans="1:16" ht="15.75" thickBot="1">
      <c r="A16" s="405"/>
      <c r="B16" s="242" t="s">
        <v>1832</v>
      </c>
      <c r="C16" s="243"/>
      <c r="D16" s="244"/>
      <c r="E16" s="244"/>
      <c r="F16" s="244"/>
      <c r="G16" s="408"/>
      <c r="H16" s="245" t="s">
        <v>1832</v>
      </c>
      <c r="I16" s="405"/>
      <c r="J16" s="242" t="s">
        <v>1832</v>
      </c>
      <c r="K16" s="243"/>
      <c r="L16" s="244"/>
      <c r="M16" s="244"/>
      <c r="N16" s="244"/>
      <c r="O16" s="408"/>
      <c r="P16" s="245" t="s">
        <v>1832</v>
      </c>
    </row>
    <row r="17" spans="1:16" ht="15.75" thickBot="1">
      <c r="A17" s="405"/>
      <c r="B17" s="242" t="s">
        <v>1833</v>
      </c>
      <c r="C17" s="243"/>
      <c r="D17" s="244"/>
      <c r="E17" s="244"/>
      <c r="F17" s="244"/>
      <c r="G17" s="408"/>
      <c r="H17" s="245" t="s">
        <v>1833</v>
      </c>
      <c r="I17" s="405"/>
      <c r="J17" s="242" t="s">
        <v>1833</v>
      </c>
      <c r="K17" s="243"/>
      <c r="L17" s="244"/>
      <c r="M17" s="244"/>
      <c r="N17" s="244"/>
      <c r="O17" s="408"/>
      <c r="P17" s="245" t="s">
        <v>1833</v>
      </c>
    </row>
    <row r="18" spans="1:16" ht="26.25" thickBot="1">
      <c r="A18" s="406"/>
      <c r="B18" s="242" t="s">
        <v>1834</v>
      </c>
      <c r="C18" s="243"/>
      <c r="D18" s="244"/>
      <c r="E18" s="244"/>
      <c r="F18" s="244"/>
      <c r="G18" s="409"/>
      <c r="H18" s="245" t="s">
        <v>1835</v>
      </c>
      <c r="I18" s="406"/>
      <c r="J18" s="242" t="s">
        <v>1834</v>
      </c>
      <c r="K18" s="243"/>
      <c r="L18" s="244"/>
      <c r="M18" s="244"/>
      <c r="N18" s="244"/>
      <c r="O18" s="409"/>
      <c r="P18" s="245" t="s">
        <v>1835</v>
      </c>
    </row>
    <row r="19" spans="1:16" ht="15.75" thickBot="1">
      <c r="A19" s="404" t="s">
        <v>2143</v>
      </c>
      <c r="B19" s="242" t="s">
        <v>1822</v>
      </c>
      <c r="C19" s="243"/>
      <c r="D19" s="244"/>
      <c r="E19" s="244"/>
      <c r="F19" s="244"/>
      <c r="G19" s="407" t="s">
        <v>2143</v>
      </c>
      <c r="H19" s="245" t="s">
        <v>1822</v>
      </c>
      <c r="I19" s="404" t="s">
        <v>2143</v>
      </c>
      <c r="J19" s="242" t="s">
        <v>1822</v>
      </c>
      <c r="K19" s="243"/>
      <c r="L19" s="244"/>
      <c r="M19" s="244"/>
      <c r="N19" s="244"/>
      <c r="O19" s="407" t="s">
        <v>2143</v>
      </c>
      <c r="P19" s="245" t="s">
        <v>1822</v>
      </c>
    </row>
    <row r="20" spans="1:16" ht="15.75" thickBot="1">
      <c r="A20" s="405"/>
      <c r="B20" s="242" t="s">
        <v>1824</v>
      </c>
      <c r="C20" s="243"/>
      <c r="D20" s="244"/>
      <c r="E20" s="244"/>
      <c r="F20" s="244"/>
      <c r="G20" s="408"/>
      <c r="H20" s="245" t="s">
        <v>1824</v>
      </c>
      <c r="I20" s="405"/>
      <c r="J20" s="242" t="s">
        <v>1824</v>
      </c>
      <c r="K20" s="243"/>
      <c r="L20" s="244"/>
      <c r="M20" s="244"/>
      <c r="N20" s="244"/>
      <c r="O20" s="408"/>
      <c r="P20" s="245" t="s">
        <v>1824</v>
      </c>
    </row>
    <row r="21" spans="1:16" ht="15.75" thickBot="1">
      <c r="A21" s="405"/>
      <c r="B21" s="242" t="s">
        <v>1825</v>
      </c>
      <c r="C21" s="243"/>
      <c r="D21" s="244"/>
      <c r="E21" s="244"/>
      <c r="F21" s="244"/>
      <c r="G21" s="408"/>
      <c r="H21" s="245" t="s">
        <v>1825</v>
      </c>
      <c r="I21" s="405"/>
      <c r="J21" s="242" t="s">
        <v>1825</v>
      </c>
      <c r="K21" s="243"/>
      <c r="L21" s="244"/>
      <c r="M21" s="244"/>
      <c r="N21" s="244"/>
      <c r="O21" s="408"/>
      <c r="P21" s="245" t="s">
        <v>1825</v>
      </c>
    </row>
    <row r="22" spans="1:16" ht="15.75" thickBot="1">
      <c r="A22" s="405"/>
      <c r="B22" s="242" t="s">
        <v>1826</v>
      </c>
      <c r="C22" s="243"/>
      <c r="D22" s="244"/>
      <c r="E22" s="244"/>
      <c r="F22" s="244"/>
      <c r="G22" s="408"/>
      <c r="H22" s="245" t="s">
        <v>1826</v>
      </c>
      <c r="I22" s="405"/>
      <c r="J22" s="242" t="s">
        <v>1826</v>
      </c>
      <c r="K22" s="243"/>
      <c r="L22" s="244"/>
      <c r="M22" s="244"/>
      <c r="N22" s="244"/>
      <c r="O22" s="408"/>
      <c r="P22" s="245" t="s">
        <v>1826</v>
      </c>
    </row>
    <row r="23" spans="1:16" ht="15.75" thickBot="1">
      <c r="A23" s="405"/>
      <c r="B23" s="242" t="s">
        <v>1827</v>
      </c>
      <c r="C23" s="243"/>
      <c r="D23" s="244"/>
      <c r="E23" s="244"/>
      <c r="F23" s="244"/>
      <c r="G23" s="408"/>
      <c r="H23" s="245" t="s">
        <v>1827</v>
      </c>
      <c r="I23" s="405"/>
      <c r="J23" s="242" t="s">
        <v>1827</v>
      </c>
      <c r="K23" s="243"/>
      <c r="L23" s="244"/>
      <c r="M23" s="244"/>
      <c r="N23" s="244"/>
      <c r="O23" s="408"/>
      <c r="P23" s="245" t="s">
        <v>1827</v>
      </c>
    </row>
    <row r="24" spans="1:16" ht="15.75" thickBot="1">
      <c r="A24" s="405"/>
      <c r="B24" s="242" t="s">
        <v>1828</v>
      </c>
      <c r="C24" s="243"/>
      <c r="D24" s="244"/>
      <c r="E24" s="244"/>
      <c r="F24" s="244"/>
      <c r="G24" s="408"/>
      <c r="H24" s="245" t="s">
        <v>1828</v>
      </c>
      <c r="I24" s="405"/>
      <c r="J24" s="242" t="s">
        <v>1828</v>
      </c>
      <c r="K24" s="243"/>
      <c r="L24" s="244"/>
      <c r="M24" s="244"/>
      <c r="N24" s="244"/>
      <c r="O24" s="408"/>
      <c r="P24" s="245" t="s">
        <v>1828</v>
      </c>
    </row>
    <row r="25" spans="1:16" ht="15.75" thickBot="1">
      <c r="A25" s="405"/>
      <c r="B25" s="242" t="s">
        <v>1829</v>
      </c>
      <c r="C25" s="243"/>
      <c r="D25" s="244"/>
      <c r="E25" s="244"/>
      <c r="F25" s="244"/>
      <c r="G25" s="408"/>
      <c r="H25" s="245" t="s">
        <v>1829</v>
      </c>
      <c r="I25" s="405"/>
      <c r="J25" s="242" t="s">
        <v>1829</v>
      </c>
      <c r="K25" s="243"/>
      <c r="L25" s="244"/>
      <c r="M25" s="244"/>
      <c r="N25" s="244"/>
      <c r="O25" s="408"/>
      <c r="P25" s="245" t="s">
        <v>1829</v>
      </c>
    </row>
    <row r="26" spans="1:16" ht="15.75" thickBot="1">
      <c r="A26" s="405"/>
      <c r="B26" s="242" t="s">
        <v>1830</v>
      </c>
      <c r="C26" s="243"/>
      <c r="D26" s="244"/>
      <c r="E26" s="244"/>
      <c r="F26" s="244"/>
      <c r="G26" s="408"/>
      <c r="H26" s="245" t="s">
        <v>1830</v>
      </c>
      <c r="I26" s="405"/>
      <c r="J26" s="242" t="s">
        <v>1830</v>
      </c>
      <c r="K26" s="243"/>
      <c r="L26" s="244"/>
      <c r="M26" s="244"/>
      <c r="N26" s="244"/>
      <c r="O26" s="408"/>
      <c r="P26" s="245" t="s">
        <v>1830</v>
      </c>
    </row>
    <row r="27" spans="1:16" ht="15.75" thickBot="1">
      <c r="A27" s="405"/>
      <c r="B27" s="242" t="s">
        <v>1831</v>
      </c>
      <c r="C27" s="243"/>
      <c r="D27" s="244"/>
      <c r="E27" s="244"/>
      <c r="F27" s="244"/>
      <c r="G27" s="408"/>
      <c r="H27" s="245" t="s">
        <v>1831</v>
      </c>
      <c r="I27" s="405"/>
      <c r="J27" s="242" t="s">
        <v>1831</v>
      </c>
      <c r="K27" s="243"/>
      <c r="L27" s="244"/>
      <c r="M27" s="244"/>
      <c r="N27" s="244"/>
      <c r="O27" s="408"/>
      <c r="P27" s="245" t="s">
        <v>1831</v>
      </c>
    </row>
    <row r="28" spans="1:16" ht="15.75" thickBot="1">
      <c r="A28" s="405"/>
      <c r="B28" s="242" t="s">
        <v>1832</v>
      </c>
      <c r="C28" s="243"/>
      <c r="D28" s="244"/>
      <c r="E28" s="244"/>
      <c r="F28" s="244"/>
      <c r="G28" s="408"/>
      <c r="H28" s="245" t="s">
        <v>1832</v>
      </c>
      <c r="I28" s="405"/>
      <c r="J28" s="242" t="s">
        <v>1832</v>
      </c>
      <c r="K28" s="243"/>
      <c r="L28" s="244"/>
      <c r="M28" s="244"/>
      <c r="N28" s="244"/>
      <c r="O28" s="408"/>
      <c r="P28" s="245" t="s">
        <v>1832</v>
      </c>
    </row>
    <row r="29" spans="1:16" ht="15.75" thickBot="1">
      <c r="A29" s="405"/>
      <c r="B29" s="242" t="s">
        <v>1833</v>
      </c>
      <c r="C29" s="243"/>
      <c r="D29" s="244"/>
      <c r="E29" s="244"/>
      <c r="F29" s="244"/>
      <c r="G29" s="408"/>
      <c r="H29" s="245" t="s">
        <v>1833</v>
      </c>
      <c r="I29" s="405"/>
      <c r="J29" s="242" t="s">
        <v>1833</v>
      </c>
      <c r="K29" s="243"/>
      <c r="L29" s="244"/>
      <c r="M29" s="244"/>
      <c r="N29" s="244"/>
      <c r="O29" s="408"/>
      <c r="P29" s="245" t="s">
        <v>1833</v>
      </c>
    </row>
    <row r="30" spans="1:16" ht="26.25" thickBot="1">
      <c r="A30" s="406"/>
      <c r="B30" s="242" t="s">
        <v>1834</v>
      </c>
      <c r="C30" s="243"/>
      <c r="D30" s="244"/>
      <c r="E30" s="244"/>
      <c r="F30" s="244"/>
      <c r="G30" s="409"/>
      <c r="H30" s="245" t="s">
        <v>1835</v>
      </c>
      <c r="I30" s="406"/>
      <c r="J30" s="242" t="s">
        <v>1834</v>
      </c>
      <c r="K30" s="243"/>
      <c r="L30" s="244"/>
      <c r="M30" s="244"/>
      <c r="N30" s="244"/>
      <c r="O30" s="409"/>
      <c r="P30" s="245" t="s">
        <v>1835</v>
      </c>
    </row>
    <row r="31" spans="1:16" ht="15.75" thickBot="1">
      <c r="A31" s="404" t="s">
        <v>2144</v>
      </c>
      <c r="B31" s="242" t="s">
        <v>1822</v>
      </c>
      <c r="C31" s="243"/>
      <c r="D31" s="244"/>
      <c r="E31" s="244"/>
      <c r="F31" s="244"/>
      <c r="G31" s="407" t="s">
        <v>2144</v>
      </c>
      <c r="H31" s="245" t="s">
        <v>1822</v>
      </c>
      <c r="I31" s="404" t="s">
        <v>2144</v>
      </c>
      <c r="J31" s="242" t="s">
        <v>1822</v>
      </c>
      <c r="K31" s="243"/>
      <c r="L31" s="244"/>
      <c r="M31" s="244"/>
      <c r="N31" s="244"/>
      <c r="O31" s="407" t="s">
        <v>2144</v>
      </c>
      <c r="P31" s="245" t="s">
        <v>1822</v>
      </c>
    </row>
    <row r="32" spans="1:16" ht="15.75" thickBot="1">
      <c r="A32" s="405"/>
      <c r="B32" s="242" t="s">
        <v>1824</v>
      </c>
      <c r="C32" s="243"/>
      <c r="D32" s="244"/>
      <c r="E32" s="244"/>
      <c r="F32" s="244"/>
      <c r="G32" s="408"/>
      <c r="H32" s="245" t="s">
        <v>1824</v>
      </c>
      <c r="I32" s="405"/>
      <c r="J32" s="242" t="s">
        <v>1824</v>
      </c>
      <c r="K32" s="243"/>
      <c r="L32" s="244"/>
      <c r="M32" s="244"/>
      <c r="N32" s="244"/>
      <c r="O32" s="408"/>
      <c r="P32" s="245" t="s">
        <v>1824</v>
      </c>
    </row>
    <row r="33" spans="1:16" ht="15.75" thickBot="1">
      <c r="A33" s="405"/>
      <c r="B33" s="242" t="s">
        <v>1825</v>
      </c>
      <c r="C33" s="243"/>
      <c r="D33" s="244"/>
      <c r="E33" s="244"/>
      <c r="F33" s="244"/>
      <c r="G33" s="408"/>
      <c r="H33" s="245" t="s">
        <v>1825</v>
      </c>
      <c r="I33" s="405"/>
      <c r="J33" s="242" t="s">
        <v>1825</v>
      </c>
      <c r="K33" s="243"/>
      <c r="L33" s="244"/>
      <c r="M33" s="244"/>
      <c r="N33" s="244"/>
      <c r="O33" s="408"/>
      <c r="P33" s="245" t="s">
        <v>1825</v>
      </c>
    </row>
    <row r="34" spans="1:16" ht="15.75" thickBot="1">
      <c r="A34" s="405"/>
      <c r="B34" s="242" t="s">
        <v>1826</v>
      </c>
      <c r="C34" s="243"/>
      <c r="D34" s="244"/>
      <c r="E34" s="244"/>
      <c r="F34" s="244"/>
      <c r="G34" s="408"/>
      <c r="H34" s="245" t="s">
        <v>1826</v>
      </c>
      <c r="I34" s="405"/>
      <c r="J34" s="242" t="s">
        <v>1826</v>
      </c>
      <c r="K34" s="243"/>
      <c r="L34" s="244"/>
      <c r="M34" s="244"/>
      <c r="N34" s="244"/>
      <c r="O34" s="408"/>
      <c r="P34" s="245" t="s">
        <v>1826</v>
      </c>
    </row>
    <row r="35" spans="1:16" ht="15.75" thickBot="1">
      <c r="A35" s="405"/>
      <c r="B35" s="242" t="s">
        <v>1827</v>
      </c>
      <c r="C35" s="243"/>
      <c r="D35" s="244"/>
      <c r="E35" s="244"/>
      <c r="F35" s="244"/>
      <c r="G35" s="408"/>
      <c r="H35" s="245" t="s">
        <v>1827</v>
      </c>
      <c r="I35" s="405"/>
      <c r="J35" s="242" t="s">
        <v>1827</v>
      </c>
      <c r="K35" s="243"/>
      <c r="L35" s="244"/>
      <c r="M35" s="244"/>
      <c r="N35" s="244"/>
      <c r="O35" s="408"/>
      <c r="P35" s="245" t="s">
        <v>1827</v>
      </c>
    </row>
    <row r="36" spans="1:16" ht="15.75" thickBot="1">
      <c r="A36" s="405"/>
      <c r="B36" s="242" t="s">
        <v>1828</v>
      </c>
      <c r="C36" s="243"/>
      <c r="D36" s="244"/>
      <c r="E36" s="244"/>
      <c r="F36" s="244"/>
      <c r="G36" s="408"/>
      <c r="H36" s="245" t="s">
        <v>1828</v>
      </c>
      <c r="I36" s="405"/>
      <c r="J36" s="242" t="s">
        <v>1828</v>
      </c>
      <c r="K36" s="243"/>
      <c r="L36" s="244"/>
      <c r="M36" s="244"/>
      <c r="N36" s="244"/>
      <c r="O36" s="408"/>
      <c r="P36" s="245" t="s">
        <v>1828</v>
      </c>
    </row>
    <row r="37" spans="1:16" ht="15.75" thickBot="1">
      <c r="A37" s="405"/>
      <c r="B37" s="242" t="s">
        <v>1829</v>
      </c>
      <c r="C37" s="243"/>
      <c r="D37" s="244"/>
      <c r="E37" s="244"/>
      <c r="F37" s="244"/>
      <c r="G37" s="408"/>
      <c r="H37" s="245" t="s">
        <v>1829</v>
      </c>
      <c r="I37" s="405"/>
      <c r="J37" s="242" t="s">
        <v>1829</v>
      </c>
      <c r="K37" s="243"/>
      <c r="L37" s="244"/>
      <c r="M37" s="244"/>
      <c r="N37" s="244"/>
      <c r="O37" s="408"/>
      <c r="P37" s="245" t="s">
        <v>1829</v>
      </c>
    </row>
    <row r="38" spans="1:16" ht="15.75" thickBot="1">
      <c r="A38" s="405"/>
      <c r="B38" s="242" t="s">
        <v>1830</v>
      </c>
      <c r="C38" s="243"/>
      <c r="D38" s="244"/>
      <c r="E38" s="244"/>
      <c r="F38" s="244"/>
      <c r="G38" s="408"/>
      <c r="H38" s="245" t="s">
        <v>1830</v>
      </c>
      <c r="I38" s="405"/>
      <c r="J38" s="242" t="s">
        <v>1830</v>
      </c>
      <c r="K38" s="243"/>
      <c r="L38" s="244"/>
      <c r="M38" s="244"/>
      <c r="N38" s="244"/>
      <c r="O38" s="408"/>
      <c r="P38" s="245" t="s">
        <v>1830</v>
      </c>
    </row>
    <row r="39" spans="1:16" ht="15.75" thickBot="1">
      <c r="A39" s="405"/>
      <c r="B39" s="242" t="s">
        <v>1831</v>
      </c>
      <c r="C39" s="243"/>
      <c r="D39" s="244"/>
      <c r="E39" s="244"/>
      <c r="F39" s="244"/>
      <c r="G39" s="408"/>
      <c r="H39" s="245" t="s">
        <v>1831</v>
      </c>
      <c r="I39" s="405"/>
      <c r="J39" s="242" t="s">
        <v>1831</v>
      </c>
      <c r="K39" s="243"/>
      <c r="L39" s="244"/>
      <c r="M39" s="244"/>
      <c r="N39" s="244"/>
      <c r="O39" s="408"/>
      <c r="P39" s="245" t="s">
        <v>1831</v>
      </c>
    </row>
    <row r="40" spans="1:16" ht="15.75" thickBot="1">
      <c r="A40" s="405"/>
      <c r="B40" s="242" t="s">
        <v>1832</v>
      </c>
      <c r="C40" s="243"/>
      <c r="D40" s="244"/>
      <c r="E40" s="244"/>
      <c r="F40" s="244"/>
      <c r="G40" s="408"/>
      <c r="H40" s="245" t="s">
        <v>1832</v>
      </c>
      <c r="I40" s="405"/>
      <c r="J40" s="242" t="s">
        <v>1832</v>
      </c>
      <c r="K40" s="243"/>
      <c r="L40" s="244"/>
      <c r="M40" s="244"/>
      <c r="N40" s="244"/>
      <c r="O40" s="408"/>
      <c r="P40" s="245" t="s">
        <v>1832</v>
      </c>
    </row>
    <row r="41" spans="1:16" ht="15.75" thickBot="1">
      <c r="A41" s="405"/>
      <c r="B41" s="242" t="s">
        <v>1833</v>
      </c>
      <c r="C41" s="243"/>
      <c r="D41" s="244"/>
      <c r="E41" s="244"/>
      <c r="F41" s="244"/>
      <c r="G41" s="408"/>
      <c r="H41" s="245" t="s">
        <v>1833</v>
      </c>
      <c r="I41" s="405"/>
      <c r="J41" s="242" t="s">
        <v>1833</v>
      </c>
      <c r="K41" s="243"/>
      <c r="L41" s="244"/>
      <c r="M41" s="244"/>
      <c r="N41" s="244"/>
      <c r="O41" s="408"/>
      <c r="P41" s="245" t="s">
        <v>1833</v>
      </c>
    </row>
    <row r="42" spans="1:16" ht="26.25" thickBot="1">
      <c r="A42" s="406"/>
      <c r="B42" s="242" t="s">
        <v>1834</v>
      </c>
      <c r="C42" s="243"/>
      <c r="D42" s="244"/>
      <c r="E42" s="244"/>
      <c r="F42" s="244"/>
      <c r="G42" s="409"/>
      <c r="H42" s="245" t="s">
        <v>1835</v>
      </c>
      <c r="I42" s="406"/>
      <c r="J42" s="242" t="s">
        <v>1834</v>
      </c>
      <c r="K42" s="243"/>
      <c r="L42" s="244"/>
      <c r="M42" s="244"/>
      <c r="N42" s="244"/>
      <c r="O42" s="409"/>
      <c r="P42" s="245" t="s">
        <v>1835</v>
      </c>
    </row>
    <row r="43" spans="1:16" ht="15.75" thickBot="1">
      <c r="A43" s="404" t="s">
        <v>2145</v>
      </c>
      <c r="B43" s="242" t="s">
        <v>1822</v>
      </c>
      <c r="C43" s="243"/>
      <c r="D43" s="244"/>
      <c r="E43" s="244"/>
      <c r="F43" s="244"/>
      <c r="G43" s="407" t="s">
        <v>2145</v>
      </c>
      <c r="H43" s="245" t="s">
        <v>1822</v>
      </c>
      <c r="I43" s="404" t="s">
        <v>2145</v>
      </c>
      <c r="J43" s="242" t="s">
        <v>1822</v>
      </c>
      <c r="K43" s="243"/>
      <c r="L43" s="244"/>
      <c r="M43" s="244"/>
      <c r="N43" s="244"/>
      <c r="O43" s="407" t="s">
        <v>2145</v>
      </c>
      <c r="P43" s="245" t="s">
        <v>1822</v>
      </c>
    </row>
    <row r="44" spans="1:16" ht="15.75" thickBot="1">
      <c r="A44" s="405"/>
      <c r="B44" s="242" t="s">
        <v>1824</v>
      </c>
      <c r="C44" s="243"/>
      <c r="D44" s="244"/>
      <c r="E44" s="244"/>
      <c r="F44" s="244"/>
      <c r="G44" s="408"/>
      <c r="H44" s="245" t="s">
        <v>1824</v>
      </c>
      <c r="I44" s="405"/>
      <c r="J44" s="242" t="s">
        <v>1824</v>
      </c>
      <c r="K44" s="243"/>
      <c r="L44" s="244"/>
      <c r="M44" s="244"/>
      <c r="N44" s="244"/>
      <c r="O44" s="408"/>
      <c r="P44" s="245" t="s">
        <v>1824</v>
      </c>
    </row>
    <row r="45" spans="1:16" ht="15.75" thickBot="1">
      <c r="A45" s="405"/>
      <c r="B45" s="242" t="s">
        <v>1825</v>
      </c>
      <c r="C45" s="243"/>
      <c r="D45" s="244"/>
      <c r="E45" s="244"/>
      <c r="F45" s="244"/>
      <c r="G45" s="408"/>
      <c r="H45" s="245" t="s">
        <v>1825</v>
      </c>
      <c r="I45" s="405"/>
      <c r="J45" s="242" t="s">
        <v>1825</v>
      </c>
      <c r="K45" s="243"/>
      <c r="L45" s="244"/>
      <c r="M45" s="244"/>
      <c r="N45" s="244"/>
      <c r="O45" s="408"/>
      <c r="P45" s="245" t="s">
        <v>1825</v>
      </c>
    </row>
    <row r="46" spans="1:16" ht="15.75" thickBot="1">
      <c r="A46" s="405"/>
      <c r="B46" s="242" t="s">
        <v>1826</v>
      </c>
      <c r="C46" s="243"/>
      <c r="D46" s="244"/>
      <c r="E46" s="244"/>
      <c r="F46" s="244"/>
      <c r="G46" s="408"/>
      <c r="H46" s="245" t="s">
        <v>1826</v>
      </c>
      <c r="I46" s="405"/>
      <c r="J46" s="242" t="s">
        <v>1826</v>
      </c>
      <c r="K46" s="243"/>
      <c r="L46" s="244"/>
      <c r="M46" s="244"/>
      <c r="N46" s="244"/>
      <c r="O46" s="408"/>
      <c r="P46" s="245" t="s">
        <v>1826</v>
      </c>
    </row>
    <row r="47" spans="1:16" ht="15.75" thickBot="1">
      <c r="A47" s="405"/>
      <c r="B47" s="242" t="s">
        <v>1827</v>
      </c>
      <c r="C47" s="243"/>
      <c r="D47" s="244"/>
      <c r="E47" s="244"/>
      <c r="F47" s="244"/>
      <c r="G47" s="408"/>
      <c r="H47" s="245" t="s">
        <v>1827</v>
      </c>
      <c r="I47" s="405"/>
      <c r="J47" s="242" t="s">
        <v>1827</v>
      </c>
      <c r="K47" s="243"/>
      <c r="L47" s="244"/>
      <c r="M47" s="244"/>
      <c r="N47" s="244"/>
      <c r="O47" s="408"/>
      <c r="P47" s="245" t="s">
        <v>1827</v>
      </c>
    </row>
    <row r="48" spans="1:16" ht="15.75" thickBot="1">
      <c r="A48" s="405"/>
      <c r="B48" s="242" t="s">
        <v>1828</v>
      </c>
      <c r="C48" s="243"/>
      <c r="D48" s="244"/>
      <c r="E48" s="244"/>
      <c r="F48" s="244"/>
      <c r="G48" s="408"/>
      <c r="H48" s="245" t="s">
        <v>1828</v>
      </c>
      <c r="I48" s="405"/>
      <c r="J48" s="242" t="s">
        <v>1828</v>
      </c>
      <c r="K48" s="243"/>
      <c r="L48" s="244"/>
      <c r="M48" s="244"/>
      <c r="N48" s="244"/>
      <c r="O48" s="408"/>
      <c r="P48" s="245" t="s">
        <v>1828</v>
      </c>
    </row>
    <row r="49" spans="1:16" ht="15.75" thickBot="1">
      <c r="A49" s="405"/>
      <c r="B49" s="242" t="s">
        <v>1829</v>
      </c>
      <c r="C49" s="243"/>
      <c r="D49" s="244"/>
      <c r="E49" s="244"/>
      <c r="F49" s="244"/>
      <c r="G49" s="408"/>
      <c r="H49" s="245" t="s">
        <v>1829</v>
      </c>
      <c r="I49" s="405"/>
      <c r="J49" s="242" t="s">
        <v>1829</v>
      </c>
      <c r="K49" s="243"/>
      <c r="L49" s="244"/>
      <c r="M49" s="244"/>
      <c r="N49" s="244"/>
      <c r="O49" s="408"/>
      <c r="P49" s="245" t="s">
        <v>1829</v>
      </c>
    </row>
    <row r="50" spans="1:16" ht="15.75" thickBot="1">
      <c r="A50" s="405"/>
      <c r="B50" s="242" t="s">
        <v>1830</v>
      </c>
      <c r="C50" s="243"/>
      <c r="D50" s="244"/>
      <c r="E50" s="244"/>
      <c r="F50" s="244"/>
      <c r="G50" s="408"/>
      <c r="H50" s="245" t="s">
        <v>1830</v>
      </c>
      <c r="I50" s="405"/>
      <c r="J50" s="242" t="s">
        <v>1830</v>
      </c>
      <c r="K50" s="243"/>
      <c r="L50" s="244"/>
      <c r="M50" s="244"/>
      <c r="N50" s="244"/>
      <c r="O50" s="408"/>
      <c r="P50" s="245" t="s">
        <v>1830</v>
      </c>
    </row>
    <row r="51" spans="1:16" ht="15.75" thickBot="1">
      <c r="A51" s="405"/>
      <c r="B51" s="242" t="s">
        <v>1831</v>
      </c>
      <c r="C51" s="243"/>
      <c r="D51" s="244"/>
      <c r="E51" s="244"/>
      <c r="F51" s="244"/>
      <c r="G51" s="408"/>
      <c r="H51" s="245" t="s">
        <v>1831</v>
      </c>
      <c r="I51" s="405"/>
      <c r="J51" s="242" t="s">
        <v>1831</v>
      </c>
      <c r="K51" s="243"/>
      <c r="L51" s="244"/>
      <c r="M51" s="244"/>
      <c r="N51" s="244"/>
      <c r="O51" s="408"/>
      <c r="P51" s="245" t="s">
        <v>1831</v>
      </c>
    </row>
    <row r="52" spans="1:16" ht="15.75" thickBot="1">
      <c r="A52" s="405"/>
      <c r="B52" s="242" t="s">
        <v>1832</v>
      </c>
      <c r="C52" s="243"/>
      <c r="D52" s="244"/>
      <c r="E52" s="244"/>
      <c r="F52" s="244"/>
      <c r="G52" s="408"/>
      <c r="H52" s="245" t="s">
        <v>1832</v>
      </c>
      <c r="I52" s="405"/>
      <c r="J52" s="242" t="s">
        <v>1832</v>
      </c>
      <c r="K52" s="243"/>
      <c r="L52" s="244"/>
      <c r="M52" s="244"/>
      <c r="N52" s="244"/>
      <c r="O52" s="408"/>
      <c r="P52" s="245" t="s">
        <v>1832</v>
      </c>
    </row>
    <row r="53" spans="1:16" ht="15.75" thickBot="1">
      <c r="A53" s="405"/>
      <c r="B53" s="242" t="s">
        <v>1833</v>
      </c>
      <c r="C53" s="243"/>
      <c r="D53" s="244"/>
      <c r="E53" s="244"/>
      <c r="F53" s="244"/>
      <c r="G53" s="408"/>
      <c r="H53" s="245" t="s">
        <v>1833</v>
      </c>
      <c r="I53" s="405"/>
      <c r="J53" s="242" t="s">
        <v>1833</v>
      </c>
      <c r="K53" s="243"/>
      <c r="L53" s="244"/>
      <c r="M53" s="244"/>
      <c r="N53" s="244"/>
      <c r="O53" s="408"/>
      <c r="P53" s="245" t="s">
        <v>1833</v>
      </c>
    </row>
    <row r="54" spans="1:16" ht="26.25" thickBot="1">
      <c r="A54" s="406"/>
      <c r="B54" s="242" t="s">
        <v>1834</v>
      </c>
      <c r="C54" s="243"/>
      <c r="D54" s="244"/>
      <c r="E54" s="244"/>
      <c r="F54" s="244"/>
      <c r="G54" s="409"/>
      <c r="H54" s="245" t="s">
        <v>1835</v>
      </c>
      <c r="I54" s="406"/>
      <c r="J54" s="242" t="s">
        <v>1834</v>
      </c>
      <c r="K54" s="243"/>
      <c r="L54" s="244"/>
      <c r="M54" s="244"/>
      <c r="N54" s="244"/>
      <c r="O54" s="409"/>
      <c r="P54" s="245" t="s">
        <v>1835</v>
      </c>
    </row>
    <row r="55" spans="1:16" ht="15.75" thickBot="1">
      <c r="A55" s="404" t="s">
        <v>2146</v>
      </c>
      <c r="B55" s="242" t="s">
        <v>1822</v>
      </c>
      <c r="C55" s="243"/>
      <c r="D55" s="244"/>
      <c r="E55" s="244"/>
      <c r="F55" s="244"/>
      <c r="G55" s="407" t="s">
        <v>2146</v>
      </c>
      <c r="H55" s="245" t="s">
        <v>1822</v>
      </c>
      <c r="I55" s="404" t="s">
        <v>2146</v>
      </c>
      <c r="J55" s="242" t="s">
        <v>1822</v>
      </c>
      <c r="K55" s="243"/>
      <c r="L55" s="244"/>
      <c r="M55" s="244"/>
      <c r="N55" s="244"/>
      <c r="O55" s="407" t="s">
        <v>2146</v>
      </c>
      <c r="P55" s="245" t="s">
        <v>1822</v>
      </c>
    </row>
    <row r="56" spans="1:16" ht="15.75" thickBot="1">
      <c r="A56" s="405"/>
      <c r="B56" s="242" t="s">
        <v>1824</v>
      </c>
      <c r="C56" s="243"/>
      <c r="D56" s="244"/>
      <c r="E56" s="244"/>
      <c r="F56" s="244"/>
      <c r="G56" s="408"/>
      <c r="H56" s="245" t="s">
        <v>1824</v>
      </c>
      <c r="I56" s="405"/>
      <c r="J56" s="242" t="s">
        <v>1824</v>
      </c>
      <c r="K56" s="243"/>
      <c r="L56" s="244"/>
      <c r="M56" s="244"/>
      <c r="N56" s="244"/>
      <c r="O56" s="408"/>
      <c r="P56" s="245" t="s">
        <v>1824</v>
      </c>
    </row>
    <row r="57" spans="1:16" ht="15.75" thickBot="1">
      <c r="A57" s="405"/>
      <c r="B57" s="242" t="s">
        <v>1825</v>
      </c>
      <c r="C57" s="243"/>
      <c r="D57" s="244"/>
      <c r="E57" s="244"/>
      <c r="F57" s="244"/>
      <c r="G57" s="408"/>
      <c r="H57" s="245" t="s">
        <v>1825</v>
      </c>
      <c r="I57" s="405"/>
      <c r="J57" s="242" t="s">
        <v>1825</v>
      </c>
      <c r="K57" s="243"/>
      <c r="L57" s="244"/>
      <c r="M57" s="244"/>
      <c r="N57" s="244"/>
      <c r="O57" s="408"/>
      <c r="P57" s="245" t="s">
        <v>1825</v>
      </c>
    </row>
    <row r="58" spans="1:16" ht="15.75" thickBot="1">
      <c r="A58" s="405"/>
      <c r="B58" s="242" t="s">
        <v>1826</v>
      </c>
      <c r="C58" s="243"/>
      <c r="D58" s="244"/>
      <c r="E58" s="244"/>
      <c r="F58" s="244"/>
      <c r="G58" s="408"/>
      <c r="H58" s="245" t="s">
        <v>1826</v>
      </c>
      <c r="I58" s="405"/>
      <c r="J58" s="242" t="s">
        <v>1826</v>
      </c>
      <c r="K58" s="243"/>
      <c r="L58" s="244"/>
      <c r="M58" s="244"/>
      <c r="N58" s="244"/>
      <c r="O58" s="408"/>
      <c r="P58" s="245" t="s">
        <v>1826</v>
      </c>
    </row>
    <row r="59" spans="1:16" ht="15.75" thickBot="1">
      <c r="A59" s="405"/>
      <c r="B59" s="242" t="s">
        <v>1827</v>
      </c>
      <c r="C59" s="243"/>
      <c r="D59" s="244"/>
      <c r="E59" s="244"/>
      <c r="F59" s="244"/>
      <c r="G59" s="408"/>
      <c r="H59" s="245" t="s">
        <v>1827</v>
      </c>
      <c r="I59" s="405"/>
      <c r="J59" s="242" t="s">
        <v>1827</v>
      </c>
      <c r="K59" s="243"/>
      <c r="L59" s="244"/>
      <c r="M59" s="244"/>
      <c r="N59" s="244"/>
      <c r="O59" s="408"/>
      <c r="P59" s="245" t="s">
        <v>1827</v>
      </c>
    </row>
    <row r="60" spans="1:16" ht="15.75" thickBot="1">
      <c r="A60" s="405"/>
      <c r="B60" s="242" t="s">
        <v>1828</v>
      </c>
      <c r="C60" s="243"/>
      <c r="D60" s="244"/>
      <c r="E60" s="244"/>
      <c r="F60" s="244"/>
      <c r="G60" s="408"/>
      <c r="H60" s="245" t="s">
        <v>1828</v>
      </c>
      <c r="I60" s="405"/>
      <c r="J60" s="242" t="s">
        <v>1828</v>
      </c>
      <c r="K60" s="243"/>
      <c r="L60" s="244"/>
      <c r="M60" s="244"/>
      <c r="N60" s="244"/>
      <c r="O60" s="408"/>
      <c r="P60" s="245" t="s">
        <v>1828</v>
      </c>
    </row>
    <row r="61" spans="1:16" ht="15.75" thickBot="1">
      <c r="A61" s="405"/>
      <c r="B61" s="242" t="s">
        <v>1829</v>
      </c>
      <c r="C61" s="243"/>
      <c r="D61" s="244"/>
      <c r="E61" s="244"/>
      <c r="F61" s="244"/>
      <c r="G61" s="408"/>
      <c r="H61" s="245" t="s">
        <v>1829</v>
      </c>
      <c r="I61" s="405"/>
      <c r="J61" s="242" t="s">
        <v>1829</v>
      </c>
      <c r="K61" s="243"/>
      <c r="L61" s="244"/>
      <c r="M61" s="244"/>
      <c r="N61" s="244"/>
      <c r="O61" s="408"/>
      <c r="P61" s="245" t="s">
        <v>1829</v>
      </c>
    </row>
    <row r="62" spans="1:16" ht="15.75" thickBot="1">
      <c r="A62" s="405"/>
      <c r="B62" s="242" t="s">
        <v>1830</v>
      </c>
      <c r="C62" s="243"/>
      <c r="D62" s="244"/>
      <c r="E62" s="244"/>
      <c r="F62" s="244"/>
      <c r="G62" s="408"/>
      <c r="H62" s="245" t="s">
        <v>1830</v>
      </c>
      <c r="I62" s="405"/>
      <c r="J62" s="242" t="s">
        <v>1830</v>
      </c>
      <c r="K62" s="243"/>
      <c r="L62" s="244"/>
      <c r="M62" s="244"/>
      <c r="N62" s="244"/>
      <c r="O62" s="408"/>
      <c r="P62" s="245" t="s">
        <v>1830</v>
      </c>
    </row>
    <row r="63" spans="1:16" ht="15.75" thickBot="1">
      <c r="A63" s="405"/>
      <c r="B63" s="242" t="s">
        <v>1831</v>
      </c>
      <c r="C63" s="243"/>
      <c r="D63" s="244"/>
      <c r="E63" s="244"/>
      <c r="F63" s="244"/>
      <c r="G63" s="408"/>
      <c r="H63" s="245" t="s">
        <v>1831</v>
      </c>
      <c r="I63" s="405"/>
      <c r="J63" s="242" t="s">
        <v>1831</v>
      </c>
      <c r="K63" s="243"/>
      <c r="L63" s="244"/>
      <c r="M63" s="244"/>
      <c r="N63" s="244"/>
      <c r="O63" s="408"/>
      <c r="P63" s="245" t="s">
        <v>1831</v>
      </c>
    </row>
    <row r="64" spans="1:16" ht="15.75" thickBot="1">
      <c r="A64" s="405"/>
      <c r="B64" s="242" t="s">
        <v>1832</v>
      </c>
      <c r="C64" s="243"/>
      <c r="D64" s="244"/>
      <c r="E64" s="244"/>
      <c r="F64" s="244"/>
      <c r="G64" s="408"/>
      <c r="H64" s="245" t="s">
        <v>1832</v>
      </c>
      <c r="I64" s="405"/>
      <c r="J64" s="242" t="s">
        <v>1832</v>
      </c>
      <c r="K64" s="243"/>
      <c r="L64" s="244"/>
      <c r="M64" s="244"/>
      <c r="N64" s="244"/>
      <c r="O64" s="408"/>
      <c r="P64" s="245" t="s">
        <v>1832</v>
      </c>
    </row>
    <row r="65" spans="1:16" ht="15.75" thickBot="1">
      <c r="A65" s="405"/>
      <c r="B65" s="242" t="s">
        <v>1833</v>
      </c>
      <c r="C65" s="243"/>
      <c r="D65" s="244"/>
      <c r="E65" s="244"/>
      <c r="F65" s="244"/>
      <c r="G65" s="408"/>
      <c r="H65" s="245" t="s">
        <v>1833</v>
      </c>
      <c r="I65" s="405"/>
      <c r="J65" s="242" t="s">
        <v>1833</v>
      </c>
      <c r="K65" s="243"/>
      <c r="L65" s="244"/>
      <c r="M65" s="244"/>
      <c r="N65" s="244"/>
      <c r="O65" s="408"/>
      <c r="P65" s="245" t="s">
        <v>1833</v>
      </c>
    </row>
    <row r="66" spans="1:16" ht="26.25" thickBot="1">
      <c r="A66" s="406"/>
      <c r="B66" s="242" t="s">
        <v>1834</v>
      </c>
      <c r="C66" s="243"/>
      <c r="D66" s="244"/>
      <c r="E66" s="244"/>
      <c r="F66" s="244"/>
      <c r="G66" s="409"/>
      <c r="H66" s="245" t="s">
        <v>1835</v>
      </c>
      <c r="I66" s="406"/>
      <c r="J66" s="242" t="s">
        <v>1834</v>
      </c>
      <c r="K66" s="243"/>
      <c r="L66" s="244"/>
      <c r="M66" s="244"/>
      <c r="N66" s="244"/>
      <c r="O66" s="409"/>
      <c r="P66" s="245" t="s">
        <v>1835</v>
      </c>
    </row>
    <row r="67" spans="1:16" ht="15.75" thickBot="1">
      <c r="A67" s="404" t="s">
        <v>2147</v>
      </c>
      <c r="B67" s="242" t="s">
        <v>1822</v>
      </c>
      <c r="C67" s="243"/>
      <c r="D67" s="244"/>
      <c r="E67" s="244"/>
      <c r="F67" s="244"/>
      <c r="G67" s="407" t="s">
        <v>2147</v>
      </c>
      <c r="H67" s="245" t="s">
        <v>1822</v>
      </c>
      <c r="I67" s="404" t="s">
        <v>2147</v>
      </c>
      <c r="J67" s="242" t="s">
        <v>1822</v>
      </c>
      <c r="K67" s="243"/>
      <c r="L67" s="244"/>
      <c r="M67" s="244"/>
      <c r="N67" s="244"/>
      <c r="O67" s="407" t="s">
        <v>2147</v>
      </c>
      <c r="P67" s="245" t="s">
        <v>1822</v>
      </c>
    </row>
    <row r="68" spans="1:16" ht="15.75" thickBot="1">
      <c r="A68" s="405"/>
      <c r="B68" s="242" t="s">
        <v>1824</v>
      </c>
      <c r="C68" s="243"/>
      <c r="D68" s="244"/>
      <c r="E68" s="244"/>
      <c r="F68" s="244"/>
      <c r="G68" s="408"/>
      <c r="H68" s="245" t="s">
        <v>1824</v>
      </c>
      <c r="I68" s="405"/>
      <c r="J68" s="242" t="s">
        <v>1824</v>
      </c>
      <c r="K68" s="243"/>
      <c r="L68" s="244"/>
      <c r="M68" s="244"/>
      <c r="N68" s="244"/>
      <c r="O68" s="408"/>
      <c r="P68" s="245" t="s">
        <v>1824</v>
      </c>
    </row>
    <row r="69" spans="1:16" ht="15.75" thickBot="1">
      <c r="A69" s="405"/>
      <c r="B69" s="242" t="s">
        <v>1825</v>
      </c>
      <c r="C69" s="243"/>
      <c r="D69" s="244"/>
      <c r="E69" s="244"/>
      <c r="F69" s="244"/>
      <c r="G69" s="408"/>
      <c r="H69" s="245" t="s">
        <v>1825</v>
      </c>
      <c r="I69" s="405"/>
      <c r="J69" s="242" t="s">
        <v>1825</v>
      </c>
      <c r="K69" s="243"/>
      <c r="L69" s="244"/>
      <c r="M69" s="244"/>
      <c r="N69" s="244"/>
      <c r="O69" s="408"/>
      <c r="P69" s="245" t="s">
        <v>1825</v>
      </c>
    </row>
    <row r="70" spans="1:16" ht="15.75" thickBot="1">
      <c r="A70" s="405"/>
      <c r="B70" s="242" t="s">
        <v>1826</v>
      </c>
      <c r="C70" s="243"/>
      <c r="D70" s="244"/>
      <c r="E70" s="244"/>
      <c r="F70" s="244"/>
      <c r="G70" s="408"/>
      <c r="H70" s="245" t="s">
        <v>1826</v>
      </c>
      <c r="I70" s="405"/>
      <c r="J70" s="242" t="s">
        <v>1826</v>
      </c>
      <c r="K70" s="243"/>
      <c r="L70" s="244"/>
      <c r="M70" s="244"/>
      <c r="N70" s="244"/>
      <c r="O70" s="408"/>
      <c r="P70" s="245" t="s">
        <v>1826</v>
      </c>
    </row>
    <row r="71" spans="1:16" ht="15.75" thickBot="1">
      <c r="A71" s="405"/>
      <c r="B71" s="242" t="s">
        <v>1827</v>
      </c>
      <c r="C71" s="243"/>
      <c r="D71" s="244"/>
      <c r="E71" s="244"/>
      <c r="F71" s="244"/>
      <c r="G71" s="408"/>
      <c r="H71" s="245" t="s">
        <v>1827</v>
      </c>
      <c r="I71" s="405"/>
      <c r="J71" s="242" t="s">
        <v>1827</v>
      </c>
      <c r="K71" s="243"/>
      <c r="L71" s="244"/>
      <c r="M71" s="244"/>
      <c r="N71" s="244"/>
      <c r="O71" s="408"/>
      <c r="P71" s="245" t="s">
        <v>1827</v>
      </c>
    </row>
    <row r="72" spans="1:16" ht="15.75" thickBot="1">
      <c r="A72" s="405"/>
      <c r="B72" s="242" t="s">
        <v>1828</v>
      </c>
      <c r="C72" s="243"/>
      <c r="D72" s="244"/>
      <c r="E72" s="244"/>
      <c r="F72" s="244"/>
      <c r="G72" s="408"/>
      <c r="H72" s="245" t="s">
        <v>1828</v>
      </c>
      <c r="I72" s="405"/>
      <c r="J72" s="242" t="s">
        <v>1828</v>
      </c>
      <c r="K72" s="243"/>
      <c r="L72" s="244"/>
      <c r="M72" s="244"/>
      <c r="N72" s="244"/>
      <c r="O72" s="408"/>
      <c r="P72" s="245" t="s">
        <v>1828</v>
      </c>
    </row>
    <row r="73" spans="1:16" ht="15.75" thickBot="1">
      <c r="A73" s="405"/>
      <c r="B73" s="242" t="s">
        <v>1829</v>
      </c>
      <c r="C73" s="243"/>
      <c r="D73" s="244"/>
      <c r="E73" s="244"/>
      <c r="F73" s="244"/>
      <c r="G73" s="408"/>
      <c r="H73" s="245" t="s">
        <v>1829</v>
      </c>
      <c r="I73" s="405"/>
      <c r="J73" s="242" t="s">
        <v>1829</v>
      </c>
      <c r="K73" s="243"/>
      <c r="L73" s="244"/>
      <c r="M73" s="244"/>
      <c r="N73" s="244"/>
      <c r="O73" s="408"/>
      <c r="P73" s="245" t="s">
        <v>1829</v>
      </c>
    </row>
    <row r="74" spans="1:16" ht="15.75" thickBot="1">
      <c r="A74" s="405"/>
      <c r="B74" s="242" t="s">
        <v>1830</v>
      </c>
      <c r="C74" s="243"/>
      <c r="D74" s="244"/>
      <c r="E74" s="244"/>
      <c r="F74" s="244"/>
      <c r="G74" s="408"/>
      <c r="H74" s="245" t="s">
        <v>1830</v>
      </c>
      <c r="I74" s="405"/>
      <c r="J74" s="242" t="s">
        <v>1830</v>
      </c>
      <c r="K74" s="243"/>
      <c r="L74" s="244"/>
      <c r="M74" s="244"/>
      <c r="N74" s="244"/>
      <c r="O74" s="408"/>
      <c r="P74" s="245" t="s">
        <v>1830</v>
      </c>
    </row>
    <row r="75" spans="1:16" ht="15.75" thickBot="1">
      <c r="A75" s="405"/>
      <c r="B75" s="242" t="s">
        <v>1831</v>
      </c>
      <c r="C75" s="243"/>
      <c r="D75" s="244"/>
      <c r="E75" s="244"/>
      <c r="F75" s="244"/>
      <c r="G75" s="408"/>
      <c r="H75" s="245" t="s">
        <v>1831</v>
      </c>
      <c r="I75" s="405"/>
      <c r="J75" s="242" t="s">
        <v>1831</v>
      </c>
      <c r="K75" s="243"/>
      <c r="L75" s="244"/>
      <c r="M75" s="244"/>
      <c r="N75" s="244"/>
      <c r="O75" s="408"/>
      <c r="P75" s="245" t="s">
        <v>1831</v>
      </c>
    </row>
    <row r="76" spans="1:16" ht="15.75" thickBot="1">
      <c r="A76" s="405"/>
      <c r="B76" s="242" t="s">
        <v>1832</v>
      </c>
      <c r="C76" s="243"/>
      <c r="D76" s="244"/>
      <c r="E76" s="244"/>
      <c r="F76" s="244"/>
      <c r="G76" s="408"/>
      <c r="H76" s="245" t="s">
        <v>1832</v>
      </c>
      <c r="I76" s="405"/>
      <c r="J76" s="242" t="s">
        <v>1832</v>
      </c>
      <c r="K76" s="243"/>
      <c r="L76" s="244"/>
      <c r="M76" s="244"/>
      <c r="N76" s="244"/>
      <c r="O76" s="408"/>
      <c r="P76" s="245" t="s">
        <v>1832</v>
      </c>
    </row>
    <row r="77" spans="1:16" ht="15.75" thickBot="1">
      <c r="A77" s="405"/>
      <c r="B77" s="242" t="s">
        <v>1833</v>
      </c>
      <c r="C77" s="243"/>
      <c r="D77" s="244"/>
      <c r="E77" s="244"/>
      <c r="F77" s="244"/>
      <c r="G77" s="408"/>
      <c r="H77" s="245" t="s">
        <v>1833</v>
      </c>
      <c r="I77" s="405"/>
      <c r="J77" s="242" t="s">
        <v>1833</v>
      </c>
      <c r="K77" s="243"/>
      <c r="L77" s="244"/>
      <c r="M77" s="244"/>
      <c r="N77" s="244"/>
      <c r="O77" s="408"/>
      <c r="P77" s="245" t="s">
        <v>1833</v>
      </c>
    </row>
    <row r="78" spans="1:16" ht="26.25" thickBot="1">
      <c r="A78" s="406"/>
      <c r="B78" s="242" t="s">
        <v>1834</v>
      </c>
      <c r="C78" s="243"/>
      <c r="D78" s="244"/>
      <c r="E78" s="244"/>
      <c r="F78" s="244"/>
      <c r="G78" s="409"/>
      <c r="H78" s="245" t="s">
        <v>1835</v>
      </c>
      <c r="I78" s="406"/>
      <c r="J78" s="242" t="s">
        <v>1834</v>
      </c>
      <c r="K78" s="243"/>
      <c r="L78" s="244"/>
      <c r="M78" s="244"/>
      <c r="N78" s="244"/>
      <c r="O78" s="409"/>
      <c r="P78" s="245" t="s">
        <v>1835</v>
      </c>
    </row>
    <row r="79" spans="1:16" ht="15.75" thickBot="1">
      <c r="A79" s="404" t="s">
        <v>2148</v>
      </c>
      <c r="B79" s="242" t="s">
        <v>1822</v>
      </c>
      <c r="C79" s="243"/>
      <c r="D79" s="244"/>
      <c r="E79" s="244"/>
      <c r="F79" s="244"/>
      <c r="G79" s="407" t="s">
        <v>2148</v>
      </c>
      <c r="H79" s="245" t="s">
        <v>1822</v>
      </c>
      <c r="I79" s="404" t="s">
        <v>2148</v>
      </c>
      <c r="J79" s="242" t="s">
        <v>1822</v>
      </c>
      <c r="K79" s="243"/>
      <c r="L79" s="244"/>
      <c r="M79" s="244"/>
      <c r="N79" s="244"/>
      <c r="O79" s="407" t="s">
        <v>2148</v>
      </c>
      <c r="P79" s="245" t="s">
        <v>1822</v>
      </c>
    </row>
    <row r="80" spans="1:16" ht="15.75" thickBot="1">
      <c r="A80" s="405"/>
      <c r="B80" s="242" t="s">
        <v>1824</v>
      </c>
      <c r="C80" s="243"/>
      <c r="D80" s="244"/>
      <c r="E80" s="244"/>
      <c r="F80" s="244"/>
      <c r="G80" s="408"/>
      <c r="H80" s="245" t="s">
        <v>1824</v>
      </c>
      <c r="I80" s="405"/>
      <c r="J80" s="242" t="s">
        <v>1824</v>
      </c>
      <c r="K80" s="243"/>
      <c r="L80" s="244"/>
      <c r="M80" s="244"/>
      <c r="N80" s="244"/>
      <c r="O80" s="408"/>
      <c r="P80" s="245" t="s">
        <v>1824</v>
      </c>
    </row>
    <row r="81" spans="1:16" ht="15.75" thickBot="1">
      <c r="A81" s="405"/>
      <c r="B81" s="242" t="s">
        <v>1825</v>
      </c>
      <c r="C81" s="243"/>
      <c r="D81" s="244"/>
      <c r="E81" s="244"/>
      <c r="F81" s="244"/>
      <c r="G81" s="408"/>
      <c r="H81" s="245" t="s">
        <v>1825</v>
      </c>
      <c r="I81" s="405"/>
      <c r="J81" s="242" t="s">
        <v>1825</v>
      </c>
      <c r="K81" s="243"/>
      <c r="L81" s="244"/>
      <c r="M81" s="244"/>
      <c r="N81" s="244"/>
      <c r="O81" s="408"/>
      <c r="P81" s="245" t="s">
        <v>1825</v>
      </c>
    </row>
    <row r="82" spans="1:16" ht="15.75" thickBot="1">
      <c r="A82" s="405"/>
      <c r="B82" s="242" t="s">
        <v>1826</v>
      </c>
      <c r="C82" s="243"/>
      <c r="D82" s="244"/>
      <c r="E82" s="244"/>
      <c r="F82" s="244"/>
      <c r="G82" s="408"/>
      <c r="H82" s="245" t="s">
        <v>1826</v>
      </c>
      <c r="I82" s="405"/>
      <c r="J82" s="242" t="s">
        <v>1826</v>
      </c>
      <c r="K82" s="243"/>
      <c r="L82" s="244"/>
      <c r="M82" s="244"/>
      <c r="N82" s="244"/>
      <c r="O82" s="408"/>
      <c r="P82" s="245" t="s">
        <v>1826</v>
      </c>
    </row>
    <row r="83" spans="1:16" ht="15.75" thickBot="1">
      <c r="A83" s="405"/>
      <c r="B83" s="242" t="s">
        <v>1827</v>
      </c>
      <c r="C83" s="243"/>
      <c r="D83" s="244"/>
      <c r="E83" s="244"/>
      <c r="F83" s="244"/>
      <c r="G83" s="408"/>
      <c r="H83" s="245" t="s">
        <v>1827</v>
      </c>
      <c r="I83" s="405"/>
      <c r="J83" s="242" t="s">
        <v>1827</v>
      </c>
      <c r="K83" s="243"/>
      <c r="L83" s="244"/>
      <c r="M83" s="244"/>
      <c r="N83" s="244"/>
      <c r="O83" s="408"/>
      <c r="P83" s="245" t="s">
        <v>1827</v>
      </c>
    </row>
    <row r="84" spans="1:16" ht="15.75" thickBot="1">
      <c r="A84" s="405"/>
      <c r="B84" s="242" t="s">
        <v>1828</v>
      </c>
      <c r="C84" s="243"/>
      <c r="D84" s="244"/>
      <c r="E84" s="244"/>
      <c r="F84" s="244"/>
      <c r="G84" s="408"/>
      <c r="H84" s="245" t="s">
        <v>1828</v>
      </c>
      <c r="I84" s="405"/>
      <c r="J84" s="242" t="s">
        <v>1828</v>
      </c>
      <c r="K84" s="243"/>
      <c r="L84" s="244"/>
      <c r="M84" s="244"/>
      <c r="N84" s="244"/>
      <c r="O84" s="408"/>
      <c r="P84" s="245" t="s">
        <v>1828</v>
      </c>
    </row>
    <row r="85" spans="1:16" ht="15.75" thickBot="1">
      <c r="A85" s="405"/>
      <c r="B85" s="242" t="s">
        <v>1829</v>
      </c>
      <c r="C85" s="243"/>
      <c r="D85" s="244"/>
      <c r="E85" s="244"/>
      <c r="F85" s="244"/>
      <c r="G85" s="408"/>
      <c r="H85" s="245" t="s">
        <v>1829</v>
      </c>
      <c r="I85" s="405"/>
      <c r="J85" s="242" t="s">
        <v>1829</v>
      </c>
      <c r="K85" s="243"/>
      <c r="L85" s="244"/>
      <c r="M85" s="244"/>
      <c r="N85" s="244"/>
      <c r="O85" s="408"/>
      <c r="P85" s="245" t="s">
        <v>1829</v>
      </c>
    </row>
    <row r="86" spans="1:16" ht="15.75" thickBot="1">
      <c r="A86" s="405"/>
      <c r="B86" s="242" t="s">
        <v>1830</v>
      </c>
      <c r="C86" s="243"/>
      <c r="D86" s="244"/>
      <c r="E86" s="244"/>
      <c r="F86" s="244"/>
      <c r="G86" s="408"/>
      <c r="H86" s="245" t="s">
        <v>1830</v>
      </c>
      <c r="I86" s="405"/>
      <c r="J86" s="242" t="s">
        <v>1830</v>
      </c>
      <c r="K86" s="243"/>
      <c r="L86" s="244"/>
      <c r="M86" s="244"/>
      <c r="N86" s="244"/>
      <c r="O86" s="408"/>
      <c r="P86" s="245" t="s">
        <v>1830</v>
      </c>
    </row>
    <row r="87" spans="1:16" ht="15.75" thickBot="1">
      <c r="A87" s="405"/>
      <c r="B87" s="242" t="s">
        <v>1831</v>
      </c>
      <c r="C87" s="243"/>
      <c r="D87" s="244"/>
      <c r="E87" s="244"/>
      <c r="F87" s="244"/>
      <c r="G87" s="408"/>
      <c r="H87" s="245" t="s">
        <v>1831</v>
      </c>
      <c r="I87" s="405"/>
      <c r="J87" s="242" t="s">
        <v>1831</v>
      </c>
      <c r="K87" s="243"/>
      <c r="L87" s="244"/>
      <c r="M87" s="244"/>
      <c r="N87" s="244"/>
      <c r="O87" s="408"/>
      <c r="P87" s="245" t="s">
        <v>1831</v>
      </c>
    </row>
    <row r="88" spans="1:16" ht="15.75" thickBot="1">
      <c r="A88" s="405"/>
      <c r="B88" s="242" t="s">
        <v>1832</v>
      </c>
      <c r="C88" s="243"/>
      <c r="D88" s="244"/>
      <c r="E88" s="244"/>
      <c r="F88" s="244"/>
      <c r="G88" s="408"/>
      <c r="H88" s="245" t="s">
        <v>1832</v>
      </c>
      <c r="I88" s="405"/>
      <c r="J88" s="242" t="s">
        <v>1832</v>
      </c>
      <c r="K88" s="243"/>
      <c r="L88" s="244"/>
      <c r="M88" s="244"/>
      <c r="N88" s="244"/>
      <c r="O88" s="408"/>
      <c r="P88" s="245" t="s">
        <v>1832</v>
      </c>
    </row>
    <row r="89" spans="1:16" ht="15.75" thickBot="1">
      <c r="A89" s="405"/>
      <c r="B89" s="242" t="s">
        <v>1833</v>
      </c>
      <c r="C89" s="243"/>
      <c r="D89" s="244"/>
      <c r="E89" s="244"/>
      <c r="F89" s="244"/>
      <c r="G89" s="408"/>
      <c r="H89" s="245" t="s">
        <v>1833</v>
      </c>
      <c r="I89" s="405"/>
      <c r="J89" s="242" t="s">
        <v>1833</v>
      </c>
      <c r="K89" s="243"/>
      <c r="L89" s="244"/>
      <c r="M89" s="244"/>
      <c r="N89" s="244"/>
      <c r="O89" s="408"/>
      <c r="P89" s="245" t="s">
        <v>1833</v>
      </c>
    </row>
    <row r="90" spans="1:16" ht="26.25" thickBot="1">
      <c r="A90" s="406"/>
      <c r="B90" s="242" t="s">
        <v>1834</v>
      </c>
      <c r="C90" s="243"/>
      <c r="D90" s="244"/>
      <c r="E90" s="244"/>
      <c r="F90" s="244"/>
      <c r="G90" s="409"/>
      <c r="H90" s="245" t="s">
        <v>1835</v>
      </c>
      <c r="I90" s="406"/>
      <c r="J90" s="242" t="s">
        <v>1834</v>
      </c>
      <c r="K90" s="243"/>
      <c r="L90" s="244"/>
      <c r="M90" s="244"/>
      <c r="N90" s="244"/>
      <c r="O90" s="409"/>
      <c r="P90" s="245" t="s">
        <v>1835</v>
      </c>
    </row>
    <row r="91" spans="1:16" ht="15.75" thickBot="1">
      <c r="A91" s="404" t="s">
        <v>2149</v>
      </c>
      <c r="B91" s="242" t="s">
        <v>1822</v>
      </c>
      <c r="C91" s="243"/>
      <c r="D91" s="244"/>
      <c r="E91" s="244"/>
      <c r="F91" s="244"/>
      <c r="G91" s="407" t="s">
        <v>2149</v>
      </c>
      <c r="H91" s="245" t="s">
        <v>1822</v>
      </c>
      <c r="I91" s="404" t="s">
        <v>2149</v>
      </c>
      <c r="J91" s="242" t="s">
        <v>1822</v>
      </c>
      <c r="K91" s="243"/>
      <c r="L91" s="244"/>
      <c r="M91" s="244"/>
      <c r="N91" s="244"/>
      <c r="O91" s="407" t="s">
        <v>2149</v>
      </c>
      <c r="P91" s="245" t="s">
        <v>1822</v>
      </c>
    </row>
    <row r="92" spans="1:16" ht="15.75" thickBot="1">
      <c r="A92" s="405"/>
      <c r="B92" s="242" t="s">
        <v>1824</v>
      </c>
      <c r="C92" s="243"/>
      <c r="D92" s="244"/>
      <c r="E92" s="244"/>
      <c r="F92" s="244"/>
      <c r="G92" s="408"/>
      <c r="H92" s="245" t="s">
        <v>1824</v>
      </c>
      <c r="I92" s="405"/>
      <c r="J92" s="242" t="s">
        <v>1824</v>
      </c>
      <c r="K92" s="243"/>
      <c r="L92" s="244"/>
      <c r="M92" s="244"/>
      <c r="N92" s="244"/>
      <c r="O92" s="408"/>
      <c r="P92" s="245" t="s">
        <v>1824</v>
      </c>
    </row>
    <row r="93" spans="1:16" ht="15.75" thickBot="1">
      <c r="A93" s="405"/>
      <c r="B93" s="242" t="s">
        <v>1825</v>
      </c>
      <c r="C93" s="243"/>
      <c r="D93" s="244"/>
      <c r="E93" s="244"/>
      <c r="F93" s="244"/>
      <c r="G93" s="408"/>
      <c r="H93" s="245" t="s">
        <v>1825</v>
      </c>
      <c r="I93" s="405"/>
      <c r="J93" s="242" t="s">
        <v>1825</v>
      </c>
      <c r="K93" s="243"/>
      <c r="L93" s="244"/>
      <c r="M93" s="244"/>
      <c r="N93" s="244"/>
      <c r="O93" s="408"/>
      <c r="P93" s="245" t="s">
        <v>1825</v>
      </c>
    </row>
    <row r="94" spans="1:16" ht="15.75" thickBot="1">
      <c r="A94" s="405"/>
      <c r="B94" s="242" t="s">
        <v>1826</v>
      </c>
      <c r="C94" s="243"/>
      <c r="D94" s="244"/>
      <c r="E94" s="244"/>
      <c r="F94" s="244"/>
      <c r="G94" s="408"/>
      <c r="H94" s="245" t="s">
        <v>1826</v>
      </c>
      <c r="I94" s="405"/>
      <c r="J94" s="242" t="s">
        <v>1826</v>
      </c>
      <c r="K94" s="243"/>
      <c r="L94" s="244"/>
      <c r="M94" s="244"/>
      <c r="N94" s="244"/>
      <c r="O94" s="408"/>
      <c r="P94" s="245" t="s">
        <v>1826</v>
      </c>
    </row>
    <row r="95" spans="1:16" ht="15.75" thickBot="1">
      <c r="A95" s="405"/>
      <c r="B95" s="242" t="s">
        <v>1827</v>
      </c>
      <c r="C95" s="243"/>
      <c r="D95" s="244"/>
      <c r="E95" s="244"/>
      <c r="F95" s="244"/>
      <c r="G95" s="408"/>
      <c r="H95" s="245" t="s">
        <v>1827</v>
      </c>
      <c r="I95" s="405"/>
      <c r="J95" s="242" t="s">
        <v>1827</v>
      </c>
      <c r="K95" s="243"/>
      <c r="L95" s="244"/>
      <c r="M95" s="244"/>
      <c r="N95" s="244"/>
      <c r="O95" s="408"/>
      <c r="P95" s="245" t="s">
        <v>1827</v>
      </c>
    </row>
    <row r="96" spans="1:16" ht="15.75" thickBot="1">
      <c r="A96" s="405"/>
      <c r="B96" s="242" t="s">
        <v>1828</v>
      </c>
      <c r="C96" s="243"/>
      <c r="D96" s="244"/>
      <c r="E96" s="244"/>
      <c r="F96" s="244"/>
      <c r="G96" s="408"/>
      <c r="H96" s="245" t="s">
        <v>1828</v>
      </c>
      <c r="I96" s="405"/>
      <c r="J96" s="242" t="s">
        <v>1828</v>
      </c>
      <c r="K96" s="243"/>
      <c r="L96" s="244"/>
      <c r="M96" s="244"/>
      <c r="N96" s="244"/>
      <c r="O96" s="408"/>
      <c r="P96" s="245" t="s">
        <v>1828</v>
      </c>
    </row>
    <row r="97" spans="1:16" ht="15.75" thickBot="1">
      <c r="A97" s="405"/>
      <c r="B97" s="242" t="s">
        <v>1829</v>
      </c>
      <c r="C97" s="243"/>
      <c r="D97" s="244"/>
      <c r="E97" s="244"/>
      <c r="F97" s="244"/>
      <c r="G97" s="408"/>
      <c r="H97" s="245" t="s">
        <v>1829</v>
      </c>
      <c r="I97" s="405"/>
      <c r="J97" s="242" t="s">
        <v>1829</v>
      </c>
      <c r="K97" s="243"/>
      <c r="L97" s="244"/>
      <c r="M97" s="244"/>
      <c r="N97" s="244"/>
      <c r="O97" s="408"/>
      <c r="P97" s="245" t="s">
        <v>1829</v>
      </c>
    </row>
    <row r="98" spans="1:16" ht="15.75" thickBot="1">
      <c r="A98" s="405"/>
      <c r="B98" s="242" t="s">
        <v>1830</v>
      </c>
      <c r="C98" s="243"/>
      <c r="D98" s="244"/>
      <c r="E98" s="244"/>
      <c r="F98" s="244"/>
      <c r="G98" s="408"/>
      <c r="H98" s="245" t="s">
        <v>1830</v>
      </c>
      <c r="I98" s="405"/>
      <c r="J98" s="242" t="s">
        <v>1830</v>
      </c>
      <c r="K98" s="243"/>
      <c r="L98" s="244"/>
      <c r="M98" s="244"/>
      <c r="N98" s="244"/>
      <c r="O98" s="408"/>
      <c r="P98" s="245" t="s">
        <v>1830</v>
      </c>
    </row>
    <row r="99" spans="1:16" ht="15.75" thickBot="1">
      <c r="A99" s="405"/>
      <c r="B99" s="242" t="s">
        <v>1831</v>
      </c>
      <c r="C99" s="243"/>
      <c r="D99" s="244"/>
      <c r="E99" s="244"/>
      <c r="F99" s="244"/>
      <c r="G99" s="408"/>
      <c r="H99" s="245" t="s">
        <v>1831</v>
      </c>
      <c r="I99" s="405"/>
      <c r="J99" s="242" t="s">
        <v>1831</v>
      </c>
      <c r="K99" s="243"/>
      <c r="L99" s="244"/>
      <c r="M99" s="244"/>
      <c r="N99" s="244"/>
      <c r="O99" s="408"/>
      <c r="P99" s="245" t="s">
        <v>1831</v>
      </c>
    </row>
    <row r="100" spans="1:16" ht="15.75" thickBot="1">
      <c r="A100" s="405"/>
      <c r="B100" s="242" t="s">
        <v>1832</v>
      </c>
      <c r="C100" s="243"/>
      <c r="D100" s="244"/>
      <c r="E100" s="244"/>
      <c r="F100" s="244"/>
      <c r="G100" s="408"/>
      <c r="H100" s="245" t="s">
        <v>1832</v>
      </c>
      <c r="I100" s="405"/>
      <c r="J100" s="242" t="s">
        <v>1832</v>
      </c>
      <c r="K100" s="243"/>
      <c r="L100" s="244"/>
      <c r="M100" s="244"/>
      <c r="N100" s="244"/>
      <c r="O100" s="408"/>
      <c r="P100" s="245" t="s">
        <v>1832</v>
      </c>
    </row>
    <row r="101" spans="1:16" ht="15.75" thickBot="1">
      <c r="A101" s="405"/>
      <c r="B101" s="242" t="s">
        <v>1833</v>
      </c>
      <c r="C101" s="243"/>
      <c r="D101" s="244"/>
      <c r="E101" s="244"/>
      <c r="F101" s="244"/>
      <c r="G101" s="408"/>
      <c r="H101" s="245" t="s">
        <v>1833</v>
      </c>
      <c r="I101" s="405"/>
      <c r="J101" s="242" t="s">
        <v>1833</v>
      </c>
      <c r="K101" s="243"/>
      <c r="L101" s="244"/>
      <c r="M101" s="244"/>
      <c r="N101" s="244"/>
      <c r="O101" s="408"/>
      <c r="P101" s="245" t="s">
        <v>1833</v>
      </c>
    </row>
    <row r="102" spans="1:16" ht="26.25" thickBot="1">
      <c r="A102" s="406"/>
      <c r="B102" s="242" t="s">
        <v>1834</v>
      </c>
      <c r="C102" s="243"/>
      <c r="D102" s="244"/>
      <c r="E102" s="244"/>
      <c r="F102" s="244"/>
      <c r="G102" s="409"/>
      <c r="H102" s="245" t="s">
        <v>1835</v>
      </c>
      <c r="I102" s="406"/>
      <c r="J102" s="242" t="s">
        <v>1834</v>
      </c>
      <c r="K102" s="243"/>
      <c r="L102" s="244"/>
      <c r="M102" s="244"/>
      <c r="N102" s="244"/>
      <c r="O102" s="409"/>
      <c r="P102" s="245" t="s">
        <v>1835</v>
      </c>
    </row>
    <row r="103" spans="1:16" ht="15.75" thickBot="1">
      <c r="A103" s="404" t="s">
        <v>2150</v>
      </c>
      <c r="B103" s="242" t="s">
        <v>1822</v>
      </c>
      <c r="C103" s="243"/>
      <c r="D103" s="244"/>
      <c r="E103" s="244"/>
      <c r="F103" s="244"/>
      <c r="G103" s="407" t="s">
        <v>2150</v>
      </c>
      <c r="H103" s="245" t="s">
        <v>1822</v>
      </c>
      <c r="I103" s="404" t="s">
        <v>2150</v>
      </c>
      <c r="J103" s="242" t="s">
        <v>1822</v>
      </c>
      <c r="K103" s="243"/>
      <c r="L103" s="244"/>
      <c r="M103" s="244"/>
      <c r="N103" s="244"/>
      <c r="O103" s="407" t="s">
        <v>2150</v>
      </c>
      <c r="P103" s="245" t="s">
        <v>1822</v>
      </c>
    </row>
    <row r="104" spans="1:16" ht="15.75" thickBot="1">
      <c r="A104" s="405"/>
      <c r="B104" s="242" t="s">
        <v>1824</v>
      </c>
      <c r="C104" s="243"/>
      <c r="D104" s="244"/>
      <c r="E104" s="244"/>
      <c r="F104" s="244"/>
      <c r="G104" s="408"/>
      <c r="H104" s="245" t="s">
        <v>1824</v>
      </c>
      <c r="I104" s="405"/>
      <c r="J104" s="242" t="s">
        <v>1824</v>
      </c>
      <c r="K104" s="243"/>
      <c r="L104" s="244"/>
      <c r="M104" s="244"/>
      <c r="N104" s="244"/>
      <c r="O104" s="408"/>
      <c r="P104" s="245" t="s">
        <v>1824</v>
      </c>
    </row>
    <row r="105" spans="1:16" ht="15.75" thickBot="1">
      <c r="A105" s="405"/>
      <c r="B105" s="242" t="s">
        <v>1825</v>
      </c>
      <c r="C105" s="243"/>
      <c r="D105" s="244"/>
      <c r="E105" s="244"/>
      <c r="F105" s="244"/>
      <c r="G105" s="408"/>
      <c r="H105" s="245" t="s">
        <v>1825</v>
      </c>
      <c r="I105" s="405"/>
      <c r="J105" s="242" t="s">
        <v>1825</v>
      </c>
      <c r="K105" s="243"/>
      <c r="L105" s="244"/>
      <c r="M105" s="244"/>
      <c r="N105" s="244"/>
      <c r="O105" s="408"/>
      <c r="P105" s="245" t="s">
        <v>1825</v>
      </c>
    </row>
    <row r="106" spans="1:16" ht="15.75" thickBot="1">
      <c r="A106" s="405"/>
      <c r="B106" s="242" t="s">
        <v>1826</v>
      </c>
      <c r="C106" s="243"/>
      <c r="D106" s="244"/>
      <c r="E106" s="244"/>
      <c r="F106" s="244"/>
      <c r="G106" s="408"/>
      <c r="H106" s="245" t="s">
        <v>1826</v>
      </c>
      <c r="I106" s="405"/>
      <c r="J106" s="242" t="s">
        <v>1826</v>
      </c>
      <c r="K106" s="243"/>
      <c r="L106" s="244"/>
      <c r="M106" s="244"/>
      <c r="N106" s="244"/>
      <c r="O106" s="408"/>
      <c r="P106" s="245" t="s">
        <v>1826</v>
      </c>
    </row>
    <row r="107" spans="1:16" ht="15.75" thickBot="1">
      <c r="A107" s="405"/>
      <c r="B107" s="242" t="s">
        <v>1827</v>
      </c>
      <c r="C107" s="243"/>
      <c r="D107" s="244"/>
      <c r="E107" s="244"/>
      <c r="F107" s="244"/>
      <c r="G107" s="408"/>
      <c r="H107" s="245" t="s">
        <v>1827</v>
      </c>
      <c r="I107" s="405"/>
      <c r="J107" s="242" t="s">
        <v>1827</v>
      </c>
      <c r="K107" s="243"/>
      <c r="L107" s="244"/>
      <c r="M107" s="244"/>
      <c r="N107" s="244"/>
      <c r="O107" s="408"/>
      <c r="P107" s="245" t="s">
        <v>1827</v>
      </c>
    </row>
    <row r="108" spans="1:16" ht="15.75" thickBot="1">
      <c r="A108" s="405"/>
      <c r="B108" s="242" t="s">
        <v>1828</v>
      </c>
      <c r="C108" s="243"/>
      <c r="D108" s="244"/>
      <c r="E108" s="244"/>
      <c r="F108" s="244"/>
      <c r="G108" s="408"/>
      <c r="H108" s="245" t="s">
        <v>1828</v>
      </c>
      <c r="I108" s="405"/>
      <c r="J108" s="242" t="s">
        <v>1828</v>
      </c>
      <c r="K108" s="243"/>
      <c r="L108" s="244"/>
      <c r="M108" s="244"/>
      <c r="N108" s="244"/>
      <c r="O108" s="408"/>
      <c r="P108" s="245" t="s">
        <v>1828</v>
      </c>
    </row>
    <row r="109" spans="1:16" ht="15.75" thickBot="1">
      <c r="A109" s="405"/>
      <c r="B109" s="242" t="s">
        <v>1829</v>
      </c>
      <c r="C109" s="243"/>
      <c r="D109" s="244"/>
      <c r="E109" s="244"/>
      <c r="F109" s="244"/>
      <c r="G109" s="408"/>
      <c r="H109" s="245" t="s">
        <v>1829</v>
      </c>
      <c r="I109" s="405"/>
      <c r="J109" s="242" t="s">
        <v>1829</v>
      </c>
      <c r="K109" s="243"/>
      <c r="L109" s="244"/>
      <c r="M109" s="244"/>
      <c r="N109" s="244"/>
      <c r="O109" s="408"/>
      <c r="P109" s="245" t="s">
        <v>1829</v>
      </c>
    </row>
    <row r="110" spans="1:16" ht="15.75" thickBot="1">
      <c r="A110" s="405"/>
      <c r="B110" s="242" t="s">
        <v>1830</v>
      </c>
      <c r="C110" s="243"/>
      <c r="D110" s="244"/>
      <c r="E110" s="244"/>
      <c r="F110" s="244"/>
      <c r="G110" s="408"/>
      <c r="H110" s="245" t="s">
        <v>1830</v>
      </c>
      <c r="I110" s="405"/>
      <c r="J110" s="242" t="s">
        <v>1830</v>
      </c>
      <c r="K110" s="243"/>
      <c r="L110" s="244"/>
      <c r="M110" s="244"/>
      <c r="N110" s="244"/>
      <c r="O110" s="408"/>
      <c r="P110" s="245" t="s">
        <v>1830</v>
      </c>
    </row>
    <row r="111" spans="1:16" ht="15.75" thickBot="1">
      <c r="A111" s="405"/>
      <c r="B111" s="242" t="s">
        <v>1831</v>
      </c>
      <c r="C111" s="243"/>
      <c r="D111" s="244"/>
      <c r="E111" s="244"/>
      <c r="F111" s="244"/>
      <c r="G111" s="408"/>
      <c r="H111" s="245" t="s">
        <v>1831</v>
      </c>
      <c r="I111" s="405"/>
      <c r="J111" s="242" t="s">
        <v>1831</v>
      </c>
      <c r="K111" s="243"/>
      <c r="L111" s="244"/>
      <c r="M111" s="244"/>
      <c r="N111" s="244"/>
      <c r="O111" s="408"/>
      <c r="P111" s="245" t="s">
        <v>1831</v>
      </c>
    </row>
    <row r="112" spans="1:16" ht="15.75" thickBot="1">
      <c r="A112" s="405"/>
      <c r="B112" s="242" t="s">
        <v>1832</v>
      </c>
      <c r="C112" s="243"/>
      <c r="D112" s="244"/>
      <c r="E112" s="244"/>
      <c r="F112" s="244"/>
      <c r="G112" s="408"/>
      <c r="H112" s="245" t="s">
        <v>1832</v>
      </c>
      <c r="I112" s="405"/>
      <c r="J112" s="242" t="s">
        <v>1832</v>
      </c>
      <c r="K112" s="243"/>
      <c r="L112" s="244"/>
      <c r="M112" s="244"/>
      <c r="N112" s="244"/>
      <c r="O112" s="408"/>
      <c r="P112" s="245" t="s">
        <v>1832</v>
      </c>
    </row>
    <row r="113" spans="1:16" ht="15.75" thickBot="1">
      <c r="A113" s="405"/>
      <c r="B113" s="242" t="s">
        <v>1833</v>
      </c>
      <c r="C113" s="243"/>
      <c r="D113" s="244"/>
      <c r="E113" s="244"/>
      <c r="F113" s="244"/>
      <c r="G113" s="408"/>
      <c r="H113" s="245" t="s">
        <v>1833</v>
      </c>
      <c r="I113" s="405"/>
      <c r="J113" s="242" t="s">
        <v>1833</v>
      </c>
      <c r="K113" s="243"/>
      <c r="L113" s="244"/>
      <c r="M113" s="244"/>
      <c r="N113" s="244"/>
      <c r="O113" s="408"/>
      <c r="P113" s="245" t="s">
        <v>1833</v>
      </c>
    </row>
    <row r="114" spans="1:16" ht="26.25" thickBot="1">
      <c r="A114" s="406"/>
      <c r="B114" s="242" t="s">
        <v>1834</v>
      </c>
      <c r="C114" s="243"/>
      <c r="D114" s="244"/>
      <c r="E114" s="244"/>
      <c r="F114" s="244"/>
      <c r="G114" s="409"/>
      <c r="H114" s="245" t="s">
        <v>1835</v>
      </c>
      <c r="I114" s="406"/>
      <c r="J114" s="242" t="s">
        <v>1834</v>
      </c>
      <c r="K114" s="243"/>
      <c r="L114" s="244"/>
      <c r="M114" s="244"/>
      <c r="N114" s="244"/>
      <c r="O114" s="409"/>
      <c r="P114" s="245" t="s">
        <v>1835</v>
      </c>
    </row>
    <row r="115" spans="1:16" ht="15.75" thickBot="1">
      <c r="A115" s="404" t="s">
        <v>2151</v>
      </c>
      <c r="B115" s="242" t="s">
        <v>1822</v>
      </c>
      <c r="C115" s="243"/>
      <c r="D115" s="244"/>
      <c r="E115" s="244"/>
      <c r="F115" s="244"/>
      <c r="G115" s="407" t="s">
        <v>2151</v>
      </c>
      <c r="H115" s="245" t="s">
        <v>1822</v>
      </c>
      <c r="I115" s="404" t="s">
        <v>2151</v>
      </c>
      <c r="J115" s="242" t="s">
        <v>1822</v>
      </c>
      <c r="K115" s="243"/>
      <c r="L115" s="244"/>
      <c r="M115" s="244"/>
      <c r="N115" s="244"/>
      <c r="O115" s="407" t="s">
        <v>2151</v>
      </c>
      <c r="P115" s="245" t="s">
        <v>1822</v>
      </c>
    </row>
    <row r="116" spans="1:16" ht="15.75" thickBot="1">
      <c r="A116" s="405"/>
      <c r="B116" s="242" t="s">
        <v>1824</v>
      </c>
      <c r="C116" s="243"/>
      <c r="D116" s="244"/>
      <c r="E116" s="244"/>
      <c r="F116" s="244"/>
      <c r="G116" s="408"/>
      <c r="H116" s="245" t="s">
        <v>1824</v>
      </c>
      <c r="I116" s="405"/>
      <c r="J116" s="242" t="s">
        <v>1824</v>
      </c>
      <c r="K116" s="243"/>
      <c r="L116" s="244"/>
      <c r="M116" s="244"/>
      <c r="N116" s="244"/>
      <c r="O116" s="408"/>
      <c r="P116" s="245" t="s">
        <v>1824</v>
      </c>
    </row>
    <row r="117" spans="1:16" ht="15.75" thickBot="1">
      <c r="A117" s="405"/>
      <c r="B117" s="242" t="s">
        <v>1825</v>
      </c>
      <c r="C117" s="243"/>
      <c r="D117" s="244"/>
      <c r="E117" s="244"/>
      <c r="F117" s="244"/>
      <c r="G117" s="408"/>
      <c r="H117" s="245" t="s">
        <v>1825</v>
      </c>
      <c r="I117" s="405"/>
      <c r="J117" s="242" t="s">
        <v>1825</v>
      </c>
      <c r="K117" s="243"/>
      <c r="L117" s="244"/>
      <c r="M117" s="244"/>
      <c r="N117" s="244"/>
      <c r="O117" s="408"/>
      <c r="P117" s="245" t="s">
        <v>1825</v>
      </c>
    </row>
    <row r="118" spans="1:16" ht="15.75" thickBot="1">
      <c r="A118" s="405"/>
      <c r="B118" s="242" t="s">
        <v>1826</v>
      </c>
      <c r="C118" s="243"/>
      <c r="D118" s="244"/>
      <c r="E118" s="244"/>
      <c r="F118" s="244"/>
      <c r="G118" s="408"/>
      <c r="H118" s="245" t="s">
        <v>1826</v>
      </c>
      <c r="I118" s="405"/>
      <c r="J118" s="242" t="s">
        <v>1826</v>
      </c>
      <c r="K118" s="243"/>
      <c r="L118" s="244"/>
      <c r="M118" s="244"/>
      <c r="N118" s="244"/>
      <c r="O118" s="408"/>
      <c r="P118" s="245" t="s">
        <v>1826</v>
      </c>
    </row>
    <row r="119" spans="1:16" ht="15.75" thickBot="1">
      <c r="A119" s="405"/>
      <c r="B119" s="242" t="s">
        <v>1827</v>
      </c>
      <c r="C119" s="243"/>
      <c r="D119" s="244"/>
      <c r="E119" s="244"/>
      <c r="F119" s="244"/>
      <c r="G119" s="408"/>
      <c r="H119" s="245" t="s">
        <v>1827</v>
      </c>
      <c r="I119" s="405"/>
      <c r="J119" s="242" t="s">
        <v>1827</v>
      </c>
      <c r="K119" s="243"/>
      <c r="L119" s="244"/>
      <c r="M119" s="244"/>
      <c r="N119" s="244"/>
      <c r="O119" s="408"/>
      <c r="P119" s="245" t="s">
        <v>1827</v>
      </c>
    </row>
    <row r="120" spans="1:16" ht="15.75" thickBot="1">
      <c r="A120" s="405"/>
      <c r="B120" s="242" t="s">
        <v>1828</v>
      </c>
      <c r="C120" s="243"/>
      <c r="D120" s="244"/>
      <c r="E120" s="244"/>
      <c r="F120" s="244"/>
      <c r="G120" s="408"/>
      <c r="H120" s="245" t="s">
        <v>1828</v>
      </c>
      <c r="I120" s="405"/>
      <c r="J120" s="242" t="s">
        <v>1828</v>
      </c>
      <c r="K120" s="243"/>
      <c r="L120" s="244"/>
      <c r="M120" s="244"/>
      <c r="N120" s="244"/>
      <c r="O120" s="408"/>
      <c r="P120" s="245" t="s">
        <v>1828</v>
      </c>
    </row>
    <row r="121" spans="1:16" ht="15.75" thickBot="1">
      <c r="A121" s="405"/>
      <c r="B121" s="242" t="s">
        <v>1829</v>
      </c>
      <c r="C121" s="243"/>
      <c r="D121" s="244"/>
      <c r="E121" s="244"/>
      <c r="F121" s="244"/>
      <c r="G121" s="408"/>
      <c r="H121" s="245" t="s">
        <v>1829</v>
      </c>
      <c r="I121" s="405"/>
      <c r="J121" s="242" t="s">
        <v>1829</v>
      </c>
      <c r="K121" s="243"/>
      <c r="L121" s="244"/>
      <c r="M121" s="244"/>
      <c r="N121" s="244"/>
      <c r="O121" s="408"/>
      <c r="P121" s="245" t="s">
        <v>1829</v>
      </c>
    </row>
    <row r="122" spans="1:16" ht="15.75" thickBot="1">
      <c r="A122" s="405"/>
      <c r="B122" s="242" t="s">
        <v>1830</v>
      </c>
      <c r="C122" s="243"/>
      <c r="D122" s="244"/>
      <c r="E122" s="244"/>
      <c r="F122" s="244"/>
      <c r="G122" s="408"/>
      <c r="H122" s="245" t="s">
        <v>1830</v>
      </c>
      <c r="I122" s="405"/>
      <c r="J122" s="242" t="s">
        <v>1830</v>
      </c>
      <c r="K122" s="243"/>
      <c r="L122" s="244"/>
      <c r="M122" s="244"/>
      <c r="N122" s="244"/>
      <c r="O122" s="408"/>
      <c r="P122" s="245" t="s">
        <v>1830</v>
      </c>
    </row>
    <row r="123" spans="1:16" ht="15.75" thickBot="1">
      <c r="A123" s="405"/>
      <c r="B123" s="242" t="s">
        <v>1831</v>
      </c>
      <c r="C123" s="243"/>
      <c r="D123" s="244"/>
      <c r="E123" s="244"/>
      <c r="F123" s="244"/>
      <c r="G123" s="408"/>
      <c r="H123" s="245" t="s">
        <v>1831</v>
      </c>
      <c r="I123" s="405"/>
      <c r="J123" s="242" t="s">
        <v>1831</v>
      </c>
      <c r="K123" s="243"/>
      <c r="L123" s="244"/>
      <c r="M123" s="244"/>
      <c r="N123" s="244"/>
      <c r="O123" s="408"/>
      <c r="P123" s="245" t="s">
        <v>1831</v>
      </c>
    </row>
    <row r="124" spans="1:16" ht="15.75" thickBot="1">
      <c r="A124" s="405"/>
      <c r="B124" s="242" t="s">
        <v>1832</v>
      </c>
      <c r="C124" s="243"/>
      <c r="D124" s="244"/>
      <c r="E124" s="244"/>
      <c r="F124" s="244"/>
      <c r="G124" s="408"/>
      <c r="H124" s="245" t="s">
        <v>1832</v>
      </c>
      <c r="I124" s="405"/>
      <c r="J124" s="242" t="s">
        <v>1832</v>
      </c>
      <c r="K124" s="243"/>
      <c r="L124" s="244"/>
      <c r="M124" s="244"/>
      <c r="N124" s="244"/>
      <c r="O124" s="408"/>
      <c r="P124" s="245" t="s">
        <v>1832</v>
      </c>
    </row>
    <row r="125" spans="1:16" ht="15.75" thickBot="1">
      <c r="A125" s="405"/>
      <c r="B125" s="242" t="s">
        <v>1833</v>
      </c>
      <c r="C125" s="243"/>
      <c r="D125" s="244"/>
      <c r="E125" s="244"/>
      <c r="F125" s="244"/>
      <c r="G125" s="408"/>
      <c r="H125" s="245" t="s">
        <v>1833</v>
      </c>
      <c r="I125" s="405"/>
      <c r="J125" s="242" t="s">
        <v>1833</v>
      </c>
      <c r="K125" s="243"/>
      <c r="L125" s="244"/>
      <c r="M125" s="244"/>
      <c r="N125" s="244"/>
      <c r="O125" s="408"/>
      <c r="P125" s="245" t="s">
        <v>1833</v>
      </c>
    </row>
    <row r="126" spans="1:16" ht="26.25" thickBot="1">
      <c r="A126" s="406"/>
      <c r="B126" s="242" t="s">
        <v>1834</v>
      </c>
      <c r="C126" s="243"/>
      <c r="D126" s="244"/>
      <c r="E126" s="244"/>
      <c r="F126" s="244"/>
      <c r="G126" s="409"/>
      <c r="H126" s="245" t="s">
        <v>1835</v>
      </c>
      <c r="I126" s="406"/>
      <c r="J126" s="242" t="s">
        <v>1834</v>
      </c>
      <c r="K126" s="243"/>
      <c r="L126" s="244"/>
      <c r="M126" s="244"/>
      <c r="N126" s="244"/>
      <c r="O126" s="409"/>
      <c r="P126" s="245" t="s">
        <v>1835</v>
      </c>
    </row>
    <row r="127" spans="1:16" ht="15.75" thickBot="1">
      <c r="A127" s="404" t="s">
        <v>2152</v>
      </c>
      <c r="B127" s="242" t="s">
        <v>1822</v>
      </c>
      <c r="C127" s="243"/>
      <c r="D127" s="244"/>
      <c r="E127" s="244"/>
      <c r="F127" s="244"/>
      <c r="G127" s="407" t="s">
        <v>2152</v>
      </c>
      <c r="H127" s="245" t="s">
        <v>1822</v>
      </c>
      <c r="I127" s="404" t="s">
        <v>2152</v>
      </c>
      <c r="J127" s="242" t="s">
        <v>1822</v>
      </c>
      <c r="K127" s="243"/>
      <c r="L127" s="244"/>
      <c r="M127" s="244"/>
      <c r="N127" s="244"/>
      <c r="O127" s="407" t="s">
        <v>2152</v>
      </c>
      <c r="P127" s="245" t="s">
        <v>1822</v>
      </c>
    </row>
    <row r="128" spans="1:16" ht="15.75" thickBot="1">
      <c r="A128" s="405"/>
      <c r="B128" s="242" t="s">
        <v>1824</v>
      </c>
      <c r="C128" s="243"/>
      <c r="D128" s="244"/>
      <c r="E128" s="244"/>
      <c r="F128" s="244"/>
      <c r="G128" s="408"/>
      <c r="H128" s="245" t="s">
        <v>1824</v>
      </c>
      <c r="I128" s="405"/>
      <c r="J128" s="242" t="s">
        <v>1824</v>
      </c>
      <c r="K128" s="243"/>
      <c r="L128" s="244"/>
      <c r="M128" s="244"/>
      <c r="N128" s="244"/>
      <c r="O128" s="408"/>
      <c r="P128" s="245" t="s">
        <v>1824</v>
      </c>
    </row>
    <row r="129" spans="1:16" ht="15.75" thickBot="1">
      <c r="A129" s="405"/>
      <c r="B129" s="242" t="s">
        <v>1825</v>
      </c>
      <c r="C129" s="243"/>
      <c r="D129" s="244"/>
      <c r="E129" s="244"/>
      <c r="F129" s="244"/>
      <c r="G129" s="408"/>
      <c r="H129" s="245" t="s">
        <v>1825</v>
      </c>
      <c r="I129" s="405"/>
      <c r="J129" s="242" t="s">
        <v>1825</v>
      </c>
      <c r="K129" s="243"/>
      <c r="L129" s="244"/>
      <c r="M129" s="244"/>
      <c r="N129" s="244"/>
      <c r="O129" s="408"/>
      <c r="P129" s="245" t="s">
        <v>1825</v>
      </c>
    </row>
    <row r="130" spans="1:16" ht="15.75" thickBot="1">
      <c r="A130" s="405"/>
      <c r="B130" s="242" t="s">
        <v>1826</v>
      </c>
      <c r="C130" s="243"/>
      <c r="D130" s="244"/>
      <c r="E130" s="244"/>
      <c r="F130" s="244"/>
      <c r="G130" s="408"/>
      <c r="H130" s="245" t="s">
        <v>1826</v>
      </c>
      <c r="I130" s="405"/>
      <c r="J130" s="242" t="s">
        <v>1826</v>
      </c>
      <c r="K130" s="243"/>
      <c r="L130" s="244"/>
      <c r="M130" s="244"/>
      <c r="N130" s="244"/>
      <c r="O130" s="408"/>
      <c r="P130" s="245" t="s">
        <v>1826</v>
      </c>
    </row>
    <row r="131" spans="1:16" ht="15.75" thickBot="1">
      <c r="A131" s="405"/>
      <c r="B131" s="242" t="s">
        <v>1827</v>
      </c>
      <c r="C131" s="243"/>
      <c r="D131" s="244"/>
      <c r="E131" s="244"/>
      <c r="F131" s="244"/>
      <c r="G131" s="408"/>
      <c r="H131" s="245" t="s">
        <v>1827</v>
      </c>
      <c r="I131" s="405"/>
      <c r="J131" s="242" t="s">
        <v>1827</v>
      </c>
      <c r="K131" s="243"/>
      <c r="L131" s="244"/>
      <c r="M131" s="244"/>
      <c r="N131" s="244"/>
      <c r="O131" s="408"/>
      <c r="P131" s="245" t="s">
        <v>1827</v>
      </c>
    </row>
    <row r="132" spans="1:16" ht="15.75" thickBot="1">
      <c r="A132" s="405"/>
      <c r="B132" s="242" t="s">
        <v>1828</v>
      </c>
      <c r="C132" s="243"/>
      <c r="D132" s="244"/>
      <c r="E132" s="244"/>
      <c r="F132" s="244"/>
      <c r="G132" s="408"/>
      <c r="H132" s="245" t="s">
        <v>1828</v>
      </c>
      <c r="I132" s="405"/>
      <c r="J132" s="242" t="s">
        <v>1828</v>
      </c>
      <c r="K132" s="243"/>
      <c r="L132" s="244"/>
      <c r="M132" s="244"/>
      <c r="N132" s="244"/>
      <c r="O132" s="408"/>
      <c r="P132" s="245" t="s">
        <v>1828</v>
      </c>
    </row>
    <row r="133" spans="1:16" ht="15.75" thickBot="1">
      <c r="A133" s="405"/>
      <c r="B133" s="242" t="s">
        <v>1829</v>
      </c>
      <c r="C133" s="243"/>
      <c r="D133" s="244"/>
      <c r="E133" s="244"/>
      <c r="F133" s="244"/>
      <c r="G133" s="408"/>
      <c r="H133" s="245" t="s">
        <v>1829</v>
      </c>
      <c r="I133" s="405"/>
      <c r="J133" s="242" t="s">
        <v>1829</v>
      </c>
      <c r="K133" s="243"/>
      <c r="L133" s="244"/>
      <c r="M133" s="244"/>
      <c r="N133" s="244"/>
      <c r="O133" s="408"/>
      <c r="P133" s="245" t="s">
        <v>1829</v>
      </c>
    </row>
    <row r="134" spans="1:16" ht="15.75" thickBot="1">
      <c r="A134" s="405"/>
      <c r="B134" s="242" t="s">
        <v>1830</v>
      </c>
      <c r="C134" s="243"/>
      <c r="D134" s="244"/>
      <c r="E134" s="244"/>
      <c r="F134" s="244"/>
      <c r="G134" s="408"/>
      <c r="H134" s="245" t="s">
        <v>1830</v>
      </c>
      <c r="I134" s="405"/>
      <c r="J134" s="242" t="s">
        <v>1830</v>
      </c>
      <c r="K134" s="243"/>
      <c r="L134" s="244"/>
      <c r="M134" s="244"/>
      <c r="N134" s="244"/>
      <c r="O134" s="408"/>
      <c r="P134" s="245" t="s">
        <v>1830</v>
      </c>
    </row>
    <row r="135" spans="1:16" ht="15.75" thickBot="1">
      <c r="A135" s="405"/>
      <c r="B135" s="242" t="s">
        <v>1831</v>
      </c>
      <c r="C135" s="243"/>
      <c r="D135" s="244"/>
      <c r="E135" s="244"/>
      <c r="F135" s="244"/>
      <c r="G135" s="408"/>
      <c r="H135" s="245" t="s">
        <v>1831</v>
      </c>
      <c r="I135" s="405"/>
      <c r="J135" s="242" t="s">
        <v>1831</v>
      </c>
      <c r="K135" s="243"/>
      <c r="L135" s="244"/>
      <c r="M135" s="244"/>
      <c r="N135" s="244"/>
      <c r="O135" s="408"/>
      <c r="P135" s="245" t="s">
        <v>1831</v>
      </c>
    </row>
    <row r="136" spans="1:16" ht="15.75" thickBot="1">
      <c r="A136" s="405"/>
      <c r="B136" s="242" t="s">
        <v>1832</v>
      </c>
      <c r="C136" s="243"/>
      <c r="D136" s="244"/>
      <c r="E136" s="244"/>
      <c r="F136" s="244"/>
      <c r="G136" s="408"/>
      <c r="H136" s="245" t="s">
        <v>1832</v>
      </c>
      <c r="I136" s="405"/>
      <c r="J136" s="242" t="s">
        <v>1832</v>
      </c>
      <c r="K136" s="243"/>
      <c r="L136" s="244"/>
      <c r="M136" s="244"/>
      <c r="N136" s="244"/>
      <c r="O136" s="408"/>
      <c r="P136" s="245" t="s">
        <v>1832</v>
      </c>
    </row>
    <row r="137" spans="1:16" ht="15.75" thickBot="1">
      <c r="A137" s="405"/>
      <c r="B137" s="242" t="s">
        <v>1833</v>
      </c>
      <c r="C137" s="243"/>
      <c r="D137" s="244"/>
      <c r="E137" s="244"/>
      <c r="F137" s="244"/>
      <c r="G137" s="408"/>
      <c r="H137" s="245" t="s">
        <v>1833</v>
      </c>
      <c r="I137" s="405"/>
      <c r="J137" s="242" t="s">
        <v>1833</v>
      </c>
      <c r="K137" s="243"/>
      <c r="L137" s="244"/>
      <c r="M137" s="244"/>
      <c r="N137" s="244"/>
      <c r="O137" s="408"/>
      <c r="P137" s="245" t="s">
        <v>1833</v>
      </c>
    </row>
    <row r="138" spans="1:16" ht="26.25" thickBot="1">
      <c r="A138" s="406"/>
      <c r="B138" s="242" t="s">
        <v>1834</v>
      </c>
      <c r="C138" s="243"/>
      <c r="D138" s="244"/>
      <c r="E138" s="244"/>
      <c r="F138" s="244"/>
      <c r="G138" s="409"/>
      <c r="H138" s="245" t="s">
        <v>1835</v>
      </c>
      <c r="I138" s="406"/>
      <c r="J138" s="242" t="s">
        <v>1834</v>
      </c>
      <c r="K138" s="243"/>
      <c r="L138" s="244"/>
      <c r="M138" s="244"/>
      <c r="N138" s="244"/>
      <c r="O138" s="409"/>
      <c r="P138" s="245" t="s">
        <v>1835</v>
      </c>
    </row>
    <row r="139" spans="1:16" ht="15.75" thickBot="1">
      <c r="A139" s="404" t="s">
        <v>2153</v>
      </c>
      <c r="B139" s="242" t="s">
        <v>1822</v>
      </c>
      <c r="C139" s="243"/>
      <c r="D139" s="244"/>
      <c r="E139" s="244"/>
      <c r="F139" s="244"/>
      <c r="G139" s="407" t="s">
        <v>2153</v>
      </c>
      <c r="H139" s="245" t="s">
        <v>1822</v>
      </c>
      <c r="I139" s="404" t="s">
        <v>2153</v>
      </c>
      <c r="J139" s="242" t="s">
        <v>1822</v>
      </c>
      <c r="K139" s="243"/>
      <c r="L139" s="244"/>
      <c r="M139" s="244"/>
      <c r="N139" s="244"/>
      <c r="O139" s="407" t="s">
        <v>2153</v>
      </c>
      <c r="P139" s="245" t="s">
        <v>1822</v>
      </c>
    </row>
    <row r="140" spans="1:16" ht="15.75" thickBot="1">
      <c r="A140" s="405"/>
      <c r="B140" s="242" t="s">
        <v>1824</v>
      </c>
      <c r="C140" s="243"/>
      <c r="D140" s="244"/>
      <c r="E140" s="244"/>
      <c r="F140" s="244"/>
      <c r="G140" s="408"/>
      <c r="H140" s="245" t="s">
        <v>1824</v>
      </c>
      <c r="I140" s="405"/>
      <c r="J140" s="242" t="s">
        <v>1824</v>
      </c>
      <c r="K140" s="243"/>
      <c r="L140" s="244"/>
      <c r="M140" s="244"/>
      <c r="N140" s="244"/>
      <c r="O140" s="408"/>
      <c r="P140" s="245" t="s">
        <v>1824</v>
      </c>
    </row>
    <row r="141" spans="1:16" ht="15.75" thickBot="1">
      <c r="A141" s="405"/>
      <c r="B141" s="242" t="s">
        <v>1825</v>
      </c>
      <c r="C141" s="243"/>
      <c r="D141" s="244"/>
      <c r="E141" s="244"/>
      <c r="F141" s="244"/>
      <c r="G141" s="408"/>
      <c r="H141" s="245" t="s">
        <v>1825</v>
      </c>
      <c r="I141" s="405"/>
      <c r="J141" s="242" t="s">
        <v>1825</v>
      </c>
      <c r="K141" s="243"/>
      <c r="L141" s="244"/>
      <c r="M141" s="244"/>
      <c r="N141" s="244"/>
      <c r="O141" s="408"/>
      <c r="P141" s="245" t="s">
        <v>1825</v>
      </c>
    </row>
    <row r="142" spans="1:16" ht="15.75" thickBot="1">
      <c r="A142" s="405"/>
      <c r="B142" s="242" t="s">
        <v>1826</v>
      </c>
      <c r="C142" s="243"/>
      <c r="D142" s="244"/>
      <c r="E142" s="244"/>
      <c r="F142" s="244"/>
      <c r="G142" s="408"/>
      <c r="H142" s="245" t="s">
        <v>1826</v>
      </c>
      <c r="I142" s="405"/>
      <c r="J142" s="242" t="s">
        <v>1826</v>
      </c>
      <c r="K142" s="243"/>
      <c r="L142" s="244"/>
      <c r="M142" s="244"/>
      <c r="N142" s="244"/>
      <c r="O142" s="408"/>
      <c r="P142" s="245" t="s">
        <v>1826</v>
      </c>
    </row>
    <row r="143" spans="1:16" ht="15.75" thickBot="1">
      <c r="A143" s="405"/>
      <c r="B143" s="242" t="s">
        <v>1827</v>
      </c>
      <c r="C143" s="243"/>
      <c r="D143" s="244"/>
      <c r="E143" s="244"/>
      <c r="F143" s="244"/>
      <c r="G143" s="408"/>
      <c r="H143" s="245" t="s">
        <v>1827</v>
      </c>
      <c r="I143" s="405"/>
      <c r="J143" s="242" t="s">
        <v>1827</v>
      </c>
      <c r="K143" s="243"/>
      <c r="L143" s="244"/>
      <c r="M143" s="244"/>
      <c r="N143" s="244"/>
      <c r="O143" s="408"/>
      <c r="P143" s="245" t="s">
        <v>1827</v>
      </c>
    </row>
    <row r="144" spans="1:16" ht="15.75" thickBot="1">
      <c r="A144" s="405"/>
      <c r="B144" s="242" t="s">
        <v>1828</v>
      </c>
      <c r="C144" s="243"/>
      <c r="D144" s="244"/>
      <c r="E144" s="244"/>
      <c r="F144" s="244"/>
      <c r="G144" s="408"/>
      <c r="H144" s="245" t="s">
        <v>1828</v>
      </c>
      <c r="I144" s="405"/>
      <c r="J144" s="242" t="s">
        <v>1828</v>
      </c>
      <c r="K144" s="243"/>
      <c r="L144" s="244"/>
      <c r="M144" s="244"/>
      <c r="N144" s="244"/>
      <c r="O144" s="408"/>
      <c r="P144" s="245" t="s">
        <v>1828</v>
      </c>
    </row>
    <row r="145" spans="1:16" ht="15.75" thickBot="1">
      <c r="A145" s="405"/>
      <c r="B145" s="242" t="s">
        <v>1829</v>
      </c>
      <c r="C145" s="243"/>
      <c r="D145" s="244"/>
      <c r="E145" s="244"/>
      <c r="F145" s="244"/>
      <c r="G145" s="408"/>
      <c r="H145" s="245" t="s">
        <v>1829</v>
      </c>
      <c r="I145" s="405"/>
      <c r="J145" s="242" t="s">
        <v>1829</v>
      </c>
      <c r="K145" s="243"/>
      <c r="L145" s="244"/>
      <c r="M145" s="244"/>
      <c r="N145" s="244"/>
      <c r="O145" s="408"/>
      <c r="P145" s="245" t="s">
        <v>1829</v>
      </c>
    </row>
    <row r="146" spans="1:16" ht="15.75" thickBot="1">
      <c r="A146" s="405"/>
      <c r="B146" s="242" t="s">
        <v>1830</v>
      </c>
      <c r="C146" s="243"/>
      <c r="D146" s="244"/>
      <c r="E146" s="244"/>
      <c r="F146" s="244"/>
      <c r="G146" s="408"/>
      <c r="H146" s="245" t="s">
        <v>1830</v>
      </c>
      <c r="I146" s="405"/>
      <c r="J146" s="242" t="s">
        <v>1830</v>
      </c>
      <c r="K146" s="243"/>
      <c r="L146" s="244"/>
      <c r="M146" s="244"/>
      <c r="N146" s="244"/>
      <c r="O146" s="408"/>
      <c r="P146" s="245" t="s">
        <v>1830</v>
      </c>
    </row>
    <row r="147" spans="1:16" ht="15.75" thickBot="1">
      <c r="A147" s="405"/>
      <c r="B147" s="242" t="s">
        <v>1831</v>
      </c>
      <c r="C147" s="243"/>
      <c r="D147" s="244"/>
      <c r="E147" s="244"/>
      <c r="F147" s="244"/>
      <c r="G147" s="408"/>
      <c r="H147" s="245" t="s">
        <v>1831</v>
      </c>
      <c r="I147" s="405"/>
      <c r="J147" s="242" t="s">
        <v>1831</v>
      </c>
      <c r="K147" s="243"/>
      <c r="L147" s="244"/>
      <c r="M147" s="244"/>
      <c r="N147" s="244"/>
      <c r="O147" s="408"/>
      <c r="P147" s="245" t="s">
        <v>1831</v>
      </c>
    </row>
    <row r="148" spans="1:16" ht="15.75" thickBot="1">
      <c r="A148" s="405"/>
      <c r="B148" s="242" t="s">
        <v>1832</v>
      </c>
      <c r="C148" s="243"/>
      <c r="D148" s="244"/>
      <c r="E148" s="244"/>
      <c r="F148" s="244"/>
      <c r="G148" s="408"/>
      <c r="H148" s="245" t="s">
        <v>1832</v>
      </c>
      <c r="I148" s="405"/>
      <c r="J148" s="242" t="s">
        <v>1832</v>
      </c>
      <c r="K148" s="243"/>
      <c r="L148" s="244"/>
      <c r="M148" s="244"/>
      <c r="N148" s="244"/>
      <c r="O148" s="408"/>
      <c r="P148" s="245" t="s">
        <v>1832</v>
      </c>
    </row>
    <row r="149" spans="1:16" ht="15.75" thickBot="1">
      <c r="A149" s="405"/>
      <c r="B149" s="242" t="s">
        <v>1833</v>
      </c>
      <c r="C149" s="243"/>
      <c r="D149" s="244"/>
      <c r="E149" s="244"/>
      <c r="F149" s="244"/>
      <c r="G149" s="408"/>
      <c r="H149" s="245" t="s">
        <v>1833</v>
      </c>
      <c r="I149" s="405"/>
      <c r="J149" s="242" t="s">
        <v>1833</v>
      </c>
      <c r="K149" s="243"/>
      <c r="L149" s="244"/>
      <c r="M149" s="244"/>
      <c r="N149" s="244"/>
      <c r="O149" s="408"/>
      <c r="P149" s="245" t="s">
        <v>1833</v>
      </c>
    </row>
    <row r="150" spans="1:16" ht="26.25" thickBot="1">
      <c r="A150" s="406"/>
      <c r="B150" s="242" t="s">
        <v>1834</v>
      </c>
      <c r="C150" s="243"/>
      <c r="D150" s="244"/>
      <c r="E150" s="244"/>
      <c r="F150" s="244"/>
      <c r="G150" s="409"/>
      <c r="H150" s="245" t="s">
        <v>1835</v>
      </c>
      <c r="I150" s="406"/>
      <c r="J150" s="242" t="s">
        <v>1834</v>
      </c>
      <c r="K150" s="243"/>
      <c r="L150" s="244"/>
      <c r="M150" s="244"/>
      <c r="N150" s="244"/>
      <c r="O150" s="409"/>
      <c r="P150" s="245" t="s">
        <v>1835</v>
      </c>
    </row>
    <row r="151" spans="1:16" ht="15.75" thickBot="1">
      <c r="A151" s="404" t="s">
        <v>2154</v>
      </c>
      <c r="B151" s="242" t="s">
        <v>1822</v>
      </c>
      <c r="C151" s="243"/>
      <c r="D151" s="244"/>
      <c r="E151" s="244"/>
      <c r="F151" s="244"/>
      <c r="G151" s="407" t="s">
        <v>2154</v>
      </c>
      <c r="H151" s="245" t="s">
        <v>1822</v>
      </c>
      <c r="I151" s="404" t="s">
        <v>2154</v>
      </c>
      <c r="J151" s="242" t="s">
        <v>1822</v>
      </c>
      <c r="K151" s="243"/>
      <c r="L151" s="244"/>
      <c r="M151" s="244"/>
      <c r="N151" s="244"/>
      <c r="O151" s="407" t="s">
        <v>2154</v>
      </c>
      <c r="P151" s="245" t="s">
        <v>1822</v>
      </c>
    </row>
    <row r="152" spans="1:16" ht="15.75" thickBot="1">
      <c r="A152" s="405"/>
      <c r="B152" s="242" t="s">
        <v>1824</v>
      </c>
      <c r="C152" s="243"/>
      <c r="D152" s="244"/>
      <c r="E152" s="244"/>
      <c r="F152" s="244"/>
      <c r="G152" s="408"/>
      <c r="H152" s="245" t="s">
        <v>1824</v>
      </c>
      <c r="I152" s="405"/>
      <c r="J152" s="242" t="s">
        <v>1824</v>
      </c>
      <c r="K152" s="243"/>
      <c r="L152" s="244"/>
      <c r="M152" s="244"/>
      <c r="N152" s="244"/>
      <c r="O152" s="408"/>
      <c r="P152" s="245" t="s">
        <v>1824</v>
      </c>
    </row>
    <row r="153" spans="1:16" ht="15.75" thickBot="1">
      <c r="A153" s="405"/>
      <c r="B153" s="242" t="s">
        <v>1825</v>
      </c>
      <c r="C153" s="243"/>
      <c r="D153" s="244"/>
      <c r="E153" s="244"/>
      <c r="F153" s="244"/>
      <c r="G153" s="408"/>
      <c r="H153" s="245" t="s">
        <v>1825</v>
      </c>
      <c r="I153" s="405"/>
      <c r="J153" s="242" t="s">
        <v>1825</v>
      </c>
      <c r="K153" s="243"/>
      <c r="L153" s="244"/>
      <c r="M153" s="244"/>
      <c r="N153" s="244"/>
      <c r="O153" s="408"/>
      <c r="P153" s="245" t="s">
        <v>1825</v>
      </c>
    </row>
    <row r="154" spans="1:16" ht="15.75" thickBot="1">
      <c r="A154" s="405"/>
      <c r="B154" s="242" t="s">
        <v>1826</v>
      </c>
      <c r="C154" s="243"/>
      <c r="D154" s="244"/>
      <c r="E154" s="244"/>
      <c r="F154" s="244"/>
      <c r="G154" s="408"/>
      <c r="H154" s="245" t="s">
        <v>1826</v>
      </c>
      <c r="I154" s="405"/>
      <c r="J154" s="242" t="s">
        <v>1826</v>
      </c>
      <c r="K154" s="243"/>
      <c r="L154" s="244"/>
      <c r="M154" s="244"/>
      <c r="N154" s="244"/>
      <c r="O154" s="408"/>
      <c r="P154" s="245" t="s">
        <v>1826</v>
      </c>
    </row>
    <row r="155" spans="1:16" ht="15.75" thickBot="1">
      <c r="A155" s="405"/>
      <c r="B155" s="242" t="s">
        <v>1827</v>
      </c>
      <c r="C155" s="243"/>
      <c r="D155" s="244"/>
      <c r="E155" s="244"/>
      <c r="F155" s="244"/>
      <c r="G155" s="408"/>
      <c r="H155" s="245" t="s">
        <v>1827</v>
      </c>
      <c r="I155" s="405"/>
      <c r="J155" s="242" t="s">
        <v>1827</v>
      </c>
      <c r="K155" s="243"/>
      <c r="L155" s="244"/>
      <c r="M155" s="244"/>
      <c r="N155" s="244"/>
      <c r="O155" s="408"/>
      <c r="P155" s="245" t="s">
        <v>1827</v>
      </c>
    </row>
    <row r="156" spans="1:16" ht="15.75" thickBot="1">
      <c r="A156" s="405"/>
      <c r="B156" s="242" t="s">
        <v>1828</v>
      </c>
      <c r="C156" s="243"/>
      <c r="D156" s="244"/>
      <c r="E156" s="244"/>
      <c r="F156" s="244"/>
      <c r="G156" s="408"/>
      <c r="H156" s="245" t="s">
        <v>1828</v>
      </c>
      <c r="I156" s="405"/>
      <c r="J156" s="242" t="s">
        <v>1828</v>
      </c>
      <c r="K156" s="243"/>
      <c r="L156" s="244"/>
      <c r="M156" s="244"/>
      <c r="N156" s="244"/>
      <c r="O156" s="408"/>
      <c r="P156" s="245" t="s">
        <v>1828</v>
      </c>
    </row>
    <row r="157" spans="1:16" ht="15.75" thickBot="1">
      <c r="A157" s="405"/>
      <c r="B157" s="242" t="s">
        <v>1829</v>
      </c>
      <c r="C157" s="243"/>
      <c r="D157" s="244"/>
      <c r="E157" s="244"/>
      <c r="F157" s="244"/>
      <c r="G157" s="408"/>
      <c r="H157" s="245" t="s">
        <v>1829</v>
      </c>
      <c r="I157" s="405"/>
      <c r="J157" s="242" t="s">
        <v>1829</v>
      </c>
      <c r="K157" s="243"/>
      <c r="L157" s="244"/>
      <c r="M157" s="244"/>
      <c r="N157" s="244"/>
      <c r="O157" s="408"/>
      <c r="P157" s="245" t="s">
        <v>1829</v>
      </c>
    </row>
    <row r="158" spans="1:16" ht="15.75" thickBot="1">
      <c r="A158" s="405"/>
      <c r="B158" s="242" t="s">
        <v>1830</v>
      </c>
      <c r="C158" s="243"/>
      <c r="D158" s="244"/>
      <c r="E158" s="244"/>
      <c r="F158" s="244"/>
      <c r="G158" s="408"/>
      <c r="H158" s="245" t="s">
        <v>1830</v>
      </c>
      <c r="I158" s="405"/>
      <c r="J158" s="242" t="s">
        <v>1830</v>
      </c>
      <c r="K158" s="243"/>
      <c r="L158" s="244"/>
      <c r="M158" s="244"/>
      <c r="N158" s="244"/>
      <c r="O158" s="408"/>
      <c r="P158" s="245" t="s">
        <v>1830</v>
      </c>
    </row>
    <row r="159" spans="1:16" ht="15.75" thickBot="1">
      <c r="A159" s="405"/>
      <c r="B159" s="242" t="s">
        <v>1831</v>
      </c>
      <c r="C159" s="243"/>
      <c r="D159" s="244"/>
      <c r="E159" s="244"/>
      <c r="F159" s="244"/>
      <c r="G159" s="408"/>
      <c r="H159" s="245" t="s">
        <v>1831</v>
      </c>
      <c r="I159" s="405"/>
      <c r="J159" s="242" t="s">
        <v>1831</v>
      </c>
      <c r="K159" s="243"/>
      <c r="L159" s="244"/>
      <c r="M159" s="244"/>
      <c r="N159" s="244"/>
      <c r="O159" s="408"/>
      <c r="P159" s="245" t="s">
        <v>1831</v>
      </c>
    </row>
    <row r="160" spans="1:16" ht="15.75" thickBot="1">
      <c r="A160" s="405"/>
      <c r="B160" s="242" t="s">
        <v>1832</v>
      </c>
      <c r="C160" s="243"/>
      <c r="D160" s="244"/>
      <c r="E160" s="244"/>
      <c r="F160" s="244"/>
      <c r="G160" s="408"/>
      <c r="H160" s="245" t="s">
        <v>1832</v>
      </c>
      <c r="I160" s="405"/>
      <c r="J160" s="242" t="s">
        <v>1832</v>
      </c>
      <c r="K160" s="243"/>
      <c r="L160" s="244"/>
      <c r="M160" s="244"/>
      <c r="N160" s="244"/>
      <c r="O160" s="408"/>
      <c r="P160" s="245" t="s">
        <v>1832</v>
      </c>
    </row>
    <row r="161" spans="1:16" ht="15.75" thickBot="1">
      <c r="A161" s="405"/>
      <c r="B161" s="242" t="s">
        <v>1833</v>
      </c>
      <c r="C161" s="243"/>
      <c r="D161" s="244"/>
      <c r="E161" s="244"/>
      <c r="F161" s="244"/>
      <c r="G161" s="408"/>
      <c r="H161" s="245" t="s">
        <v>1833</v>
      </c>
      <c r="I161" s="405"/>
      <c r="J161" s="242" t="s">
        <v>1833</v>
      </c>
      <c r="K161" s="243"/>
      <c r="L161" s="244"/>
      <c r="M161" s="244"/>
      <c r="N161" s="244"/>
      <c r="O161" s="408"/>
      <c r="P161" s="245" t="s">
        <v>1833</v>
      </c>
    </row>
    <row r="162" spans="1:16" ht="26.25" thickBot="1">
      <c r="A162" s="406"/>
      <c r="B162" s="242" t="s">
        <v>1834</v>
      </c>
      <c r="C162" s="243"/>
      <c r="D162" s="244"/>
      <c r="E162" s="244"/>
      <c r="F162" s="244"/>
      <c r="G162" s="409"/>
      <c r="H162" s="245" t="s">
        <v>1835</v>
      </c>
      <c r="I162" s="406"/>
      <c r="J162" s="242" t="s">
        <v>1834</v>
      </c>
      <c r="K162" s="243"/>
      <c r="L162" s="244"/>
      <c r="M162" s="244"/>
      <c r="N162" s="244"/>
      <c r="O162" s="409"/>
      <c r="P162" s="245" t="s">
        <v>1835</v>
      </c>
    </row>
    <row r="163" spans="1:16" ht="15.75" thickBot="1">
      <c r="A163" s="404" t="s">
        <v>2155</v>
      </c>
      <c r="B163" s="242" t="s">
        <v>1822</v>
      </c>
      <c r="C163" s="243"/>
      <c r="D163" s="244"/>
      <c r="E163" s="244"/>
      <c r="F163" s="244"/>
      <c r="G163" s="407" t="s">
        <v>2155</v>
      </c>
      <c r="H163" s="245" t="s">
        <v>1822</v>
      </c>
      <c r="I163" s="404" t="s">
        <v>2155</v>
      </c>
      <c r="J163" s="242" t="s">
        <v>1822</v>
      </c>
      <c r="K163" s="243"/>
      <c r="L163" s="244"/>
      <c r="M163" s="244"/>
      <c r="N163" s="244"/>
      <c r="O163" s="407" t="s">
        <v>2155</v>
      </c>
      <c r="P163" s="245" t="s">
        <v>1822</v>
      </c>
    </row>
    <row r="164" spans="1:16" ht="15.75" thickBot="1">
      <c r="A164" s="405"/>
      <c r="B164" s="242" t="s">
        <v>1824</v>
      </c>
      <c r="C164" s="243"/>
      <c r="D164" s="244"/>
      <c r="E164" s="244"/>
      <c r="F164" s="244"/>
      <c r="G164" s="408"/>
      <c r="H164" s="245" t="s">
        <v>1824</v>
      </c>
      <c r="I164" s="405"/>
      <c r="J164" s="242" t="s">
        <v>1824</v>
      </c>
      <c r="K164" s="243"/>
      <c r="L164" s="244"/>
      <c r="M164" s="244"/>
      <c r="N164" s="244"/>
      <c r="O164" s="408"/>
      <c r="P164" s="245" t="s">
        <v>1824</v>
      </c>
    </row>
    <row r="165" spans="1:16" ht="15.75" thickBot="1">
      <c r="A165" s="405"/>
      <c r="B165" s="242" t="s">
        <v>1825</v>
      </c>
      <c r="C165" s="243"/>
      <c r="D165" s="244"/>
      <c r="E165" s="244"/>
      <c r="F165" s="244"/>
      <c r="G165" s="408"/>
      <c r="H165" s="245" t="s">
        <v>1825</v>
      </c>
      <c r="I165" s="405"/>
      <c r="J165" s="242" t="s">
        <v>1825</v>
      </c>
      <c r="K165" s="243"/>
      <c r="L165" s="244"/>
      <c r="M165" s="244"/>
      <c r="N165" s="244"/>
      <c r="O165" s="408"/>
      <c r="P165" s="245" t="s">
        <v>1825</v>
      </c>
    </row>
    <row r="166" spans="1:16" ht="15.75" thickBot="1">
      <c r="A166" s="405"/>
      <c r="B166" s="242" t="s">
        <v>1826</v>
      </c>
      <c r="C166" s="243"/>
      <c r="D166" s="244"/>
      <c r="E166" s="244"/>
      <c r="F166" s="244"/>
      <c r="G166" s="408"/>
      <c r="H166" s="245" t="s">
        <v>1826</v>
      </c>
      <c r="I166" s="405"/>
      <c r="J166" s="242" t="s">
        <v>1826</v>
      </c>
      <c r="K166" s="243"/>
      <c r="L166" s="244"/>
      <c r="M166" s="244"/>
      <c r="N166" s="244"/>
      <c r="O166" s="408"/>
      <c r="P166" s="245" t="s">
        <v>1826</v>
      </c>
    </row>
    <row r="167" spans="1:16" ht="15.75" thickBot="1">
      <c r="A167" s="405"/>
      <c r="B167" s="242" t="s">
        <v>1827</v>
      </c>
      <c r="C167" s="243"/>
      <c r="D167" s="244"/>
      <c r="E167" s="244"/>
      <c r="F167" s="244"/>
      <c r="G167" s="408"/>
      <c r="H167" s="245" t="s">
        <v>1827</v>
      </c>
      <c r="I167" s="405"/>
      <c r="J167" s="242" t="s">
        <v>1827</v>
      </c>
      <c r="K167" s="243"/>
      <c r="L167" s="244"/>
      <c r="M167" s="244"/>
      <c r="N167" s="244"/>
      <c r="O167" s="408"/>
      <c r="P167" s="245" t="s">
        <v>1827</v>
      </c>
    </row>
    <row r="168" spans="1:16" ht="15.75" thickBot="1">
      <c r="A168" s="405"/>
      <c r="B168" s="242" t="s">
        <v>1828</v>
      </c>
      <c r="C168" s="243"/>
      <c r="D168" s="244"/>
      <c r="E168" s="244"/>
      <c r="F168" s="244"/>
      <c r="G168" s="408"/>
      <c r="H168" s="245" t="s">
        <v>1828</v>
      </c>
      <c r="I168" s="405"/>
      <c r="J168" s="242" t="s">
        <v>1828</v>
      </c>
      <c r="K168" s="243"/>
      <c r="L168" s="244"/>
      <c r="M168" s="244"/>
      <c r="N168" s="244"/>
      <c r="O168" s="408"/>
      <c r="P168" s="245" t="s">
        <v>1828</v>
      </c>
    </row>
    <row r="169" spans="1:16" ht="15.75" thickBot="1">
      <c r="A169" s="405"/>
      <c r="B169" s="242" t="s">
        <v>1829</v>
      </c>
      <c r="C169" s="243"/>
      <c r="D169" s="244"/>
      <c r="E169" s="244"/>
      <c r="F169" s="244"/>
      <c r="G169" s="408"/>
      <c r="H169" s="245" t="s">
        <v>1829</v>
      </c>
      <c r="I169" s="405"/>
      <c r="J169" s="242" t="s">
        <v>1829</v>
      </c>
      <c r="K169" s="243"/>
      <c r="L169" s="244"/>
      <c r="M169" s="244"/>
      <c r="N169" s="244"/>
      <c r="O169" s="408"/>
      <c r="P169" s="245" t="s">
        <v>1829</v>
      </c>
    </row>
    <row r="170" spans="1:16" ht="15.75" thickBot="1">
      <c r="A170" s="405"/>
      <c r="B170" s="242" t="s">
        <v>1830</v>
      </c>
      <c r="C170" s="243"/>
      <c r="D170" s="244"/>
      <c r="E170" s="244"/>
      <c r="F170" s="244"/>
      <c r="G170" s="408"/>
      <c r="H170" s="245" t="s">
        <v>1830</v>
      </c>
      <c r="I170" s="405"/>
      <c r="J170" s="242" t="s">
        <v>1830</v>
      </c>
      <c r="K170" s="243"/>
      <c r="L170" s="244"/>
      <c r="M170" s="244"/>
      <c r="N170" s="244"/>
      <c r="O170" s="408"/>
      <c r="P170" s="245" t="s">
        <v>1830</v>
      </c>
    </row>
    <row r="171" spans="1:16" ht="15.75" thickBot="1">
      <c r="A171" s="405"/>
      <c r="B171" s="242" t="s">
        <v>1831</v>
      </c>
      <c r="C171" s="243"/>
      <c r="D171" s="244"/>
      <c r="E171" s="244"/>
      <c r="F171" s="244"/>
      <c r="G171" s="408"/>
      <c r="H171" s="245" t="s">
        <v>1831</v>
      </c>
      <c r="I171" s="405"/>
      <c r="J171" s="242" t="s">
        <v>1831</v>
      </c>
      <c r="K171" s="243"/>
      <c r="L171" s="244"/>
      <c r="M171" s="244"/>
      <c r="N171" s="244"/>
      <c r="O171" s="408"/>
      <c r="P171" s="245" t="s">
        <v>1831</v>
      </c>
    </row>
    <row r="172" spans="1:16" ht="15.75" thickBot="1">
      <c r="A172" s="405"/>
      <c r="B172" s="242" t="s">
        <v>1832</v>
      </c>
      <c r="C172" s="243"/>
      <c r="D172" s="244"/>
      <c r="E172" s="244"/>
      <c r="F172" s="244"/>
      <c r="G172" s="408"/>
      <c r="H172" s="245" t="s">
        <v>1832</v>
      </c>
      <c r="I172" s="405"/>
      <c r="J172" s="242" t="s">
        <v>1832</v>
      </c>
      <c r="K172" s="243"/>
      <c r="L172" s="244"/>
      <c r="M172" s="244"/>
      <c r="N172" s="244"/>
      <c r="O172" s="408"/>
      <c r="P172" s="245" t="s">
        <v>1832</v>
      </c>
    </row>
    <row r="173" spans="1:16" ht="15.75" thickBot="1">
      <c r="A173" s="405"/>
      <c r="B173" s="242" t="s">
        <v>1833</v>
      </c>
      <c r="C173" s="243"/>
      <c r="D173" s="244"/>
      <c r="E173" s="244"/>
      <c r="F173" s="244"/>
      <c r="G173" s="408"/>
      <c r="H173" s="245" t="s">
        <v>1833</v>
      </c>
      <c r="I173" s="405"/>
      <c r="J173" s="242" t="s">
        <v>1833</v>
      </c>
      <c r="K173" s="243"/>
      <c r="L173" s="244"/>
      <c r="M173" s="244"/>
      <c r="N173" s="244"/>
      <c r="O173" s="408"/>
      <c r="P173" s="245" t="s">
        <v>1833</v>
      </c>
    </row>
    <row r="174" spans="1:16" ht="26.25" thickBot="1">
      <c r="A174" s="406"/>
      <c r="B174" s="242" t="s">
        <v>1834</v>
      </c>
      <c r="C174" s="243"/>
      <c r="D174" s="244"/>
      <c r="E174" s="244"/>
      <c r="F174" s="244"/>
      <c r="G174" s="409"/>
      <c r="H174" s="245" t="s">
        <v>1835</v>
      </c>
      <c r="I174" s="406"/>
      <c r="J174" s="242" t="s">
        <v>1834</v>
      </c>
      <c r="K174" s="243"/>
      <c r="L174" s="244"/>
      <c r="M174" s="244"/>
      <c r="N174" s="244"/>
      <c r="O174" s="409"/>
      <c r="P174" s="245" t="s">
        <v>1835</v>
      </c>
    </row>
    <row r="175" spans="1:16" ht="15.75" thickBot="1">
      <c r="A175" s="404" t="s">
        <v>2156</v>
      </c>
      <c r="B175" s="242" t="s">
        <v>1822</v>
      </c>
      <c r="C175" s="243"/>
      <c r="D175" s="244"/>
      <c r="E175" s="244"/>
      <c r="F175" s="244"/>
      <c r="G175" s="407" t="s">
        <v>2156</v>
      </c>
      <c r="H175" s="245" t="s">
        <v>1822</v>
      </c>
      <c r="I175" s="404" t="s">
        <v>2156</v>
      </c>
      <c r="J175" s="242" t="s">
        <v>1822</v>
      </c>
      <c r="K175" s="243"/>
      <c r="L175" s="244"/>
      <c r="M175" s="244"/>
      <c r="N175" s="244"/>
      <c r="O175" s="407" t="s">
        <v>2156</v>
      </c>
      <c r="P175" s="245" t="s">
        <v>1822</v>
      </c>
    </row>
    <row r="176" spans="1:16" ht="15.75" thickBot="1">
      <c r="A176" s="405"/>
      <c r="B176" s="242" t="s">
        <v>1824</v>
      </c>
      <c r="C176" s="243"/>
      <c r="D176" s="244"/>
      <c r="E176" s="244"/>
      <c r="F176" s="244"/>
      <c r="G176" s="408"/>
      <c r="H176" s="245" t="s">
        <v>1824</v>
      </c>
      <c r="I176" s="405"/>
      <c r="J176" s="242" t="s">
        <v>1824</v>
      </c>
      <c r="K176" s="243"/>
      <c r="L176" s="244"/>
      <c r="M176" s="244"/>
      <c r="N176" s="244"/>
      <c r="O176" s="408"/>
      <c r="P176" s="245" t="s">
        <v>1824</v>
      </c>
    </row>
    <row r="177" spans="1:16" ht="15.75" thickBot="1">
      <c r="A177" s="405"/>
      <c r="B177" s="242" t="s">
        <v>1825</v>
      </c>
      <c r="C177" s="243"/>
      <c r="D177" s="244"/>
      <c r="E177" s="244"/>
      <c r="F177" s="244"/>
      <c r="G177" s="408"/>
      <c r="H177" s="245" t="s">
        <v>1825</v>
      </c>
      <c r="I177" s="405"/>
      <c r="J177" s="242" t="s">
        <v>1825</v>
      </c>
      <c r="K177" s="243"/>
      <c r="L177" s="244"/>
      <c r="M177" s="244"/>
      <c r="N177" s="244"/>
      <c r="O177" s="408"/>
      <c r="P177" s="245" t="s">
        <v>1825</v>
      </c>
    </row>
    <row r="178" spans="1:16" ht="15.75" thickBot="1">
      <c r="A178" s="405"/>
      <c r="B178" s="242" t="s">
        <v>1826</v>
      </c>
      <c r="C178" s="243"/>
      <c r="D178" s="244"/>
      <c r="E178" s="244"/>
      <c r="F178" s="244"/>
      <c r="G178" s="408"/>
      <c r="H178" s="245" t="s">
        <v>1826</v>
      </c>
      <c r="I178" s="405"/>
      <c r="J178" s="242" t="s">
        <v>1826</v>
      </c>
      <c r="K178" s="243"/>
      <c r="L178" s="244"/>
      <c r="M178" s="244"/>
      <c r="N178" s="244"/>
      <c r="O178" s="408"/>
      <c r="P178" s="245" t="s">
        <v>1826</v>
      </c>
    </row>
    <row r="179" spans="1:16" ht="15.75" thickBot="1">
      <c r="A179" s="405"/>
      <c r="B179" s="242" t="s">
        <v>1827</v>
      </c>
      <c r="C179" s="243"/>
      <c r="D179" s="244"/>
      <c r="E179" s="244"/>
      <c r="F179" s="244"/>
      <c r="G179" s="408"/>
      <c r="H179" s="245" t="s">
        <v>1827</v>
      </c>
      <c r="I179" s="405"/>
      <c r="J179" s="242" t="s">
        <v>1827</v>
      </c>
      <c r="K179" s="243"/>
      <c r="L179" s="244"/>
      <c r="M179" s="244"/>
      <c r="N179" s="244"/>
      <c r="O179" s="408"/>
      <c r="P179" s="245" t="s">
        <v>1827</v>
      </c>
    </row>
    <row r="180" spans="1:16" ht="15.75" thickBot="1">
      <c r="A180" s="405"/>
      <c r="B180" s="242" t="s">
        <v>1828</v>
      </c>
      <c r="C180" s="243"/>
      <c r="D180" s="244"/>
      <c r="E180" s="244"/>
      <c r="F180" s="244"/>
      <c r="G180" s="408"/>
      <c r="H180" s="245" t="s">
        <v>1828</v>
      </c>
      <c r="I180" s="405"/>
      <c r="J180" s="242" t="s">
        <v>1828</v>
      </c>
      <c r="K180" s="243"/>
      <c r="L180" s="244"/>
      <c r="M180" s="244"/>
      <c r="N180" s="244"/>
      <c r="O180" s="408"/>
      <c r="P180" s="245" t="s">
        <v>1828</v>
      </c>
    </row>
    <row r="181" spans="1:16" ht="15.75" thickBot="1">
      <c r="A181" s="405"/>
      <c r="B181" s="242" t="s">
        <v>1829</v>
      </c>
      <c r="C181" s="243"/>
      <c r="D181" s="244"/>
      <c r="E181" s="244"/>
      <c r="F181" s="244"/>
      <c r="G181" s="408"/>
      <c r="H181" s="245" t="s">
        <v>1829</v>
      </c>
      <c r="I181" s="405"/>
      <c r="J181" s="242" t="s">
        <v>1829</v>
      </c>
      <c r="K181" s="243"/>
      <c r="L181" s="244"/>
      <c r="M181" s="244"/>
      <c r="N181" s="244"/>
      <c r="O181" s="408"/>
      <c r="P181" s="245" t="s">
        <v>1829</v>
      </c>
    </row>
    <row r="182" spans="1:16" ht="15.75" thickBot="1">
      <c r="A182" s="405"/>
      <c r="B182" s="242" t="s">
        <v>1830</v>
      </c>
      <c r="C182" s="243"/>
      <c r="D182" s="244"/>
      <c r="E182" s="244"/>
      <c r="F182" s="244"/>
      <c r="G182" s="408"/>
      <c r="H182" s="245" t="s">
        <v>1830</v>
      </c>
      <c r="I182" s="405"/>
      <c r="J182" s="242" t="s">
        <v>1830</v>
      </c>
      <c r="K182" s="243"/>
      <c r="L182" s="244"/>
      <c r="M182" s="244"/>
      <c r="N182" s="244"/>
      <c r="O182" s="408"/>
      <c r="P182" s="245" t="s">
        <v>1830</v>
      </c>
    </row>
    <row r="183" spans="1:16" ht="15.75" thickBot="1">
      <c r="A183" s="405"/>
      <c r="B183" s="242" t="s">
        <v>1831</v>
      </c>
      <c r="C183" s="243"/>
      <c r="D183" s="244"/>
      <c r="E183" s="244"/>
      <c r="F183" s="244"/>
      <c r="G183" s="408"/>
      <c r="H183" s="245" t="s">
        <v>1831</v>
      </c>
      <c r="I183" s="405"/>
      <c r="J183" s="242" t="s">
        <v>1831</v>
      </c>
      <c r="K183" s="243"/>
      <c r="L183" s="244"/>
      <c r="M183" s="244"/>
      <c r="N183" s="244"/>
      <c r="O183" s="408"/>
      <c r="P183" s="245" t="s">
        <v>1831</v>
      </c>
    </row>
    <row r="184" spans="1:16" ht="15.75" thickBot="1">
      <c r="A184" s="405"/>
      <c r="B184" s="242" t="s">
        <v>1832</v>
      </c>
      <c r="C184" s="243"/>
      <c r="D184" s="244"/>
      <c r="E184" s="244"/>
      <c r="F184" s="244"/>
      <c r="G184" s="408"/>
      <c r="H184" s="245" t="s">
        <v>1832</v>
      </c>
      <c r="I184" s="405"/>
      <c r="J184" s="242" t="s">
        <v>1832</v>
      </c>
      <c r="K184" s="243"/>
      <c r="L184" s="244"/>
      <c r="M184" s="244"/>
      <c r="N184" s="244"/>
      <c r="O184" s="408"/>
      <c r="P184" s="245" t="s">
        <v>1832</v>
      </c>
    </row>
    <row r="185" spans="1:16" ht="15.75" thickBot="1">
      <c r="A185" s="405"/>
      <c r="B185" s="242" t="s">
        <v>1833</v>
      </c>
      <c r="C185" s="243"/>
      <c r="D185" s="244"/>
      <c r="E185" s="244"/>
      <c r="F185" s="244"/>
      <c r="G185" s="408"/>
      <c r="H185" s="245" t="s">
        <v>1833</v>
      </c>
      <c r="I185" s="405"/>
      <c r="J185" s="242" t="s">
        <v>1833</v>
      </c>
      <c r="K185" s="243"/>
      <c r="L185" s="244"/>
      <c r="M185" s="244"/>
      <c r="N185" s="244"/>
      <c r="O185" s="408"/>
      <c r="P185" s="245" t="s">
        <v>1833</v>
      </c>
    </row>
    <row r="186" spans="1:16" ht="26.25" thickBot="1">
      <c r="A186" s="406"/>
      <c r="B186" s="242" t="s">
        <v>1834</v>
      </c>
      <c r="C186" s="243"/>
      <c r="D186" s="244"/>
      <c r="E186" s="244"/>
      <c r="F186" s="244"/>
      <c r="G186" s="409"/>
      <c r="H186" s="245" t="s">
        <v>1835</v>
      </c>
      <c r="I186" s="406"/>
      <c r="J186" s="242" t="s">
        <v>1834</v>
      </c>
      <c r="K186" s="243"/>
      <c r="L186" s="244"/>
      <c r="M186" s="244"/>
      <c r="N186" s="244"/>
      <c r="O186" s="409"/>
      <c r="P186" s="245" t="s">
        <v>1835</v>
      </c>
    </row>
    <row r="187" spans="1:16" ht="15.75" thickBot="1">
      <c r="A187" s="404" t="s">
        <v>2157</v>
      </c>
      <c r="B187" s="242" t="s">
        <v>1822</v>
      </c>
      <c r="C187" s="243"/>
      <c r="D187" s="244"/>
      <c r="E187" s="244"/>
      <c r="F187" s="244"/>
      <c r="G187" s="407" t="s">
        <v>2157</v>
      </c>
      <c r="H187" s="245" t="s">
        <v>1822</v>
      </c>
      <c r="I187" s="404" t="s">
        <v>2157</v>
      </c>
      <c r="J187" s="242" t="s">
        <v>1822</v>
      </c>
      <c r="K187" s="243"/>
      <c r="L187" s="244"/>
      <c r="M187" s="244"/>
      <c r="N187" s="244"/>
      <c r="O187" s="407" t="s">
        <v>2157</v>
      </c>
      <c r="P187" s="245" t="s">
        <v>1822</v>
      </c>
    </row>
    <row r="188" spans="1:16" ht="15.75" thickBot="1">
      <c r="A188" s="405"/>
      <c r="B188" s="242" t="s">
        <v>1824</v>
      </c>
      <c r="C188" s="243"/>
      <c r="D188" s="244"/>
      <c r="E188" s="244"/>
      <c r="F188" s="244"/>
      <c r="G188" s="408"/>
      <c r="H188" s="245" t="s">
        <v>1824</v>
      </c>
      <c r="I188" s="405"/>
      <c r="J188" s="242" t="s">
        <v>1824</v>
      </c>
      <c r="K188" s="243"/>
      <c r="L188" s="244"/>
      <c r="M188" s="244"/>
      <c r="N188" s="244"/>
      <c r="O188" s="408"/>
      <c r="P188" s="245" t="s">
        <v>1824</v>
      </c>
    </row>
    <row r="189" spans="1:16" ht="15.75" thickBot="1">
      <c r="A189" s="405"/>
      <c r="B189" s="242" t="s">
        <v>1825</v>
      </c>
      <c r="C189" s="243"/>
      <c r="D189" s="244"/>
      <c r="E189" s="244"/>
      <c r="F189" s="244"/>
      <c r="G189" s="408"/>
      <c r="H189" s="245" t="s">
        <v>1825</v>
      </c>
      <c r="I189" s="405"/>
      <c r="J189" s="242" t="s">
        <v>1825</v>
      </c>
      <c r="K189" s="243"/>
      <c r="L189" s="244"/>
      <c r="M189" s="244"/>
      <c r="N189" s="244"/>
      <c r="O189" s="408"/>
      <c r="P189" s="245" t="s">
        <v>1825</v>
      </c>
    </row>
    <row r="190" spans="1:16" ht="15.75" thickBot="1">
      <c r="A190" s="405"/>
      <c r="B190" s="242" t="s">
        <v>1826</v>
      </c>
      <c r="C190" s="243"/>
      <c r="D190" s="244"/>
      <c r="E190" s="244"/>
      <c r="F190" s="244"/>
      <c r="G190" s="408"/>
      <c r="H190" s="245" t="s">
        <v>1826</v>
      </c>
      <c r="I190" s="405"/>
      <c r="J190" s="242" t="s">
        <v>1826</v>
      </c>
      <c r="K190" s="243"/>
      <c r="L190" s="244"/>
      <c r="M190" s="244"/>
      <c r="N190" s="244"/>
      <c r="O190" s="408"/>
      <c r="P190" s="245" t="s">
        <v>1826</v>
      </c>
    </row>
    <row r="191" spans="1:16" ht="15.75" thickBot="1">
      <c r="A191" s="405"/>
      <c r="B191" s="242" t="s">
        <v>1827</v>
      </c>
      <c r="C191" s="243"/>
      <c r="D191" s="244"/>
      <c r="E191" s="244"/>
      <c r="F191" s="244"/>
      <c r="G191" s="408"/>
      <c r="H191" s="245" t="s">
        <v>1827</v>
      </c>
      <c r="I191" s="405"/>
      <c r="J191" s="242" t="s">
        <v>1827</v>
      </c>
      <c r="K191" s="243"/>
      <c r="L191" s="244"/>
      <c r="M191" s="244"/>
      <c r="N191" s="244"/>
      <c r="O191" s="408"/>
      <c r="P191" s="245" t="s">
        <v>1827</v>
      </c>
    </row>
    <row r="192" spans="1:16" ht="15.75" thickBot="1">
      <c r="A192" s="405"/>
      <c r="B192" s="242" t="s">
        <v>1828</v>
      </c>
      <c r="C192" s="243"/>
      <c r="D192" s="244"/>
      <c r="E192" s="244"/>
      <c r="F192" s="244"/>
      <c r="G192" s="408"/>
      <c r="H192" s="245" t="s">
        <v>1828</v>
      </c>
      <c r="I192" s="405"/>
      <c r="J192" s="242" t="s">
        <v>1828</v>
      </c>
      <c r="K192" s="243"/>
      <c r="L192" s="244"/>
      <c r="M192" s="244"/>
      <c r="N192" s="244"/>
      <c r="O192" s="408"/>
      <c r="P192" s="245" t="s">
        <v>1828</v>
      </c>
    </row>
    <row r="193" spans="1:16" ht="15.75" thickBot="1">
      <c r="A193" s="405"/>
      <c r="B193" s="242" t="s">
        <v>1829</v>
      </c>
      <c r="C193" s="243"/>
      <c r="D193" s="244"/>
      <c r="E193" s="244"/>
      <c r="F193" s="244"/>
      <c r="G193" s="408"/>
      <c r="H193" s="245" t="s">
        <v>1829</v>
      </c>
      <c r="I193" s="405"/>
      <c r="J193" s="242" t="s">
        <v>1829</v>
      </c>
      <c r="K193" s="243"/>
      <c r="L193" s="244"/>
      <c r="M193" s="244"/>
      <c r="N193" s="244"/>
      <c r="O193" s="408"/>
      <c r="P193" s="245" t="s">
        <v>1829</v>
      </c>
    </row>
    <row r="194" spans="1:16" ht="15.75" thickBot="1">
      <c r="A194" s="405"/>
      <c r="B194" s="242" t="s">
        <v>1830</v>
      </c>
      <c r="C194" s="243"/>
      <c r="D194" s="244"/>
      <c r="E194" s="244"/>
      <c r="F194" s="244"/>
      <c r="G194" s="408"/>
      <c r="H194" s="245" t="s">
        <v>1830</v>
      </c>
      <c r="I194" s="405"/>
      <c r="J194" s="242" t="s">
        <v>1830</v>
      </c>
      <c r="K194" s="243"/>
      <c r="L194" s="244"/>
      <c r="M194" s="244"/>
      <c r="N194" s="244"/>
      <c r="O194" s="408"/>
      <c r="P194" s="245" t="s">
        <v>1830</v>
      </c>
    </row>
    <row r="195" spans="1:16" ht="15.75" thickBot="1">
      <c r="A195" s="405"/>
      <c r="B195" s="242" t="s">
        <v>1831</v>
      </c>
      <c r="C195" s="243"/>
      <c r="D195" s="244"/>
      <c r="E195" s="244"/>
      <c r="F195" s="244"/>
      <c r="G195" s="408"/>
      <c r="H195" s="245" t="s">
        <v>1831</v>
      </c>
      <c r="I195" s="405"/>
      <c r="J195" s="242" t="s">
        <v>1831</v>
      </c>
      <c r="K195" s="243"/>
      <c r="L195" s="244"/>
      <c r="M195" s="244"/>
      <c r="N195" s="244"/>
      <c r="O195" s="408"/>
      <c r="P195" s="245" t="s">
        <v>1831</v>
      </c>
    </row>
    <row r="196" spans="1:16" ht="15.75" thickBot="1">
      <c r="A196" s="405"/>
      <c r="B196" s="242" t="s">
        <v>1832</v>
      </c>
      <c r="C196" s="243"/>
      <c r="D196" s="244"/>
      <c r="E196" s="244"/>
      <c r="F196" s="244"/>
      <c r="G196" s="408"/>
      <c r="H196" s="245" t="s">
        <v>1832</v>
      </c>
      <c r="I196" s="405"/>
      <c r="J196" s="242" t="s">
        <v>1832</v>
      </c>
      <c r="K196" s="243"/>
      <c r="L196" s="244"/>
      <c r="M196" s="244"/>
      <c r="N196" s="244"/>
      <c r="O196" s="408"/>
      <c r="P196" s="245" t="s">
        <v>1832</v>
      </c>
    </row>
    <row r="197" spans="1:16" ht="15.75" thickBot="1">
      <c r="A197" s="405"/>
      <c r="B197" s="242" t="s">
        <v>1833</v>
      </c>
      <c r="C197" s="243"/>
      <c r="D197" s="244"/>
      <c r="E197" s="244"/>
      <c r="F197" s="244"/>
      <c r="G197" s="408"/>
      <c r="H197" s="245" t="s">
        <v>1833</v>
      </c>
      <c r="I197" s="405"/>
      <c r="J197" s="242" t="s">
        <v>1833</v>
      </c>
      <c r="K197" s="243"/>
      <c r="L197" s="244"/>
      <c r="M197" s="244"/>
      <c r="N197" s="244"/>
      <c r="O197" s="408"/>
      <c r="P197" s="245" t="s">
        <v>1833</v>
      </c>
    </row>
    <row r="198" spans="1:16" ht="26.25" thickBot="1">
      <c r="A198" s="406"/>
      <c r="B198" s="242" t="s">
        <v>1834</v>
      </c>
      <c r="C198" s="243"/>
      <c r="D198" s="244"/>
      <c r="E198" s="244"/>
      <c r="F198" s="244"/>
      <c r="G198" s="409"/>
      <c r="H198" s="245" t="s">
        <v>1835</v>
      </c>
      <c r="I198" s="406"/>
      <c r="J198" s="242" t="s">
        <v>1834</v>
      </c>
      <c r="K198" s="243"/>
      <c r="L198" s="244"/>
      <c r="M198" s="244"/>
      <c r="N198" s="244"/>
      <c r="O198" s="409"/>
      <c r="P198" s="245" t="s">
        <v>1835</v>
      </c>
    </row>
    <row r="199" spans="1:16" ht="15.75" thickBot="1">
      <c r="A199" s="404" t="s">
        <v>2158</v>
      </c>
      <c r="B199" s="242" t="s">
        <v>1822</v>
      </c>
      <c r="C199" s="243"/>
      <c r="D199" s="244"/>
      <c r="E199" s="244"/>
      <c r="F199" s="244"/>
      <c r="G199" s="407" t="s">
        <v>2158</v>
      </c>
      <c r="H199" s="245" t="s">
        <v>1822</v>
      </c>
      <c r="I199" s="404" t="s">
        <v>2158</v>
      </c>
      <c r="J199" s="242" t="s">
        <v>1822</v>
      </c>
      <c r="K199" s="243"/>
      <c r="L199" s="244"/>
      <c r="M199" s="244"/>
      <c r="N199" s="244"/>
      <c r="O199" s="407" t="s">
        <v>2158</v>
      </c>
      <c r="P199" s="245" t="s">
        <v>1822</v>
      </c>
    </row>
    <row r="200" spans="1:16" ht="15.75" thickBot="1">
      <c r="A200" s="405"/>
      <c r="B200" s="242" t="s">
        <v>1824</v>
      </c>
      <c r="C200" s="243"/>
      <c r="D200" s="244"/>
      <c r="E200" s="244"/>
      <c r="F200" s="244"/>
      <c r="G200" s="408"/>
      <c r="H200" s="245" t="s">
        <v>1824</v>
      </c>
      <c r="I200" s="405"/>
      <c r="J200" s="242" t="s">
        <v>1824</v>
      </c>
      <c r="K200" s="243"/>
      <c r="L200" s="244"/>
      <c r="M200" s="244"/>
      <c r="N200" s="244"/>
      <c r="O200" s="408"/>
      <c r="P200" s="245" t="s">
        <v>1824</v>
      </c>
    </row>
    <row r="201" spans="1:16" ht="15.75" thickBot="1">
      <c r="A201" s="405"/>
      <c r="B201" s="242" t="s">
        <v>1825</v>
      </c>
      <c r="C201" s="243"/>
      <c r="D201" s="244"/>
      <c r="E201" s="244"/>
      <c r="F201" s="244"/>
      <c r="G201" s="408"/>
      <c r="H201" s="245" t="s">
        <v>1825</v>
      </c>
      <c r="I201" s="405"/>
      <c r="J201" s="242" t="s">
        <v>1825</v>
      </c>
      <c r="K201" s="243"/>
      <c r="L201" s="244"/>
      <c r="M201" s="244"/>
      <c r="N201" s="244"/>
      <c r="O201" s="408"/>
      <c r="P201" s="245" t="s">
        <v>1825</v>
      </c>
    </row>
    <row r="202" spans="1:16" ht="15.75" thickBot="1">
      <c r="A202" s="405"/>
      <c r="B202" s="242" t="s">
        <v>1826</v>
      </c>
      <c r="C202" s="243"/>
      <c r="D202" s="244"/>
      <c r="E202" s="244"/>
      <c r="F202" s="244"/>
      <c r="G202" s="408"/>
      <c r="H202" s="245" t="s">
        <v>1826</v>
      </c>
      <c r="I202" s="405"/>
      <c r="J202" s="242" t="s">
        <v>1826</v>
      </c>
      <c r="K202" s="243"/>
      <c r="L202" s="244"/>
      <c r="M202" s="244"/>
      <c r="N202" s="244"/>
      <c r="O202" s="408"/>
      <c r="P202" s="245" t="s">
        <v>1826</v>
      </c>
    </row>
    <row r="203" spans="1:16" ht="15.75" thickBot="1">
      <c r="A203" s="405"/>
      <c r="B203" s="242" t="s">
        <v>1827</v>
      </c>
      <c r="C203" s="243"/>
      <c r="D203" s="244"/>
      <c r="E203" s="244"/>
      <c r="F203" s="244"/>
      <c r="G203" s="408"/>
      <c r="H203" s="245" t="s">
        <v>1827</v>
      </c>
      <c r="I203" s="405"/>
      <c r="J203" s="242" t="s">
        <v>1827</v>
      </c>
      <c r="K203" s="243"/>
      <c r="L203" s="244"/>
      <c r="M203" s="244"/>
      <c r="N203" s="244"/>
      <c r="O203" s="408"/>
      <c r="P203" s="245" t="s">
        <v>1827</v>
      </c>
    </row>
    <row r="204" spans="1:16" ht="15.75" thickBot="1">
      <c r="A204" s="405"/>
      <c r="B204" s="242" t="s">
        <v>1828</v>
      </c>
      <c r="C204" s="243"/>
      <c r="D204" s="244"/>
      <c r="E204" s="244"/>
      <c r="F204" s="244"/>
      <c r="G204" s="408"/>
      <c r="H204" s="245" t="s">
        <v>1828</v>
      </c>
      <c r="I204" s="405"/>
      <c r="J204" s="242" t="s">
        <v>1828</v>
      </c>
      <c r="K204" s="243"/>
      <c r="L204" s="244"/>
      <c r="M204" s="244"/>
      <c r="N204" s="244"/>
      <c r="O204" s="408"/>
      <c r="P204" s="245" t="s">
        <v>1828</v>
      </c>
    </row>
    <row r="205" spans="1:16" ht="15.75" thickBot="1">
      <c r="A205" s="405"/>
      <c r="B205" s="242" t="s">
        <v>1829</v>
      </c>
      <c r="C205" s="243"/>
      <c r="D205" s="244"/>
      <c r="E205" s="244"/>
      <c r="F205" s="244"/>
      <c r="G205" s="408"/>
      <c r="H205" s="245" t="s">
        <v>1829</v>
      </c>
      <c r="I205" s="405"/>
      <c r="J205" s="242" t="s">
        <v>1829</v>
      </c>
      <c r="K205" s="243"/>
      <c r="L205" s="244"/>
      <c r="M205" s="244"/>
      <c r="N205" s="244"/>
      <c r="O205" s="408"/>
      <c r="P205" s="245" t="s">
        <v>1829</v>
      </c>
    </row>
    <row r="206" spans="1:16" ht="15.75" thickBot="1">
      <c r="A206" s="405"/>
      <c r="B206" s="242" t="s">
        <v>1830</v>
      </c>
      <c r="C206" s="243"/>
      <c r="D206" s="244"/>
      <c r="E206" s="244"/>
      <c r="F206" s="244"/>
      <c r="G206" s="408"/>
      <c r="H206" s="245" t="s">
        <v>1830</v>
      </c>
      <c r="I206" s="405"/>
      <c r="J206" s="242" t="s">
        <v>1830</v>
      </c>
      <c r="K206" s="243"/>
      <c r="L206" s="244"/>
      <c r="M206" s="244"/>
      <c r="N206" s="244"/>
      <c r="O206" s="408"/>
      <c r="P206" s="245" t="s">
        <v>1830</v>
      </c>
    </row>
    <row r="207" spans="1:16" ht="15.75" thickBot="1">
      <c r="A207" s="405"/>
      <c r="B207" s="242" t="s">
        <v>1831</v>
      </c>
      <c r="C207" s="243"/>
      <c r="D207" s="244"/>
      <c r="E207" s="244"/>
      <c r="F207" s="244"/>
      <c r="G207" s="408"/>
      <c r="H207" s="245" t="s">
        <v>1831</v>
      </c>
      <c r="I207" s="405"/>
      <c r="J207" s="242" t="s">
        <v>1831</v>
      </c>
      <c r="K207" s="243"/>
      <c r="L207" s="244"/>
      <c r="M207" s="244"/>
      <c r="N207" s="244"/>
      <c r="O207" s="408"/>
      <c r="P207" s="245" t="s">
        <v>1831</v>
      </c>
    </row>
    <row r="208" spans="1:16" ht="15.75" thickBot="1">
      <c r="A208" s="405"/>
      <c r="B208" s="242" t="s">
        <v>1832</v>
      </c>
      <c r="C208" s="243"/>
      <c r="D208" s="244"/>
      <c r="E208" s="244"/>
      <c r="F208" s="244"/>
      <c r="G208" s="408"/>
      <c r="H208" s="245" t="s">
        <v>1832</v>
      </c>
      <c r="I208" s="405"/>
      <c r="J208" s="242" t="s">
        <v>1832</v>
      </c>
      <c r="K208" s="243"/>
      <c r="L208" s="244"/>
      <c r="M208" s="244"/>
      <c r="N208" s="244"/>
      <c r="O208" s="408"/>
      <c r="P208" s="245" t="s">
        <v>1832</v>
      </c>
    </row>
    <row r="209" spans="1:16" ht="15.75" thickBot="1">
      <c r="A209" s="405"/>
      <c r="B209" s="242" t="s">
        <v>1833</v>
      </c>
      <c r="C209" s="243"/>
      <c r="D209" s="244"/>
      <c r="E209" s="244"/>
      <c r="F209" s="244"/>
      <c r="G209" s="408"/>
      <c r="H209" s="245" t="s">
        <v>1833</v>
      </c>
      <c r="I209" s="405"/>
      <c r="J209" s="242" t="s">
        <v>1833</v>
      </c>
      <c r="K209" s="243"/>
      <c r="L209" s="244"/>
      <c r="M209" s="244"/>
      <c r="N209" s="244"/>
      <c r="O209" s="408"/>
      <c r="P209" s="245" t="s">
        <v>1833</v>
      </c>
    </row>
    <row r="210" spans="1:16" ht="26.25" thickBot="1">
      <c r="A210" s="406"/>
      <c r="B210" s="242" t="s">
        <v>1834</v>
      </c>
      <c r="C210" s="243"/>
      <c r="D210" s="244"/>
      <c r="E210" s="244"/>
      <c r="F210" s="244"/>
      <c r="G210" s="409"/>
      <c r="H210" s="245" t="s">
        <v>1835</v>
      </c>
      <c r="I210" s="406"/>
      <c r="J210" s="242" t="s">
        <v>1834</v>
      </c>
      <c r="K210" s="243"/>
      <c r="L210" s="244"/>
      <c r="M210" s="244"/>
      <c r="N210" s="244"/>
      <c r="O210" s="409"/>
      <c r="P210" s="245" t="s">
        <v>1835</v>
      </c>
    </row>
    <row r="211" spans="1:16" ht="15.75" thickBot="1">
      <c r="A211" s="404" t="s">
        <v>2159</v>
      </c>
      <c r="B211" s="242" t="s">
        <v>1822</v>
      </c>
      <c r="C211" s="243"/>
      <c r="D211" s="244"/>
      <c r="E211" s="244"/>
      <c r="F211" s="244"/>
      <c r="G211" s="407" t="s">
        <v>2159</v>
      </c>
      <c r="H211" s="245" t="s">
        <v>1822</v>
      </c>
      <c r="I211" s="404" t="s">
        <v>2159</v>
      </c>
      <c r="J211" s="242" t="s">
        <v>1822</v>
      </c>
      <c r="K211" s="243"/>
      <c r="L211" s="244"/>
      <c r="M211" s="244"/>
      <c r="N211" s="244"/>
      <c r="O211" s="407" t="s">
        <v>2159</v>
      </c>
      <c r="P211" s="245" t="s">
        <v>1822</v>
      </c>
    </row>
    <row r="212" spans="1:16" ht="15.75" thickBot="1">
      <c r="A212" s="405"/>
      <c r="B212" s="242" t="s">
        <v>1824</v>
      </c>
      <c r="C212" s="243"/>
      <c r="D212" s="244"/>
      <c r="E212" s="244"/>
      <c r="F212" s="244"/>
      <c r="G212" s="408"/>
      <c r="H212" s="245" t="s">
        <v>1824</v>
      </c>
      <c r="I212" s="405"/>
      <c r="J212" s="242" t="s">
        <v>1824</v>
      </c>
      <c r="K212" s="243"/>
      <c r="L212" s="244"/>
      <c r="M212" s="244"/>
      <c r="N212" s="244"/>
      <c r="O212" s="408"/>
      <c r="P212" s="245" t="s">
        <v>1824</v>
      </c>
    </row>
    <row r="213" spans="1:16" ht="15.75" thickBot="1">
      <c r="A213" s="405"/>
      <c r="B213" s="242" t="s">
        <v>1825</v>
      </c>
      <c r="C213" s="243"/>
      <c r="D213" s="244"/>
      <c r="E213" s="244"/>
      <c r="F213" s="244"/>
      <c r="G213" s="408"/>
      <c r="H213" s="245" t="s">
        <v>1825</v>
      </c>
      <c r="I213" s="405"/>
      <c r="J213" s="242" t="s">
        <v>1825</v>
      </c>
      <c r="K213" s="243"/>
      <c r="L213" s="244"/>
      <c r="M213" s="244"/>
      <c r="N213" s="244"/>
      <c r="O213" s="408"/>
      <c r="P213" s="245" t="s">
        <v>1825</v>
      </c>
    </row>
    <row r="214" spans="1:16" ht="15.75" thickBot="1">
      <c r="A214" s="405"/>
      <c r="B214" s="242" t="s">
        <v>1826</v>
      </c>
      <c r="C214" s="243"/>
      <c r="D214" s="244"/>
      <c r="E214" s="244"/>
      <c r="F214" s="244"/>
      <c r="G214" s="408"/>
      <c r="H214" s="245" t="s">
        <v>1826</v>
      </c>
      <c r="I214" s="405"/>
      <c r="J214" s="242" t="s">
        <v>1826</v>
      </c>
      <c r="K214" s="243"/>
      <c r="L214" s="244"/>
      <c r="M214" s="244"/>
      <c r="N214" s="244"/>
      <c r="O214" s="408"/>
      <c r="P214" s="245" t="s">
        <v>1826</v>
      </c>
    </row>
    <row r="215" spans="1:16" ht="15.75" thickBot="1">
      <c r="A215" s="405"/>
      <c r="B215" s="242" t="s">
        <v>1827</v>
      </c>
      <c r="C215" s="243"/>
      <c r="D215" s="244"/>
      <c r="E215" s="244"/>
      <c r="F215" s="244"/>
      <c r="G215" s="408"/>
      <c r="H215" s="245" t="s">
        <v>1827</v>
      </c>
      <c r="I215" s="405"/>
      <c r="J215" s="242" t="s">
        <v>1827</v>
      </c>
      <c r="K215" s="243"/>
      <c r="L215" s="244"/>
      <c r="M215" s="244"/>
      <c r="N215" s="244"/>
      <c r="O215" s="408"/>
      <c r="P215" s="245" t="s">
        <v>1827</v>
      </c>
    </row>
    <row r="216" spans="1:16" ht="15.75" thickBot="1">
      <c r="A216" s="405"/>
      <c r="B216" s="242" t="s">
        <v>1828</v>
      </c>
      <c r="C216" s="243"/>
      <c r="D216" s="244"/>
      <c r="E216" s="244"/>
      <c r="F216" s="244"/>
      <c r="G216" s="408"/>
      <c r="H216" s="245" t="s">
        <v>1828</v>
      </c>
      <c r="I216" s="405"/>
      <c r="J216" s="242" t="s">
        <v>1828</v>
      </c>
      <c r="K216" s="243"/>
      <c r="L216" s="244"/>
      <c r="M216" s="244"/>
      <c r="N216" s="244"/>
      <c r="O216" s="408"/>
      <c r="P216" s="245" t="s">
        <v>1828</v>
      </c>
    </row>
    <row r="217" spans="1:16" ht="15.75" thickBot="1">
      <c r="A217" s="405"/>
      <c r="B217" s="242" t="s">
        <v>1829</v>
      </c>
      <c r="C217" s="243"/>
      <c r="D217" s="244"/>
      <c r="E217" s="244"/>
      <c r="F217" s="244"/>
      <c r="G217" s="408"/>
      <c r="H217" s="245" t="s">
        <v>1829</v>
      </c>
      <c r="I217" s="405"/>
      <c r="J217" s="242" t="s">
        <v>1829</v>
      </c>
      <c r="K217" s="243"/>
      <c r="L217" s="244"/>
      <c r="M217" s="244"/>
      <c r="N217" s="244"/>
      <c r="O217" s="408"/>
      <c r="P217" s="245" t="s">
        <v>1829</v>
      </c>
    </row>
    <row r="218" spans="1:16" ht="15.75" thickBot="1">
      <c r="A218" s="405"/>
      <c r="B218" s="242" t="s">
        <v>1830</v>
      </c>
      <c r="C218" s="243"/>
      <c r="D218" s="244"/>
      <c r="E218" s="244"/>
      <c r="F218" s="244"/>
      <c r="G218" s="408"/>
      <c r="H218" s="245" t="s">
        <v>1830</v>
      </c>
      <c r="I218" s="405"/>
      <c r="J218" s="242" t="s">
        <v>1830</v>
      </c>
      <c r="K218" s="243"/>
      <c r="L218" s="244"/>
      <c r="M218" s="244"/>
      <c r="N218" s="244"/>
      <c r="O218" s="408"/>
      <c r="P218" s="245" t="s">
        <v>1830</v>
      </c>
    </row>
    <row r="219" spans="1:16" ht="15.75" thickBot="1">
      <c r="A219" s="405"/>
      <c r="B219" s="242" t="s">
        <v>1831</v>
      </c>
      <c r="C219" s="243"/>
      <c r="D219" s="244"/>
      <c r="E219" s="244"/>
      <c r="F219" s="244"/>
      <c r="G219" s="408"/>
      <c r="H219" s="245" t="s">
        <v>1831</v>
      </c>
      <c r="I219" s="405"/>
      <c r="J219" s="242" t="s">
        <v>1831</v>
      </c>
      <c r="K219" s="243"/>
      <c r="L219" s="244"/>
      <c r="M219" s="244"/>
      <c r="N219" s="244"/>
      <c r="O219" s="408"/>
      <c r="P219" s="245" t="s">
        <v>1831</v>
      </c>
    </row>
    <row r="220" spans="1:16" ht="15.75" thickBot="1">
      <c r="A220" s="405"/>
      <c r="B220" s="242" t="s">
        <v>1832</v>
      </c>
      <c r="C220" s="243"/>
      <c r="D220" s="244"/>
      <c r="E220" s="244"/>
      <c r="F220" s="244"/>
      <c r="G220" s="408"/>
      <c r="H220" s="245" t="s">
        <v>1832</v>
      </c>
      <c r="I220" s="405"/>
      <c r="J220" s="242" t="s">
        <v>1832</v>
      </c>
      <c r="K220" s="243"/>
      <c r="L220" s="244"/>
      <c r="M220" s="244"/>
      <c r="N220" s="244"/>
      <c r="O220" s="408"/>
      <c r="P220" s="245" t="s">
        <v>1832</v>
      </c>
    </row>
    <row r="221" spans="1:16" ht="15.75" thickBot="1">
      <c r="A221" s="405"/>
      <c r="B221" s="242" t="s">
        <v>1833</v>
      </c>
      <c r="C221" s="243"/>
      <c r="D221" s="244"/>
      <c r="E221" s="244"/>
      <c r="F221" s="244"/>
      <c r="G221" s="408"/>
      <c r="H221" s="245" t="s">
        <v>1833</v>
      </c>
      <c r="I221" s="405"/>
      <c r="J221" s="242" t="s">
        <v>1833</v>
      </c>
      <c r="K221" s="243"/>
      <c r="L221" s="244"/>
      <c r="M221" s="244"/>
      <c r="N221" s="244"/>
      <c r="O221" s="408"/>
      <c r="P221" s="245" t="s">
        <v>1833</v>
      </c>
    </row>
    <row r="222" spans="1:16" ht="26.25" thickBot="1">
      <c r="A222" s="406"/>
      <c r="B222" s="242" t="s">
        <v>1834</v>
      </c>
      <c r="C222" s="243"/>
      <c r="D222" s="244"/>
      <c r="E222" s="244"/>
      <c r="F222" s="244"/>
      <c r="G222" s="409"/>
      <c r="H222" s="245" t="s">
        <v>1835</v>
      </c>
      <c r="I222" s="406"/>
      <c r="J222" s="242" t="s">
        <v>1834</v>
      </c>
      <c r="K222" s="243"/>
      <c r="L222" s="244"/>
      <c r="M222" s="244"/>
      <c r="N222" s="244"/>
      <c r="O222" s="409"/>
      <c r="P222" s="245" t="s">
        <v>1835</v>
      </c>
    </row>
    <row r="223" spans="1:16" ht="15.75" thickBot="1">
      <c r="A223" s="404" t="s">
        <v>2160</v>
      </c>
      <c r="B223" s="242" t="s">
        <v>1822</v>
      </c>
      <c r="C223" s="243"/>
      <c r="D223" s="244"/>
      <c r="E223" s="244"/>
      <c r="F223" s="244"/>
      <c r="G223" s="407" t="s">
        <v>2160</v>
      </c>
      <c r="H223" s="245" t="s">
        <v>1822</v>
      </c>
      <c r="I223" s="404" t="s">
        <v>2160</v>
      </c>
      <c r="J223" s="242" t="s">
        <v>1822</v>
      </c>
      <c r="K223" s="243"/>
      <c r="L223" s="244"/>
      <c r="M223" s="244"/>
      <c r="N223" s="244"/>
      <c r="O223" s="407" t="s">
        <v>2160</v>
      </c>
      <c r="P223" s="245" t="s">
        <v>1822</v>
      </c>
    </row>
    <row r="224" spans="1:16" ht="15.75" thickBot="1">
      <c r="A224" s="405"/>
      <c r="B224" s="242" t="s">
        <v>1824</v>
      </c>
      <c r="C224" s="243"/>
      <c r="D224" s="244"/>
      <c r="E224" s="244"/>
      <c r="F224" s="244"/>
      <c r="G224" s="408"/>
      <c r="H224" s="245" t="s">
        <v>1824</v>
      </c>
      <c r="I224" s="405"/>
      <c r="J224" s="242" t="s">
        <v>1824</v>
      </c>
      <c r="K224" s="243"/>
      <c r="L224" s="244"/>
      <c r="M224" s="244"/>
      <c r="N224" s="244"/>
      <c r="O224" s="408"/>
      <c r="P224" s="245" t="s">
        <v>1824</v>
      </c>
    </row>
    <row r="225" spans="1:16" ht="15.75" thickBot="1">
      <c r="A225" s="405"/>
      <c r="B225" s="242" t="s">
        <v>1825</v>
      </c>
      <c r="C225" s="243"/>
      <c r="D225" s="244"/>
      <c r="E225" s="244"/>
      <c r="F225" s="244"/>
      <c r="G225" s="408"/>
      <c r="H225" s="245" t="s">
        <v>1825</v>
      </c>
      <c r="I225" s="405"/>
      <c r="J225" s="242" t="s">
        <v>1825</v>
      </c>
      <c r="K225" s="243"/>
      <c r="L225" s="244"/>
      <c r="M225" s="244"/>
      <c r="N225" s="244"/>
      <c r="O225" s="408"/>
      <c r="P225" s="245" t="s">
        <v>1825</v>
      </c>
    </row>
    <row r="226" spans="1:16" ht="15.75" thickBot="1">
      <c r="A226" s="405"/>
      <c r="B226" s="242" t="s">
        <v>1826</v>
      </c>
      <c r="C226" s="243"/>
      <c r="D226" s="244"/>
      <c r="E226" s="244"/>
      <c r="F226" s="244"/>
      <c r="G226" s="408"/>
      <c r="H226" s="245" t="s">
        <v>1826</v>
      </c>
      <c r="I226" s="405"/>
      <c r="J226" s="242" t="s">
        <v>1826</v>
      </c>
      <c r="K226" s="243"/>
      <c r="L226" s="244"/>
      <c r="M226" s="244"/>
      <c r="N226" s="244"/>
      <c r="O226" s="408"/>
      <c r="P226" s="245" t="s">
        <v>1826</v>
      </c>
    </row>
    <row r="227" spans="1:16" ht="15.75" thickBot="1">
      <c r="A227" s="405"/>
      <c r="B227" s="242" t="s">
        <v>1827</v>
      </c>
      <c r="C227" s="243"/>
      <c r="D227" s="244"/>
      <c r="E227" s="244"/>
      <c r="F227" s="244"/>
      <c r="G227" s="408"/>
      <c r="H227" s="245" t="s">
        <v>1827</v>
      </c>
      <c r="I227" s="405"/>
      <c r="J227" s="242" t="s">
        <v>1827</v>
      </c>
      <c r="K227" s="243"/>
      <c r="L227" s="244"/>
      <c r="M227" s="244"/>
      <c r="N227" s="244"/>
      <c r="O227" s="408"/>
      <c r="P227" s="245" t="s">
        <v>1827</v>
      </c>
    </row>
    <row r="228" spans="1:16" ht="15.75" thickBot="1">
      <c r="A228" s="405"/>
      <c r="B228" s="242" t="s">
        <v>1828</v>
      </c>
      <c r="C228" s="243"/>
      <c r="D228" s="244"/>
      <c r="E228" s="244"/>
      <c r="F228" s="244"/>
      <c r="G228" s="408"/>
      <c r="H228" s="245" t="s">
        <v>1828</v>
      </c>
      <c r="I228" s="405"/>
      <c r="J228" s="242" t="s">
        <v>1828</v>
      </c>
      <c r="K228" s="243"/>
      <c r="L228" s="244"/>
      <c r="M228" s="244"/>
      <c r="N228" s="244"/>
      <c r="O228" s="408"/>
      <c r="P228" s="245" t="s">
        <v>1828</v>
      </c>
    </row>
    <row r="229" spans="1:16" ht="15.75" thickBot="1">
      <c r="A229" s="405"/>
      <c r="B229" s="242" t="s">
        <v>1829</v>
      </c>
      <c r="C229" s="243"/>
      <c r="D229" s="244"/>
      <c r="E229" s="244"/>
      <c r="F229" s="244"/>
      <c r="G229" s="408"/>
      <c r="H229" s="245" t="s">
        <v>1829</v>
      </c>
      <c r="I229" s="405"/>
      <c r="J229" s="242" t="s">
        <v>1829</v>
      </c>
      <c r="K229" s="243"/>
      <c r="L229" s="244"/>
      <c r="M229" s="244"/>
      <c r="N229" s="244"/>
      <c r="O229" s="408"/>
      <c r="P229" s="245" t="s">
        <v>1829</v>
      </c>
    </row>
    <row r="230" spans="1:16" ht="15.75" thickBot="1">
      <c r="A230" s="405"/>
      <c r="B230" s="242" t="s">
        <v>1830</v>
      </c>
      <c r="C230" s="243"/>
      <c r="D230" s="244"/>
      <c r="E230" s="244"/>
      <c r="F230" s="244"/>
      <c r="G230" s="408"/>
      <c r="H230" s="245" t="s">
        <v>1830</v>
      </c>
      <c r="I230" s="405"/>
      <c r="J230" s="242" t="s">
        <v>1830</v>
      </c>
      <c r="K230" s="243"/>
      <c r="L230" s="244"/>
      <c r="M230" s="244"/>
      <c r="N230" s="244"/>
      <c r="O230" s="408"/>
      <c r="P230" s="245" t="s">
        <v>1830</v>
      </c>
    </row>
    <row r="231" spans="1:16" ht="15.75" thickBot="1">
      <c r="A231" s="405"/>
      <c r="B231" s="242" t="s">
        <v>1831</v>
      </c>
      <c r="C231" s="243"/>
      <c r="D231" s="244"/>
      <c r="E231" s="244"/>
      <c r="F231" s="244"/>
      <c r="G231" s="408"/>
      <c r="H231" s="245" t="s">
        <v>1831</v>
      </c>
      <c r="I231" s="405"/>
      <c r="J231" s="242" t="s">
        <v>1831</v>
      </c>
      <c r="K231" s="243"/>
      <c r="L231" s="244"/>
      <c r="M231" s="244"/>
      <c r="N231" s="244"/>
      <c r="O231" s="408"/>
      <c r="P231" s="245" t="s">
        <v>1831</v>
      </c>
    </row>
    <row r="232" spans="1:16" ht="15.75" thickBot="1">
      <c r="A232" s="405"/>
      <c r="B232" s="242" t="s">
        <v>1832</v>
      </c>
      <c r="C232" s="243"/>
      <c r="D232" s="244"/>
      <c r="E232" s="244"/>
      <c r="F232" s="244"/>
      <c r="G232" s="408"/>
      <c r="H232" s="245" t="s">
        <v>1832</v>
      </c>
      <c r="I232" s="405"/>
      <c r="J232" s="242" t="s">
        <v>1832</v>
      </c>
      <c r="K232" s="243"/>
      <c r="L232" s="244"/>
      <c r="M232" s="244"/>
      <c r="N232" s="244"/>
      <c r="O232" s="408"/>
      <c r="P232" s="245" t="s">
        <v>1832</v>
      </c>
    </row>
    <row r="233" spans="1:16" ht="15.75" thickBot="1">
      <c r="A233" s="405"/>
      <c r="B233" s="242" t="s">
        <v>1833</v>
      </c>
      <c r="C233" s="243"/>
      <c r="D233" s="244"/>
      <c r="E233" s="244"/>
      <c r="F233" s="244"/>
      <c r="G233" s="408"/>
      <c r="H233" s="245" t="s">
        <v>1833</v>
      </c>
      <c r="I233" s="405"/>
      <c r="J233" s="242" t="s">
        <v>1833</v>
      </c>
      <c r="K233" s="243"/>
      <c r="L233" s="244"/>
      <c r="M233" s="244"/>
      <c r="N233" s="244"/>
      <c r="O233" s="408"/>
      <c r="P233" s="245" t="s">
        <v>1833</v>
      </c>
    </row>
    <row r="234" spans="1:16" ht="26.25" thickBot="1">
      <c r="A234" s="406"/>
      <c r="B234" s="242" t="s">
        <v>1834</v>
      </c>
      <c r="C234" s="243"/>
      <c r="D234" s="244"/>
      <c r="E234" s="244"/>
      <c r="F234" s="244"/>
      <c r="G234" s="409"/>
      <c r="H234" s="245" t="s">
        <v>1835</v>
      </c>
      <c r="I234" s="406"/>
      <c r="J234" s="242" t="s">
        <v>1834</v>
      </c>
      <c r="K234" s="243"/>
      <c r="L234" s="244"/>
      <c r="M234" s="244"/>
      <c r="N234" s="244"/>
      <c r="O234" s="409"/>
      <c r="P234" s="245" t="s">
        <v>1835</v>
      </c>
    </row>
    <row r="235" spans="1:16" ht="15.75" thickBot="1">
      <c r="A235" s="404" t="s">
        <v>2161</v>
      </c>
      <c r="B235" s="242" t="s">
        <v>1822</v>
      </c>
      <c r="C235" s="243"/>
      <c r="D235" s="244"/>
      <c r="E235" s="244"/>
      <c r="F235" s="244"/>
      <c r="G235" s="407" t="s">
        <v>2161</v>
      </c>
      <c r="H235" s="245" t="s">
        <v>1822</v>
      </c>
      <c r="I235" s="404" t="s">
        <v>2161</v>
      </c>
      <c r="J235" s="242" t="s">
        <v>1822</v>
      </c>
      <c r="K235" s="243"/>
      <c r="L235" s="244"/>
      <c r="M235" s="244"/>
      <c r="N235" s="244"/>
      <c r="O235" s="407" t="s">
        <v>2161</v>
      </c>
      <c r="P235" s="245" t="s">
        <v>1822</v>
      </c>
    </row>
    <row r="236" spans="1:16" ht="15.75" thickBot="1">
      <c r="A236" s="405"/>
      <c r="B236" s="242" t="s">
        <v>1824</v>
      </c>
      <c r="C236" s="243"/>
      <c r="D236" s="244"/>
      <c r="E236" s="244"/>
      <c r="F236" s="244"/>
      <c r="G236" s="408"/>
      <c r="H236" s="245" t="s">
        <v>1824</v>
      </c>
      <c r="I236" s="405"/>
      <c r="J236" s="242" t="s">
        <v>1824</v>
      </c>
      <c r="K236" s="243"/>
      <c r="L236" s="244"/>
      <c r="M236" s="244"/>
      <c r="N236" s="244"/>
      <c r="O236" s="408"/>
      <c r="P236" s="245" t="s">
        <v>1824</v>
      </c>
    </row>
    <row r="237" spans="1:16" ht="15.75" thickBot="1">
      <c r="A237" s="405"/>
      <c r="B237" s="242" t="s">
        <v>1825</v>
      </c>
      <c r="C237" s="243"/>
      <c r="D237" s="244"/>
      <c r="E237" s="244"/>
      <c r="F237" s="244"/>
      <c r="G237" s="408"/>
      <c r="H237" s="245" t="s">
        <v>1825</v>
      </c>
      <c r="I237" s="405"/>
      <c r="J237" s="242" t="s">
        <v>1825</v>
      </c>
      <c r="K237" s="243"/>
      <c r="L237" s="244"/>
      <c r="M237" s="244"/>
      <c r="N237" s="244"/>
      <c r="O237" s="408"/>
      <c r="P237" s="245" t="s">
        <v>1825</v>
      </c>
    </row>
    <row r="238" spans="1:16" ht="15.75" thickBot="1">
      <c r="A238" s="405"/>
      <c r="B238" s="242" t="s">
        <v>1826</v>
      </c>
      <c r="C238" s="243"/>
      <c r="D238" s="244"/>
      <c r="E238" s="244"/>
      <c r="F238" s="244"/>
      <c r="G238" s="408"/>
      <c r="H238" s="245" t="s">
        <v>1826</v>
      </c>
      <c r="I238" s="405"/>
      <c r="J238" s="242" t="s">
        <v>1826</v>
      </c>
      <c r="K238" s="243"/>
      <c r="L238" s="244"/>
      <c r="M238" s="244"/>
      <c r="N238" s="244"/>
      <c r="O238" s="408"/>
      <c r="P238" s="245" t="s">
        <v>1826</v>
      </c>
    </row>
    <row r="239" spans="1:16" ht="15.75" thickBot="1">
      <c r="A239" s="405"/>
      <c r="B239" s="242" t="s">
        <v>1827</v>
      </c>
      <c r="C239" s="243"/>
      <c r="D239" s="244"/>
      <c r="E239" s="244"/>
      <c r="F239" s="244"/>
      <c r="G239" s="408"/>
      <c r="H239" s="245" t="s">
        <v>1827</v>
      </c>
      <c r="I239" s="405"/>
      <c r="J239" s="242" t="s">
        <v>1827</v>
      </c>
      <c r="K239" s="243"/>
      <c r="L239" s="244"/>
      <c r="M239" s="244"/>
      <c r="N239" s="244"/>
      <c r="O239" s="408"/>
      <c r="P239" s="245" t="s">
        <v>1827</v>
      </c>
    </row>
    <row r="240" spans="1:16" ht="15.75" thickBot="1">
      <c r="A240" s="405"/>
      <c r="B240" s="242" t="s">
        <v>1828</v>
      </c>
      <c r="C240" s="243"/>
      <c r="D240" s="244"/>
      <c r="E240" s="244"/>
      <c r="F240" s="244"/>
      <c r="G240" s="408"/>
      <c r="H240" s="245" t="s">
        <v>1828</v>
      </c>
      <c r="I240" s="405"/>
      <c r="J240" s="242" t="s">
        <v>1828</v>
      </c>
      <c r="K240" s="243"/>
      <c r="L240" s="244"/>
      <c r="M240" s="244"/>
      <c r="N240" s="244"/>
      <c r="O240" s="408"/>
      <c r="P240" s="245" t="s">
        <v>1828</v>
      </c>
    </row>
    <row r="241" spans="1:16" ht="15.75" thickBot="1">
      <c r="A241" s="405"/>
      <c r="B241" s="242" t="s">
        <v>1829</v>
      </c>
      <c r="C241" s="243"/>
      <c r="D241" s="244"/>
      <c r="E241" s="244"/>
      <c r="F241" s="244"/>
      <c r="G241" s="408"/>
      <c r="H241" s="245" t="s">
        <v>1829</v>
      </c>
      <c r="I241" s="405"/>
      <c r="J241" s="242" t="s">
        <v>1829</v>
      </c>
      <c r="K241" s="243"/>
      <c r="L241" s="244"/>
      <c r="M241" s="244"/>
      <c r="N241" s="244"/>
      <c r="O241" s="408"/>
      <c r="P241" s="245" t="s">
        <v>1829</v>
      </c>
    </row>
    <row r="242" spans="1:16" ht="15.75" thickBot="1">
      <c r="A242" s="405"/>
      <c r="B242" s="242" t="s">
        <v>1830</v>
      </c>
      <c r="C242" s="243"/>
      <c r="D242" s="244"/>
      <c r="E242" s="244"/>
      <c r="F242" s="244"/>
      <c r="G242" s="408"/>
      <c r="H242" s="245" t="s">
        <v>1830</v>
      </c>
      <c r="I242" s="405"/>
      <c r="J242" s="242" t="s">
        <v>1830</v>
      </c>
      <c r="K242" s="243"/>
      <c r="L242" s="244"/>
      <c r="M242" s="244"/>
      <c r="N242" s="244"/>
      <c r="O242" s="408"/>
      <c r="P242" s="245" t="s">
        <v>1830</v>
      </c>
    </row>
    <row r="243" spans="1:16" ht="15.75" thickBot="1">
      <c r="A243" s="405"/>
      <c r="B243" s="242" t="s">
        <v>1831</v>
      </c>
      <c r="C243" s="243"/>
      <c r="D243" s="244"/>
      <c r="E243" s="244"/>
      <c r="F243" s="244"/>
      <c r="G243" s="408"/>
      <c r="H243" s="245" t="s">
        <v>1831</v>
      </c>
      <c r="I243" s="405"/>
      <c r="J243" s="242" t="s">
        <v>1831</v>
      </c>
      <c r="K243" s="243"/>
      <c r="L243" s="244"/>
      <c r="M243" s="244"/>
      <c r="N243" s="244"/>
      <c r="O243" s="408"/>
      <c r="P243" s="245" t="s">
        <v>1831</v>
      </c>
    </row>
    <row r="244" spans="1:16" ht="15.75" thickBot="1">
      <c r="A244" s="405"/>
      <c r="B244" s="242" t="s">
        <v>1832</v>
      </c>
      <c r="C244" s="243"/>
      <c r="D244" s="244"/>
      <c r="E244" s="244"/>
      <c r="F244" s="244"/>
      <c r="G244" s="408"/>
      <c r="H244" s="245" t="s">
        <v>1832</v>
      </c>
      <c r="I244" s="405"/>
      <c r="J244" s="242" t="s">
        <v>1832</v>
      </c>
      <c r="K244" s="243"/>
      <c r="L244" s="244"/>
      <c r="M244" s="244"/>
      <c r="N244" s="244"/>
      <c r="O244" s="408"/>
      <c r="P244" s="245" t="s">
        <v>1832</v>
      </c>
    </row>
    <row r="245" spans="1:16" ht="15.75" thickBot="1">
      <c r="A245" s="405"/>
      <c r="B245" s="242" t="s">
        <v>1833</v>
      </c>
      <c r="C245" s="243"/>
      <c r="D245" s="244"/>
      <c r="E245" s="244"/>
      <c r="F245" s="244"/>
      <c r="G245" s="408"/>
      <c r="H245" s="245" t="s">
        <v>1833</v>
      </c>
      <c r="I245" s="405"/>
      <c r="J245" s="242" t="s">
        <v>1833</v>
      </c>
      <c r="K245" s="243"/>
      <c r="L245" s="244"/>
      <c r="M245" s="244"/>
      <c r="N245" s="244"/>
      <c r="O245" s="408"/>
      <c r="P245" s="245" t="s">
        <v>1833</v>
      </c>
    </row>
    <row r="246" spans="1:16" ht="26.25" thickBot="1">
      <c r="A246" s="406"/>
      <c r="B246" s="242" t="s">
        <v>1834</v>
      </c>
      <c r="C246" s="243"/>
      <c r="D246" s="244"/>
      <c r="E246" s="244"/>
      <c r="F246" s="244"/>
      <c r="G246" s="409"/>
      <c r="H246" s="245" t="s">
        <v>1835</v>
      </c>
      <c r="I246" s="406"/>
      <c r="J246" s="242" t="s">
        <v>1834</v>
      </c>
      <c r="K246" s="243"/>
      <c r="L246" s="244"/>
      <c r="M246" s="244"/>
      <c r="N246" s="244"/>
      <c r="O246" s="409"/>
      <c r="P246" s="245" t="s">
        <v>1835</v>
      </c>
    </row>
    <row r="247" spans="1:16" ht="15.75" thickBot="1">
      <c r="A247" s="404" t="s">
        <v>2162</v>
      </c>
      <c r="B247" s="242" t="s">
        <v>1822</v>
      </c>
      <c r="C247" s="243">
        <v>75000</v>
      </c>
      <c r="D247" s="244" t="s">
        <v>2183</v>
      </c>
      <c r="E247" s="244" t="s">
        <v>2184</v>
      </c>
      <c r="F247" s="244" t="s">
        <v>2185</v>
      </c>
      <c r="G247" s="407" t="s">
        <v>2163</v>
      </c>
      <c r="H247" s="245" t="s">
        <v>1822</v>
      </c>
      <c r="I247" s="404" t="s">
        <v>2162</v>
      </c>
      <c r="J247" s="242" t="s">
        <v>1822</v>
      </c>
      <c r="K247" s="243">
        <v>75000</v>
      </c>
      <c r="L247" s="244" t="s">
        <v>2183</v>
      </c>
      <c r="M247" s="244" t="s">
        <v>2184</v>
      </c>
      <c r="N247" s="244" t="s">
        <v>2185</v>
      </c>
      <c r="O247" s="407" t="s">
        <v>2163</v>
      </c>
      <c r="P247" s="245" t="s">
        <v>1822</v>
      </c>
    </row>
    <row r="248" spans="1:16" ht="15.75" thickBot="1">
      <c r="A248" s="405"/>
      <c r="B248" s="242" t="s">
        <v>1824</v>
      </c>
      <c r="C248" s="243"/>
      <c r="D248" s="244"/>
      <c r="E248" s="244"/>
      <c r="F248" s="244"/>
      <c r="G248" s="408"/>
      <c r="H248" s="245" t="s">
        <v>1824</v>
      </c>
      <c r="I248" s="405"/>
      <c r="J248" s="242" t="s">
        <v>1824</v>
      </c>
      <c r="K248" s="243"/>
      <c r="L248" s="244"/>
      <c r="M248" s="244"/>
      <c r="N248" s="244"/>
      <c r="O248" s="408"/>
      <c r="P248" s="245" t="s">
        <v>1824</v>
      </c>
    </row>
    <row r="249" spans="1:16" ht="15.75" thickBot="1">
      <c r="A249" s="405"/>
      <c r="B249" s="242" t="s">
        <v>1825</v>
      </c>
      <c r="C249" s="243"/>
      <c r="D249" s="244"/>
      <c r="E249" s="244"/>
      <c r="F249" s="244"/>
      <c r="G249" s="408"/>
      <c r="H249" s="245" t="s">
        <v>1825</v>
      </c>
      <c r="I249" s="405"/>
      <c r="J249" s="242" t="s">
        <v>1825</v>
      </c>
      <c r="K249" s="243"/>
      <c r="L249" s="244"/>
      <c r="M249" s="244"/>
      <c r="N249" s="244"/>
      <c r="O249" s="408"/>
      <c r="P249" s="245" t="s">
        <v>1825</v>
      </c>
    </row>
    <row r="250" spans="1:16" ht="15.75" thickBot="1">
      <c r="A250" s="405"/>
      <c r="B250" s="242" t="s">
        <v>1826</v>
      </c>
      <c r="C250" s="243"/>
      <c r="D250" s="244"/>
      <c r="E250" s="244"/>
      <c r="F250" s="244"/>
      <c r="G250" s="408"/>
      <c r="H250" s="245" t="s">
        <v>1826</v>
      </c>
      <c r="I250" s="405"/>
      <c r="J250" s="242" t="s">
        <v>1826</v>
      </c>
      <c r="K250" s="243"/>
      <c r="L250" s="244"/>
      <c r="M250" s="244"/>
      <c r="N250" s="244"/>
      <c r="O250" s="408"/>
      <c r="P250" s="245" t="s">
        <v>1826</v>
      </c>
    </row>
    <row r="251" spans="1:16" ht="15.75" thickBot="1">
      <c r="A251" s="405"/>
      <c r="B251" s="242" t="s">
        <v>1827</v>
      </c>
      <c r="C251" s="243"/>
      <c r="D251" s="244"/>
      <c r="E251" s="244"/>
      <c r="F251" s="244"/>
      <c r="G251" s="408"/>
      <c r="H251" s="245" t="s">
        <v>1827</v>
      </c>
      <c r="I251" s="405"/>
      <c r="J251" s="242" t="s">
        <v>1827</v>
      </c>
      <c r="K251" s="243"/>
      <c r="L251" s="244"/>
      <c r="M251" s="244"/>
      <c r="N251" s="244"/>
      <c r="O251" s="408"/>
      <c r="P251" s="245" t="s">
        <v>1827</v>
      </c>
    </row>
    <row r="252" spans="1:16" ht="15.75" thickBot="1">
      <c r="A252" s="405"/>
      <c r="B252" s="242" t="s">
        <v>1828</v>
      </c>
      <c r="C252" s="243"/>
      <c r="D252" s="244"/>
      <c r="E252" s="244"/>
      <c r="F252" s="244"/>
      <c r="G252" s="408"/>
      <c r="H252" s="245" t="s">
        <v>1828</v>
      </c>
      <c r="I252" s="405"/>
      <c r="J252" s="242" t="s">
        <v>1828</v>
      </c>
      <c r="K252" s="243"/>
      <c r="L252" s="244"/>
      <c r="M252" s="244"/>
      <c r="N252" s="244"/>
      <c r="O252" s="408"/>
      <c r="P252" s="245" t="s">
        <v>1828</v>
      </c>
    </row>
    <row r="253" spans="1:16" ht="15.75" thickBot="1">
      <c r="A253" s="405"/>
      <c r="B253" s="242" t="s">
        <v>1829</v>
      </c>
      <c r="C253" s="243"/>
      <c r="D253" s="244"/>
      <c r="E253" s="244"/>
      <c r="F253" s="244"/>
      <c r="G253" s="408"/>
      <c r="H253" s="245" t="s">
        <v>1829</v>
      </c>
      <c r="I253" s="405"/>
      <c r="J253" s="242" t="s">
        <v>1829</v>
      </c>
      <c r="K253" s="243"/>
      <c r="L253" s="244"/>
      <c r="M253" s="244"/>
      <c r="N253" s="244"/>
      <c r="O253" s="408"/>
      <c r="P253" s="245" t="s">
        <v>1829</v>
      </c>
    </row>
    <row r="254" spans="1:16" ht="15.75" thickBot="1">
      <c r="A254" s="405"/>
      <c r="B254" s="242" t="s">
        <v>1830</v>
      </c>
      <c r="C254" s="243"/>
      <c r="D254" s="244"/>
      <c r="E254" s="244"/>
      <c r="F254" s="244"/>
      <c r="G254" s="408"/>
      <c r="H254" s="245" t="s">
        <v>1830</v>
      </c>
      <c r="I254" s="405"/>
      <c r="J254" s="242" t="s">
        <v>1830</v>
      </c>
      <c r="K254" s="243"/>
      <c r="L254" s="244"/>
      <c r="M254" s="244"/>
      <c r="N254" s="244"/>
      <c r="O254" s="408"/>
      <c r="P254" s="245" t="s">
        <v>1830</v>
      </c>
    </row>
    <row r="255" spans="1:16" ht="15.75" thickBot="1">
      <c r="A255" s="405"/>
      <c r="B255" s="242" t="s">
        <v>1831</v>
      </c>
      <c r="C255" s="243"/>
      <c r="D255" s="244"/>
      <c r="E255" s="244"/>
      <c r="F255" s="244"/>
      <c r="G255" s="408"/>
      <c r="H255" s="245" t="s">
        <v>1831</v>
      </c>
      <c r="I255" s="405"/>
      <c r="J255" s="242" t="s">
        <v>1831</v>
      </c>
      <c r="K255" s="243"/>
      <c r="L255" s="244"/>
      <c r="M255" s="244"/>
      <c r="N255" s="244"/>
      <c r="O255" s="408"/>
      <c r="P255" s="245" t="s">
        <v>1831</v>
      </c>
    </row>
    <row r="256" spans="1:16" ht="15.75" thickBot="1">
      <c r="A256" s="405"/>
      <c r="B256" s="242" t="s">
        <v>1832</v>
      </c>
      <c r="C256" s="243"/>
      <c r="D256" s="244"/>
      <c r="E256" s="244"/>
      <c r="F256" s="244"/>
      <c r="G256" s="408"/>
      <c r="H256" s="245" t="s">
        <v>1832</v>
      </c>
      <c r="I256" s="405"/>
      <c r="J256" s="242" t="s">
        <v>1832</v>
      </c>
      <c r="K256" s="243"/>
      <c r="L256" s="244"/>
      <c r="M256" s="244"/>
      <c r="N256" s="244"/>
      <c r="O256" s="408"/>
      <c r="P256" s="245" t="s">
        <v>1832</v>
      </c>
    </row>
    <row r="257" spans="1:16" ht="15.75" thickBot="1">
      <c r="A257" s="405"/>
      <c r="B257" s="242" t="s">
        <v>1833</v>
      </c>
      <c r="C257" s="243"/>
      <c r="D257" s="244"/>
      <c r="E257" s="244"/>
      <c r="F257" s="244"/>
      <c r="G257" s="408"/>
      <c r="H257" s="245" t="s">
        <v>1833</v>
      </c>
      <c r="I257" s="405"/>
      <c r="J257" s="242" t="s">
        <v>1833</v>
      </c>
      <c r="K257" s="243"/>
      <c r="L257" s="244"/>
      <c r="M257" s="244"/>
      <c r="N257" s="244"/>
      <c r="O257" s="408"/>
      <c r="P257" s="245" t="s">
        <v>1833</v>
      </c>
    </row>
    <row r="258" spans="1:16" ht="26.25" thickBot="1">
      <c r="A258" s="406"/>
      <c r="B258" s="242" t="s">
        <v>1834</v>
      </c>
      <c r="C258" s="243"/>
      <c r="D258" s="244"/>
      <c r="E258" s="244"/>
      <c r="F258" s="244"/>
      <c r="G258" s="409"/>
      <c r="H258" s="245" t="s">
        <v>1835</v>
      </c>
      <c r="I258" s="406"/>
      <c r="J258" s="242" t="s">
        <v>1834</v>
      </c>
      <c r="K258" s="243"/>
      <c r="L258" s="244"/>
      <c r="M258" s="244"/>
      <c r="N258" s="244"/>
      <c r="O258" s="409"/>
      <c r="P258" s="245" t="s">
        <v>1835</v>
      </c>
    </row>
    <row r="259" spans="1:16" ht="15.75" thickBot="1">
      <c r="A259" s="404" t="s">
        <v>2164</v>
      </c>
      <c r="B259" s="242" t="s">
        <v>1822</v>
      </c>
      <c r="C259" s="243"/>
      <c r="D259" s="244"/>
      <c r="E259" s="244"/>
      <c r="F259" s="244"/>
      <c r="G259" s="407" t="s">
        <v>2165</v>
      </c>
      <c r="H259" s="245" t="s">
        <v>1822</v>
      </c>
      <c r="I259" s="404" t="s">
        <v>2164</v>
      </c>
      <c r="J259" s="242" t="s">
        <v>1822</v>
      </c>
      <c r="K259" s="243"/>
      <c r="L259" s="244"/>
      <c r="M259" s="244"/>
      <c r="N259" s="244"/>
      <c r="O259" s="407" t="s">
        <v>2165</v>
      </c>
      <c r="P259" s="245" t="s">
        <v>1822</v>
      </c>
    </row>
    <row r="260" spans="1:16" ht="15.75" thickBot="1">
      <c r="A260" s="405"/>
      <c r="B260" s="242" t="s">
        <v>1824</v>
      </c>
      <c r="C260" s="243"/>
      <c r="D260" s="244"/>
      <c r="E260" s="244"/>
      <c r="F260" s="244"/>
      <c r="G260" s="408"/>
      <c r="H260" s="245" t="s">
        <v>1824</v>
      </c>
      <c r="I260" s="405"/>
      <c r="J260" s="242" t="s">
        <v>1824</v>
      </c>
      <c r="K260" s="243"/>
      <c r="L260" s="244"/>
      <c r="M260" s="244"/>
      <c r="N260" s="244"/>
      <c r="O260" s="408"/>
      <c r="P260" s="245" t="s">
        <v>1824</v>
      </c>
    </row>
    <row r="261" spans="1:16" ht="15.75" thickBot="1">
      <c r="A261" s="405"/>
      <c r="B261" s="242" t="s">
        <v>1825</v>
      </c>
      <c r="C261" s="243"/>
      <c r="D261" s="244"/>
      <c r="E261" s="244"/>
      <c r="F261" s="244"/>
      <c r="G261" s="408"/>
      <c r="H261" s="245" t="s">
        <v>1825</v>
      </c>
      <c r="I261" s="405"/>
      <c r="J261" s="242" t="s">
        <v>1825</v>
      </c>
      <c r="K261" s="243"/>
      <c r="L261" s="244"/>
      <c r="M261" s="244"/>
      <c r="N261" s="244"/>
      <c r="O261" s="408"/>
      <c r="P261" s="245" t="s">
        <v>1825</v>
      </c>
    </row>
    <row r="262" spans="1:16" ht="15.75" thickBot="1">
      <c r="A262" s="405"/>
      <c r="B262" s="242" t="s">
        <v>1826</v>
      </c>
      <c r="C262" s="243"/>
      <c r="D262" s="244"/>
      <c r="E262" s="244"/>
      <c r="F262" s="244"/>
      <c r="G262" s="408"/>
      <c r="H262" s="245" t="s">
        <v>1826</v>
      </c>
      <c r="I262" s="405"/>
      <c r="J262" s="242" t="s">
        <v>1826</v>
      </c>
      <c r="K262" s="243"/>
      <c r="L262" s="244"/>
      <c r="M262" s="244"/>
      <c r="N262" s="244"/>
      <c r="O262" s="408"/>
      <c r="P262" s="245" t="s">
        <v>1826</v>
      </c>
    </row>
    <row r="263" spans="1:16" ht="15.75" thickBot="1">
      <c r="A263" s="405"/>
      <c r="B263" s="242" t="s">
        <v>1827</v>
      </c>
      <c r="C263" s="243"/>
      <c r="D263" s="244"/>
      <c r="E263" s="244"/>
      <c r="F263" s="244"/>
      <c r="G263" s="408"/>
      <c r="H263" s="245" t="s">
        <v>1827</v>
      </c>
      <c r="I263" s="405"/>
      <c r="J263" s="242" t="s">
        <v>1827</v>
      </c>
      <c r="K263" s="243"/>
      <c r="L263" s="244"/>
      <c r="M263" s="244"/>
      <c r="N263" s="244"/>
      <c r="O263" s="408"/>
      <c r="P263" s="245" t="s">
        <v>1827</v>
      </c>
    </row>
    <row r="264" spans="1:16" ht="15.75" thickBot="1">
      <c r="A264" s="405"/>
      <c r="B264" s="242" t="s">
        <v>1828</v>
      </c>
      <c r="C264" s="243"/>
      <c r="D264" s="244"/>
      <c r="E264" s="244"/>
      <c r="F264" s="244"/>
      <c r="G264" s="408"/>
      <c r="H264" s="245" t="s">
        <v>1828</v>
      </c>
      <c r="I264" s="405"/>
      <c r="J264" s="242" t="s">
        <v>1828</v>
      </c>
      <c r="K264" s="243"/>
      <c r="L264" s="244"/>
      <c r="M264" s="244"/>
      <c r="N264" s="244"/>
      <c r="O264" s="408"/>
      <c r="P264" s="245" t="s">
        <v>1828</v>
      </c>
    </row>
    <row r="265" spans="1:16" ht="15.75" thickBot="1">
      <c r="A265" s="405"/>
      <c r="B265" s="242" t="s">
        <v>1829</v>
      </c>
      <c r="C265" s="243"/>
      <c r="D265" s="244"/>
      <c r="E265" s="244"/>
      <c r="F265" s="244"/>
      <c r="G265" s="408"/>
      <c r="H265" s="245" t="s">
        <v>1829</v>
      </c>
      <c r="I265" s="405"/>
      <c r="J265" s="242" t="s">
        <v>1829</v>
      </c>
      <c r="K265" s="243"/>
      <c r="L265" s="244"/>
      <c r="M265" s="244"/>
      <c r="N265" s="244"/>
      <c r="O265" s="408"/>
      <c r="P265" s="245" t="s">
        <v>1829</v>
      </c>
    </row>
    <row r="266" spans="1:16" ht="15.75" thickBot="1">
      <c r="A266" s="405"/>
      <c r="B266" s="242" t="s">
        <v>1830</v>
      </c>
      <c r="C266" s="243"/>
      <c r="D266" s="244"/>
      <c r="E266" s="244"/>
      <c r="F266" s="244"/>
      <c r="G266" s="408"/>
      <c r="H266" s="245" t="s">
        <v>1830</v>
      </c>
      <c r="I266" s="405"/>
      <c r="J266" s="242" t="s">
        <v>1830</v>
      </c>
      <c r="K266" s="243"/>
      <c r="L266" s="244"/>
      <c r="M266" s="244"/>
      <c r="N266" s="244"/>
      <c r="O266" s="408"/>
      <c r="P266" s="245" t="s">
        <v>1830</v>
      </c>
    </row>
    <row r="267" spans="1:16" ht="15.75" thickBot="1">
      <c r="A267" s="405"/>
      <c r="B267" s="242" t="s">
        <v>1831</v>
      </c>
      <c r="C267" s="243"/>
      <c r="D267" s="244"/>
      <c r="E267" s="244"/>
      <c r="F267" s="244"/>
      <c r="G267" s="408"/>
      <c r="H267" s="245" t="s">
        <v>1831</v>
      </c>
      <c r="I267" s="405"/>
      <c r="J267" s="242" t="s">
        <v>1831</v>
      </c>
      <c r="K267" s="243"/>
      <c r="L267" s="244"/>
      <c r="M267" s="244"/>
      <c r="N267" s="244"/>
      <c r="O267" s="408"/>
      <c r="P267" s="245" t="s">
        <v>1831</v>
      </c>
    </row>
    <row r="268" spans="1:16" ht="15.75" thickBot="1">
      <c r="A268" s="405"/>
      <c r="B268" s="242" t="s">
        <v>1832</v>
      </c>
      <c r="C268" s="243"/>
      <c r="D268" s="244"/>
      <c r="E268" s="244"/>
      <c r="F268" s="244"/>
      <c r="G268" s="408"/>
      <c r="H268" s="245" t="s">
        <v>1832</v>
      </c>
      <c r="I268" s="405"/>
      <c r="J268" s="242" t="s">
        <v>1832</v>
      </c>
      <c r="K268" s="243"/>
      <c r="L268" s="244"/>
      <c r="M268" s="244"/>
      <c r="N268" s="244"/>
      <c r="O268" s="408"/>
      <c r="P268" s="245" t="s">
        <v>1832</v>
      </c>
    </row>
    <row r="269" spans="1:16" ht="15.75" thickBot="1">
      <c r="A269" s="405"/>
      <c r="B269" s="242" t="s">
        <v>1833</v>
      </c>
      <c r="C269" s="243"/>
      <c r="D269" s="244"/>
      <c r="E269" s="244"/>
      <c r="F269" s="244"/>
      <c r="G269" s="408"/>
      <c r="H269" s="245" t="s">
        <v>1833</v>
      </c>
      <c r="I269" s="405"/>
      <c r="J269" s="242" t="s">
        <v>1833</v>
      </c>
      <c r="K269" s="243"/>
      <c r="L269" s="244"/>
      <c r="M269" s="244"/>
      <c r="N269" s="244"/>
      <c r="O269" s="408"/>
      <c r="P269" s="245" t="s">
        <v>1833</v>
      </c>
    </row>
    <row r="270" spans="1:16" ht="26.25" thickBot="1">
      <c r="A270" s="406"/>
      <c r="B270" s="242" t="s">
        <v>1834</v>
      </c>
      <c r="C270" s="243"/>
      <c r="D270" s="244"/>
      <c r="E270" s="244"/>
      <c r="F270" s="244"/>
      <c r="G270" s="409"/>
      <c r="H270" s="245" t="s">
        <v>1835</v>
      </c>
      <c r="I270" s="406"/>
      <c r="J270" s="242" t="s">
        <v>1834</v>
      </c>
      <c r="K270" s="243"/>
      <c r="L270" s="244"/>
      <c r="M270" s="244"/>
      <c r="N270" s="244"/>
      <c r="O270" s="409"/>
      <c r="P270" s="245" t="s">
        <v>1835</v>
      </c>
    </row>
    <row r="271" spans="1:16" ht="15.75" thickBot="1">
      <c r="A271" s="404" t="s">
        <v>2166</v>
      </c>
      <c r="B271" s="242" t="s">
        <v>1822</v>
      </c>
      <c r="C271" s="243"/>
      <c r="D271" s="244"/>
      <c r="E271" s="244"/>
      <c r="F271" s="244"/>
      <c r="G271" s="407" t="s">
        <v>2167</v>
      </c>
      <c r="H271" s="245" t="s">
        <v>1822</v>
      </c>
      <c r="I271" s="404" t="s">
        <v>2166</v>
      </c>
      <c r="J271" s="242" t="s">
        <v>1822</v>
      </c>
      <c r="K271" s="243"/>
      <c r="L271" s="244"/>
      <c r="M271" s="244"/>
      <c r="N271" s="244"/>
      <c r="O271" s="407" t="s">
        <v>2167</v>
      </c>
      <c r="P271" s="245" t="s">
        <v>1822</v>
      </c>
    </row>
    <row r="272" spans="1:16" ht="15.75" thickBot="1">
      <c r="A272" s="405"/>
      <c r="B272" s="242" t="s">
        <v>1824</v>
      </c>
      <c r="C272" s="243"/>
      <c r="D272" s="244"/>
      <c r="E272" s="244"/>
      <c r="F272" s="244"/>
      <c r="G272" s="408"/>
      <c r="H272" s="245" t="s">
        <v>1824</v>
      </c>
      <c r="I272" s="405"/>
      <c r="J272" s="242" t="s">
        <v>1824</v>
      </c>
      <c r="K272" s="243"/>
      <c r="L272" s="244"/>
      <c r="M272" s="244"/>
      <c r="N272" s="244"/>
      <c r="O272" s="408"/>
      <c r="P272" s="245" t="s">
        <v>1824</v>
      </c>
    </row>
    <row r="273" spans="1:16" ht="15.75" thickBot="1">
      <c r="A273" s="405"/>
      <c r="B273" s="242" t="s">
        <v>1825</v>
      </c>
      <c r="C273" s="243"/>
      <c r="D273" s="244"/>
      <c r="E273" s="244"/>
      <c r="F273" s="244"/>
      <c r="G273" s="408"/>
      <c r="H273" s="245" t="s">
        <v>1825</v>
      </c>
      <c r="I273" s="405"/>
      <c r="J273" s="242" t="s">
        <v>1825</v>
      </c>
      <c r="K273" s="243"/>
      <c r="L273" s="244"/>
      <c r="M273" s="244"/>
      <c r="N273" s="244"/>
      <c r="O273" s="408"/>
      <c r="P273" s="245" t="s">
        <v>1825</v>
      </c>
    </row>
    <row r="274" spans="1:16" ht="15.75" thickBot="1">
      <c r="A274" s="405"/>
      <c r="B274" s="242" t="s">
        <v>1826</v>
      </c>
      <c r="C274" s="243"/>
      <c r="D274" s="244"/>
      <c r="E274" s="244"/>
      <c r="F274" s="244"/>
      <c r="G274" s="408"/>
      <c r="H274" s="245" t="s">
        <v>1826</v>
      </c>
      <c r="I274" s="405"/>
      <c r="J274" s="242" t="s">
        <v>1826</v>
      </c>
      <c r="K274" s="243"/>
      <c r="L274" s="244"/>
      <c r="M274" s="244"/>
      <c r="N274" s="244"/>
      <c r="O274" s="408"/>
      <c r="P274" s="245" t="s">
        <v>1826</v>
      </c>
    </row>
    <row r="275" spans="1:16" ht="15.75" thickBot="1">
      <c r="A275" s="405"/>
      <c r="B275" s="242" t="s">
        <v>1827</v>
      </c>
      <c r="C275" s="243"/>
      <c r="D275" s="244"/>
      <c r="E275" s="244"/>
      <c r="F275" s="244"/>
      <c r="G275" s="408"/>
      <c r="H275" s="245" t="s">
        <v>1827</v>
      </c>
      <c r="I275" s="405"/>
      <c r="J275" s="242" t="s">
        <v>1827</v>
      </c>
      <c r="K275" s="243"/>
      <c r="L275" s="244"/>
      <c r="M275" s="244"/>
      <c r="N275" s="244"/>
      <c r="O275" s="408"/>
      <c r="P275" s="245" t="s">
        <v>1827</v>
      </c>
    </row>
    <row r="276" spans="1:16" ht="15.75" thickBot="1">
      <c r="A276" s="405"/>
      <c r="B276" s="242" t="s">
        <v>1828</v>
      </c>
      <c r="C276" s="243"/>
      <c r="D276" s="244"/>
      <c r="E276" s="244"/>
      <c r="F276" s="244"/>
      <c r="G276" s="408"/>
      <c r="H276" s="245" t="s">
        <v>1828</v>
      </c>
      <c r="I276" s="405"/>
      <c r="J276" s="242" t="s">
        <v>1828</v>
      </c>
      <c r="K276" s="243"/>
      <c r="L276" s="244"/>
      <c r="M276" s="244"/>
      <c r="N276" s="244"/>
      <c r="O276" s="408"/>
      <c r="P276" s="245" t="s">
        <v>1828</v>
      </c>
    </row>
    <row r="277" spans="1:16" ht="15.75" thickBot="1">
      <c r="A277" s="405"/>
      <c r="B277" s="242" t="s">
        <v>1829</v>
      </c>
      <c r="C277" s="243"/>
      <c r="D277" s="244"/>
      <c r="E277" s="244"/>
      <c r="F277" s="244"/>
      <c r="G277" s="408"/>
      <c r="H277" s="245" t="s">
        <v>1829</v>
      </c>
      <c r="I277" s="405"/>
      <c r="J277" s="242" t="s">
        <v>1829</v>
      </c>
      <c r="K277" s="243"/>
      <c r="L277" s="244"/>
      <c r="M277" s="244"/>
      <c r="N277" s="244"/>
      <c r="O277" s="408"/>
      <c r="P277" s="245" t="s">
        <v>1829</v>
      </c>
    </row>
    <row r="278" spans="1:16" ht="15.75" thickBot="1">
      <c r="A278" s="405"/>
      <c r="B278" s="242" t="s">
        <v>1830</v>
      </c>
      <c r="C278" s="243"/>
      <c r="D278" s="244"/>
      <c r="E278" s="244"/>
      <c r="F278" s="244"/>
      <c r="G278" s="408"/>
      <c r="H278" s="245" t="s">
        <v>1830</v>
      </c>
      <c r="I278" s="405"/>
      <c r="J278" s="242" t="s">
        <v>1830</v>
      </c>
      <c r="K278" s="243"/>
      <c r="L278" s="244"/>
      <c r="M278" s="244"/>
      <c r="N278" s="244"/>
      <c r="O278" s="408"/>
      <c r="P278" s="245" t="s">
        <v>1830</v>
      </c>
    </row>
    <row r="279" spans="1:16" ht="15.75" thickBot="1">
      <c r="A279" s="405"/>
      <c r="B279" s="242" t="s">
        <v>1831</v>
      </c>
      <c r="C279" s="243"/>
      <c r="D279" s="244"/>
      <c r="E279" s="244"/>
      <c r="F279" s="244"/>
      <c r="G279" s="408"/>
      <c r="H279" s="245" t="s">
        <v>1831</v>
      </c>
      <c r="I279" s="405"/>
      <c r="J279" s="242" t="s">
        <v>1831</v>
      </c>
      <c r="K279" s="243"/>
      <c r="L279" s="244"/>
      <c r="M279" s="244"/>
      <c r="N279" s="244"/>
      <c r="O279" s="408"/>
      <c r="P279" s="245" t="s">
        <v>1831</v>
      </c>
    </row>
    <row r="280" spans="1:16" ht="15.75" thickBot="1">
      <c r="A280" s="405"/>
      <c r="B280" s="242" t="s">
        <v>1832</v>
      </c>
      <c r="C280" s="243"/>
      <c r="D280" s="244"/>
      <c r="E280" s="244"/>
      <c r="F280" s="244"/>
      <c r="G280" s="408"/>
      <c r="H280" s="245" t="s">
        <v>1832</v>
      </c>
      <c r="I280" s="405"/>
      <c r="J280" s="242" t="s">
        <v>1832</v>
      </c>
      <c r="K280" s="243"/>
      <c r="L280" s="244"/>
      <c r="M280" s="244"/>
      <c r="N280" s="244"/>
      <c r="O280" s="408"/>
      <c r="P280" s="245" t="s">
        <v>1832</v>
      </c>
    </row>
    <row r="281" spans="1:16" ht="15.75" thickBot="1">
      <c r="A281" s="405"/>
      <c r="B281" s="242" t="s">
        <v>1833</v>
      </c>
      <c r="C281" s="243"/>
      <c r="D281" s="244"/>
      <c r="E281" s="244"/>
      <c r="F281" s="244"/>
      <c r="G281" s="408"/>
      <c r="H281" s="245" t="s">
        <v>1833</v>
      </c>
      <c r="I281" s="405"/>
      <c r="J281" s="242" t="s">
        <v>1833</v>
      </c>
      <c r="K281" s="243"/>
      <c r="L281" s="244"/>
      <c r="M281" s="244"/>
      <c r="N281" s="244"/>
      <c r="O281" s="408"/>
      <c r="P281" s="245" t="s">
        <v>1833</v>
      </c>
    </row>
    <row r="282" spans="1:16" ht="26.25" thickBot="1">
      <c r="A282" s="406"/>
      <c r="B282" s="242" t="s">
        <v>1834</v>
      </c>
      <c r="C282" s="243"/>
      <c r="D282" s="244"/>
      <c r="E282" s="244"/>
      <c r="F282" s="244"/>
      <c r="G282" s="409"/>
      <c r="H282" s="245" t="s">
        <v>1835</v>
      </c>
      <c r="I282" s="406"/>
      <c r="J282" s="242" t="s">
        <v>1834</v>
      </c>
      <c r="K282" s="243"/>
      <c r="L282" s="244"/>
      <c r="M282" s="244"/>
      <c r="N282" s="244"/>
      <c r="O282" s="409"/>
      <c r="P282" s="245" t="s">
        <v>1835</v>
      </c>
    </row>
    <row r="283" spans="1:16" ht="17.25" customHeight="1">
      <c r="A283" s="410" t="s">
        <v>19</v>
      </c>
      <c r="B283" s="410"/>
      <c r="C283" s="410"/>
      <c r="D283" s="410"/>
      <c r="E283" s="410"/>
      <c r="F283" s="410"/>
      <c r="G283" s="410"/>
      <c r="H283" s="410"/>
      <c r="I283" s="411" t="s">
        <v>106</v>
      </c>
      <c r="J283" s="411"/>
      <c r="K283" s="411"/>
      <c r="L283" s="411"/>
      <c r="M283" s="411"/>
      <c r="N283" s="411"/>
      <c r="O283" s="411"/>
      <c r="P283" s="411"/>
    </row>
    <row r="284" spans="1:16" ht="17.25" customHeight="1">
      <c r="A284" s="400" t="s">
        <v>2137</v>
      </c>
      <c r="B284" s="400"/>
      <c r="C284" s="400"/>
      <c r="D284" s="400"/>
      <c r="E284" s="401" t="s">
        <v>2138</v>
      </c>
      <c r="F284" s="401"/>
      <c r="G284" s="401"/>
      <c r="H284" s="401"/>
      <c r="I284" s="400" t="s">
        <v>2137</v>
      </c>
      <c r="J284" s="400"/>
      <c r="K284" s="400"/>
      <c r="L284" s="400"/>
      <c r="M284" s="401" t="s">
        <v>2138</v>
      </c>
      <c r="N284" s="401"/>
      <c r="O284" s="401"/>
      <c r="P284" s="401"/>
    </row>
    <row r="285" spans="1:16">
      <c r="A285" s="402"/>
      <c r="B285" s="402"/>
      <c r="C285" s="403" t="s">
        <v>2139</v>
      </c>
      <c r="D285" s="403"/>
      <c r="E285" s="403"/>
      <c r="F285" s="403"/>
      <c r="G285" s="402"/>
      <c r="H285" s="402"/>
      <c r="I285" s="402"/>
      <c r="J285" s="402"/>
      <c r="K285" s="403" t="s">
        <v>2139</v>
      </c>
      <c r="L285" s="403"/>
      <c r="M285" s="403"/>
      <c r="N285" s="403"/>
      <c r="O285" s="402"/>
      <c r="P285" s="402"/>
    </row>
    <row r="286" spans="1:16" ht="23.25">
      <c r="A286" s="402"/>
      <c r="B286" s="402"/>
      <c r="C286" s="241" t="s">
        <v>2140</v>
      </c>
      <c r="D286" s="241" t="s">
        <v>2180</v>
      </c>
      <c r="E286" s="241" t="s">
        <v>2181</v>
      </c>
      <c r="F286" s="241" t="s">
        <v>2182</v>
      </c>
      <c r="G286" s="402"/>
      <c r="H286" s="402"/>
      <c r="I286" s="402"/>
      <c r="J286" s="402"/>
      <c r="K286" s="241" t="s">
        <v>2140</v>
      </c>
      <c r="L286" s="241" t="s">
        <v>2180</v>
      </c>
      <c r="M286" s="241" t="s">
        <v>2181</v>
      </c>
      <c r="N286" s="241" t="s">
        <v>2182</v>
      </c>
      <c r="O286" s="402"/>
      <c r="P286" s="402"/>
    </row>
    <row r="287" spans="1:16" ht="15.75" thickBot="1">
      <c r="A287" s="242" t="s">
        <v>2168</v>
      </c>
      <c r="B287" s="242" t="s">
        <v>1836</v>
      </c>
      <c r="C287" s="243"/>
      <c r="D287" s="244"/>
      <c r="E287" s="244"/>
      <c r="F287" s="244"/>
      <c r="G287" s="245" t="s">
        <v>2169</v>
      </c>
      <c r="H287" s="245" t="s">
        <v>1837</v>
      </c>
      <c r="I287" s="242" t="s">
        <v>2168</v>
      </c>
      <c r="J287" s="242" t="s">
        <v>1836</v>
      </c>
      <c r="K287" s="243"/>
      <c r="L287" s="244"/>
      <c r="M287" s="244"/>
      <c r="N287" s="244"/>
      <c r="O287" s="245" t="s">
        <v>2169</v>
      </c>
      <c r="P287" s="245" t="s">
        <v>1837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56ABB3E5-D521-495D-9FD5-4F8CBE45E45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C6C15FC-89F5-4AB6-9B9D-C1514CA66BDA}">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8CBCA9-7B2E-478D-8C1E-9F70196588AA}">
  <dimension ref="A1:L310"/>
  <sheetViews>
    <sheetView showGridLines="0" workbookViewId="0"/>
  </sheetViews>
  <sheetFormatPr defaultRowHeight="15"/>
  <cols>
    <col min="1" max="1" width="42.6640625" style="247" bestFit="1" customWidth="1" collapsed="1"/>
    <col min="2" max="2" width="19" style="247" bestFit="1" customWidth="1" collapsed="1"/>
    <col min="3" max="3" width="42.6640625" style="247" bestFit="1" customWidth="1" collapsed="1"/>
    <col min="4" max="4" width="25.83203125" style="247" bestFit="1" customWidth="1" collapsed="1"/>
    <col min="5" max="5" width="42.6640625" style="247" bestFit="1" customWidth="1" collapsed="1"/>
    <col min="6" max="6" width="15.6640625" style="247" bestFit="1" customWidth="1" collapsed="1"/>
    <col min="7" max="7" width="42.6640625" style="247" bestFit="1" customWidth="1" collapsed="1"/>
    <col min="8" max="8" width="19" style="247" bestFit="1" customWidth="1" collapsed="1"/>
    <col min="9" max="9" width="42.6640625" style="247" bestFit="1" customWidth="1" collapsed="1"/>
    <col min="10" max="10" width="25.83203125" style="247" bestFit="1" customWidth="1" collapsed="1"/>
    <col min="11" max="11" width="42.6640625" style="247" bestFit="1" customWidth="1" collapsed="1"/>
    <col min="12" max="12" width="15.6640625" style="247" bestFit="1" customWidth="1" collapsed="1"/>
    <col min="13" max="16384" width="9.33203125" style="247" collapsed="1"/>
  </cols>
  <sheetData>
    <row r="1" spans="1:12" ht="17.25">
      <c r="A1" s="246" t="s">
        <v>2186</v>
      </c>
    </row>
    <row r="3" spans="1:12" ht="17.25" customHeight="1">
      <c r="A3" s="414" t="s">
        <v>19</v>
      </c>
      <c r="B3" s="414"/>
      <c r="C3" s="414"/>
      <c r="D3" s="414"/>
      <c r="E3" s="414"/>
      <c r="F3" s="414"/>
      <c r="G3" s="415" t="s">
        <v>106</v>
      </c>
      <c r="H3" s="415"/>
      <c r="I3" s="415"/>
      <c r="J3" s="415"/>
      <c r="K3" s="415"/>
      <c r="L3" s="415"/>
    </row>
    <row r="4" spans="1:12" ht="17.25" customHeight="1">
      <c r="A4" s="414" t="s">
        <v>2187</v>
      </c>
      <c r="B4" s="414"/>
      <c r="C4" s="414"/>
      <c r="D4" s="415" t="s">
        <v>2188</v>
      </c>
      <c r="E4" s="415"/>
      <c r="F4" s="415"/>
      <c r="G4" s="414" t="s">
        <v>2187</v>
      </c>
      <c r="H4" s="414"/>
      <c r="I4" s="414"/>
      <c r="J4" s="415" t="s">
        <v>2188</v>
      </c>
      <c r="K4" s="415"/>
      <c r="L4" s="415"/>
    </row>
    <row r="5" spans="1:12">
      <c r="A5" s="412"/>
      <c r="B5" s="412"/>
      <c r="C5" s="413" t="s">
        <v>2189</v>
      </c>
      <c r="D5" s="413"/>
      <c r="E5" s="412"/>
      <c r="F5" s="412"/>
      <c r="G5" s="412"/>
      <c r="H5" s="412"/>
      <c r="I5" s="413" t="s">
        <v>2189</v>
      </c>
      <c r="J5" s="413"/>
      <c r="K5" s="412"/>
      <c r="L5" s="412"/>
    </row>
    <row r="6" spans="1:12" ht="23.25">
      <c r="A6" s="412"/>
      <c r="B6" s="412"/>
      <c r="C6" s="248" t="s">
        <v>2190</v>
      </c>
      <c r="D6" s="248" t="s">
        <v>677</v>
      </c>
      <c r="E6" s="412"/>
      <c r="F6" s="412"/>
      <c r="G6" s="412"/>
      <c r="H6" s="412"/>
      <c r="I6" s="248" t="s">
        <v>2190</v>
      </c>
      <c r="J6" s="248" t="s">
        <v>677</v>
      </c>
      <c r="K6" s="412"/>
      <c r="L6" s="412"/>
    </row>
    <row r="7" spans="1:12" ht="15.75" thickBot="1">
      <c r="A7" s="417" t="s">
        <v>2142</v>
      </c>
      <c r="B7" s="249" t="s">
        <v>1822</v>
      </c>
      <c r="C7" s="250"/>
      <c r="D7" s="250"/>
      <c r="E7" s="420" t="s">
        <v>2142</v>
      </c>
      <c r="F7" s="251" t="s">
        <v>1822</v>
      </c>
      <c r="G7" s="417" t="s">
        <v>2142</v>
      </c>
      <c r="H7" s="249" t="s">
        <v>1822</v>
      </c>
      <c r="I7" s="250"/>
      <c r="J7" s="250"/>
      <c r="K7" s="420" t="s">
        <v>2142</v>
      </c>
      <c r="L7" s="251" t="s">
        <v>1822</v>
      </c>
    </row>
    <row r="8" spans="1:12" ht="15.75" thickBot="1">
      <c r="A8" s="417"/>
      <c r="B8" s="249" t="s">
        <v>1824</v>
      </c>
      <c r="C8" s="250"/>
      <c r="D8" s="250"/>
      <c r="E8" s="420"/>
      <c r="F8" s="251" t="s">
        <v>1824</v>
      </c>
      <c r="G8" s="417"/>
      <c r="H8" s="249" t="s">
        <v>1824</v>
      </c>
      <c r="I8" s="250"/>
      <c r="J8" s="250"/>
      <c r="K8" s="420"/>
      <c r="L8" s="251" t="s">
        <v>1824</v>
      </c>
    </row>
    <row r="9" spans="1:12" ht="15.75" thickBot="1">
      <c r="A9" s="417"/>
      <c r="B9" s="249" t="s">
        <v>1825</v>
      </c>
      <c r="C9" s="250"/>
      <c r="D9" s="250"/>
      <c r="E9" s="420"/>
      <c r="F9" s="251" t="s">
        <v>1825</v>
      </c>
      <c r="G9" s="417"/>
      <c r="H9" s="249" t="s">
        <v>1825</v>
      </c>
      <c r="I9" s="250"/>
      <c r="J9" s="250"/>
      <c r="K9" s="420"/>
      <c r="L9" s="251" t="s">
        <v>1825</v>
      </c>
    </row>
    <row r="10" spans="1:12" ht="15.75" thickBot="1">
      <c r="A10" s="417"/>
      <c r="B10" s="249" t="s">
        <v>1826</v>
      </c>
      <c r="C10" s="250"/>
      <c r="D10" s="250"/>
      <c r="E10" s="420"/>
      <c r="F10" s="251" t="s">
        <v>1826</v>
      </c>
      <c r="G10" s="417"/>
      <c r="H10" s="249" t="s">
        <v>1826</v>
      </c>
      <c r="I10" s="250"/>
      <c r="J10" s="250"/>
      <c r="K10" s="420"/>
      <c r="L10" s="251" t="s">
        <v>1826</v>
      </c>
    </row>
    <row r="11" spans="1:12" ht="15.75" thickBot="1">
      <c r="A11" s="417"/>
      <c r="B11" s="249" t="s">
        <v>1827</v>
      </c>
      <c r="C11" s="250"/>
      <c r="D11" s="250"/>
      <c r="E11" s="420"/>
      <c r="F11" s="251" t="s">
        <v>1827</v>
      </c>
      <c r="G11" s="417"/>
      <c r="H11" s="249" t="s">
        <v>1827</v>
      </c>
      <c r="I11" s="250"/>
      <c r="J11" s="250"/>
      <c r="K11" s="420"/>
      <c r="L11" s="251" t="s">
        <v>1827</v>
      </c>
    </row>
    <row r="12" spans="1:12" ht="15.75" thickBot="1">
      <c r="A12" s="417"/>
      <c r="B12" s="249" t="s">
        <v>1828</v>
      </c>
      <c r="C12" s="250"/>
      <c r="D12" s="250"/>
      <c r="E12" s="420"/>
      <c r="F12" s="251" t="s">
        <v>1828</v>
      </c>
      <c r="G12" s="417"/>
      <c r="H12" s="249" t="s">
        <v>1828</v>
      </c>
      <c r="I12" s="250"/>
      <c r="J12" s="250"/>
      <c r="K12" s="420"/>
      <c r="L12" s="251" t="s">
        <v>1828</v>
      </c>
    </row>
    <row r="13" spans="1:12" ht="15.75" thickBot="1">
      <c r="A13" s="417"/>
      <c r="B13" s="249" t="s">
        <v>1829</v>
      </c>
      <c r="C13" s="250"/>
      <c r="D13" s="250"/>
      <c r="E13" s="420"/>
      <c r="F13" s="251" t="s">
        <v>1829</v>
      </c>
      <c r="G13" s="417"/>
      <c r="H13" s="249" t="s">
        <v>1829</v>
      </c>
      <c r="I13" s="250"/>
      <c r="J13" s="250"/>
      <c r="K13" s="420"/>
      <c r="L13" s="251" t="s">
        <v>1829</v>
      </c>
    </row>
    <row r="14" spans="1:12" ht="15.75" thickBot="1">
      <c r="A14" s="417"/>
      <c r="B14" s="249" t="s">
        <v>1830</v>
      </c>
      <c r="C14" s="250"/>
      <c r="D14" s="250"/>
      <c r="E14" s="420"/>
      <c r="F14" s="251" t="s">
        <v>1830</v>
      </c>
      <c r="G14" s="417"/>
      <c r="H14" s="249" t="s">
        <v>1830</v>
      </c>
      <c r="I14" s="250"/>
      <c r="J14" s="250"/>
      <c r="K14" s="420"/>
      <c r="L14" s="251" t="s">
        <v>1830</v>
      </c>
    </row>
    <row r="15" spans="1:12" ht="15.75" thickBot="1">
      <c r="A15" s="417"/>
      <c r="B15" s="249" t="s">
        <v>1831</v>
      </c>
      <c r="C15" s="250"/>
      <c r="D15" s="250"/>
      <c r="E15" s="420"/>
      <c r="F15" s="251" t="s">
        <v>1831</v>
      </c>
      <c r="G15" s="417"/>
      <c r="H15" s="249" t="s">
        <v>1831</v>
      </c>
      <c r="I15" s="250"/>
      <c r="J15" s="250"/>
      <c r="K15" s="420"/>
      <c r="L15" s="251" t="s">
        <v>1831</v>
      </c>
    </row>
    <row r="16" spans="1:12" ht="15.75" thickBot="1">
      <c r="A16" s="417"/>
      <c r="B16" s="249" t="s">
        <v>1832</v>
      </c>
      <c r="C16" s="250"/>
      <c r="D16" s="250"/>
      <c r="E16" s="420"/>
      <c r="F16" s="251" t="s">
        <v>1832</v>
      </c>
      <c r="G16" s="417"/>
      <c r="H16" s="249" t="s">
        <v>1832</v>
      </c>
      <c r="I16" s="250"/>
      <c r="J16" s="250"/>
      <c r="K16" s="420"/>
      <c r="L16" s="251" t="s">
        <v>1832</v>
      </c>
    </row>
    <row r="17" spans="1:12" ht="15.75" thickBot="1">
      <c r="A17" s="417"/>
      <c r="B17" s="249" t="s">
        <v>1833</v>
      </c>
      <c r="C17" s="250"/>
      <c r="D17" s="250"/>
      <c r="E17" s="420"/>
      <c r="F17" s="251" t="s">
        <v>1833</v>
      </c>
      <c r="G17" s="417"/>
      <c r="H17" s="249" t="s">
        <v>1833</v>
      </c>
      <c r="I17" s="250"/>
      <c r="J17" s="250"/>
      <c r="K17" s="420"/>
      <c r="L17" s="251" t="s">
        <v>1833</v>
      </c>
    </row>
    <row r="18" spans="1:12" ht="26.25" thickBot="1">
      <c r="A18" s="417"/>
      <c r="B18" s="249" t="s">
        <v>1834</v>
      </c>
      <c r="C18" s="250"/>
      <c r="D18" s="250"/>
      <c r="E18" s="420"/>
      <c r="F18" s="251" t="s">
        <v>1835</v>
      </c>
      <c r="G18" s="417"/>
      <c r="H18" s="249" t="s">
        <v>1834</v>
      </c>
      <c r="I18" s="250"/>
      <c r="J18" s="250"/>
      <c r="K18" s="420"/>
      <c r="L18" s="251" t="s">
        <v>1835</v>
      </c>
    </row>
    <row r="19" spans="1:12" ht="15.75" thickBot="1">
      <c r="A19" s="418"/>
      <c r="B19" s="249" t="s">
        <v>1836</v>
      </c>
      <c r="C19" s="250"/>
      <c r="D19" s="250"/>
      <c r="E19" s="421"/>
      <c r="F19" s="251" t="s">
        <v>1837</v>
      </c>
      <c r="G19" s="418"/>
      <c r="H19" s="249" t="s">
        <v>1836</v>
      </c>
      <c r="I19" s="250"/>
      <c r="J19" s="250"/>
      <c r="K19" s="421"/>
      <c r="L19" s="251" t="s">
        <v>1837</v>
      </c>
    </row>
    <row r="20" spans="1:12" ht="15.75" thickBot="1">
      <c r="A20" s="416" t="s">
        <v>2143</v>
      </c>
      <c r="B20" s="249" t="s">
        <v>1822</v>
      </c>
      <c r="C20" s="250"/>
      <c r="D20" s="250"/>
      <c r="E20" s="419" t="s">
        <v>2143</v>
      </c>
      <c r="F20" s="251" t="s">
        <v>1822</v>
      </c>
      <c r="G20" s="416" t="s">
        <v>2143</v>
      </c>
      <c r="H20" s="249" t="s">
        <v>1822</v>
      </c>
      <c r="I20" s="250"/>
      <c r="J20" s="250"/>
      <c r="K20" s="419" t="s">
        <v>2143</v>
      </c>
      <c r="L20" s="251" t="s">
        <v>1822</v>
      </c>
    </row>
    <row r="21" spans="1:12" ht="15.75" thickBot="1">
      <c r="A21" s="417"/>
      <c r="B21" s="249" t="s">
        <v>1824</v>
      </c>
      <c r="C21" s="250"/>
      <c r="D21" s="250"/>
      <c r="E21" s="420"/>
      <c r="F21" s="251" t="s">
        <v>1824</v>
      </c>
      <c r="G21" s="417"/>
      <c r="H21" s="249" t="s">
        <v>1824</v>
      </c>
      <c r="I21" s="250"/>
      <c r="J21" s="250"/>
      <c r="K21" s="420"/>
      <c r="L21" s="251" t="s">
        <v>1824</v>
      </c>
    </row>
    <row r="22" spans="1:12" ht="15.75" thickBot="1">
      <c r="A22" s="417"/>
      <c r="B22" s="249" t="s">
        <v>1825</v>
      </c>
      <c r="C22" s="250"/>
      <c r="D22" s="250"/>
      <c r="E22" s="420"/>
      <c r="F22" s="251" t="s">
        <v>1825</v>
      </c>
      <c r="G22" s="417"/>
      <c r="H22" s="249" t="s">
        <v>1825</v>
      </c>
      <c r="I22" s="250"/>
      <c r="J22" s="250"/>
      <c r="K22" s="420"/>
      <c r="L22" s="251" t="s">
        <v>1825</v>
      </c>
    </row>
    <row r="23" spans="1:12" ht="15.75" thickBot="1">
      <c r="A23" s="417"/>
      <c r="B23" s="249" t="s">
        <v>1826</v>
      </c>
      <c r="C23" s="250"/>
      <c r="D23" s="250"/>
      <c r="E23" s="420"/>
      <c r="F23" s="251" t="s">
        <v>1826</v>
      </c>
      <c r="G23" s="417"/>
      <c r="H23" s="249" t="s">
        <v>1826</v>
      </c>
      <c r="I23" s="250"/>
      <c r="J23" s="250"/>
      <c r="K23" s="420"/>
      <c r="L23" s="251" t="s">
        <v>1826</v>
      </c>
    </row>
    <row r="24" spans="1:12" ht="15.75" thickBot="1">
      <c r="A24" s="417"/>
      <c r="B24" s="249" t="s">
        <v>1827</v>
      </c>
      <c r="C24" s="250"/>
      <c r="D24" s="250"/>
      <c r="E24" s="420"/>
      <c r="F24" s="251" t="s">
        <v>1827</v>
      </c>
      <c r="G24" s="417"/>
      <c r="H24" s="249" t="s">
        <v>1827</v>
      </c>
      <c r="I24" s="250"/>
      <c r="J24" s="250"/>
      <c r="K24" s="420"/>
      <c r="L24" s="251" t="s">
        <v>1827</v>
      </c>
    </row>
    <row r="25" spans="1:12" ht="15.75" thickBot="1">
      <c r="A25" s="417"/>
      <c r="B25" s="249" t="s">
        <v>1828</v>
      </c>
      <c r="C25" s="250"/>
      <c r="D25" s="250"/>
      <c r="E25" s="420"/>
      <c r="F25" s="251" t="s">
        <v>1828</v>
      </c>
      <c r="G25" s="417"/>
      <c r="H25" s="249" t="s">
        <v>1828</v>
      </c>
      <c r="I25" s="250"/>
      <c r="J25" s="250"/>
      <c r="K25" s="420"/>
      <c r="L25" s="251" t="s">
        <v>1828</v>
      </c>
    </row>
    <row r="26" spans="1:12" ht="15.75" thickBot="1">
      <c r="A26" s="417"/>
      <c r="B26" s="249" t="s">
        <v>1829</v>
      </c>
      <c r="C26" s="250"/>
      <c r="D26" s="250"/>
      <c r="E26" s="420"/>
      <c r="F26" s="251" t="s">
        <v>1829</v>
      </c>
      <c r="G26" s="417"/>
      <c r="H26" s="249" t="s">
        <v>1829</v>
      </c>
      <c r="I26" s="250"/>
      <c r="J26" s="250"/>
      <c r="K26" s="420"/>
      <c r="L26" s="251" t="s">
        <v>1829</v>
      </c>
    </row>
    <row r="27" spans="1:12" ht="15.75" thickBot="1">
      <c r="A27" s="417"/>
      <c r="B27" s="249" t="s">
        <v>1830</v>
      </c>
      <c r="C27" s="250"/>
      <c r="D27" s="250"/>
      <c r="E27" s="420"/>
      <c r="F27" s="251" t="s">
        <v>1830</v>
      </c>
      <c r="G27" s="417"/>
      <c r="H27" s="249" t="s">
        <v>1830</v>
      </c>
      <c r="I27" s="250"/>
      <c r="J27" s="250"/>
      <c r="K27" s="420"/>
      <c r="L27" s="251" t="s">
        <v>1830</v>
      </c>
    </row>
    <row r="28" spans="1:12" ht="15.75" thickBot="1">
      <c r="A28" s="417"/>
      <c r="B28" s="249" t="s">
        <v>1831</v>
      </c>
      <c r="C28" s="250"/>
      <c r="D28" s="250"/>
      <c r="E28" s="420"/>
      <c r="F28" s="251" t="s">
        <v>1831</v>
      </c>
      <c r="G28" s="417"/>
      <c r="H28" s="249" t="s">
        <v>1831</v>
      </c>
      <c r="I28" s="250"/>
      <c r="J28" s="250"/>
      <c r="K28" s="420"/>
      <c r="L28" s="251" t="s">
        <v>1831</v>
      </c>
    </row>
    <row r="29" spans="1:12" ht="15.75" thickBot="1">
      <c r="A29" s="417"/>
      <c r="B29" s="249" t="s">
        <v>1832</v>
      </c>
      <c r="C29" s="250"/>
      <c r="D29" s="250"/>
      <c r="E29" s="420"/>
      <c r="F29" s="251" t="s">
        <v>1832</v>
      </c>
      <c r="G29" s="417"/>
      <c r="H29" s="249" t="s">
        <v>1832</v>
      </c>
      <c r="I29" s="250"/>
      <c r="J29" s="250"/>
      <c r="K29" s="420"/>
      <c r="L29" s="251" t="s">
        <v>1832</v>
      </c>
    </row>
    <row r="30" spans="1:12" ht="15.75" thickBot="1">
      <c r="A30" s="417"/>
      <c r="B30" s="249" t="s">
        <v>1833</v>
      </c>
      <c r="C30" s="250"/>
      <c r="D30" s="250"/>
      <c r="E30" s="420"/>
      <c r="F30" s="251" t="s">
        <v>1833</v>
      </c>
      <c r="G30" s="417"/>
      <c r="H30" s="249" t="s">
        <v>1833</v>
      </c>
      <c r="I30" s="250"/>
      <c r="J30" s="250"/>
      <c r="K30" s="420"/>
      <c r="L30" s="251" t="s">
        <v>1833</v>
      </c>
    </row>
    <row r="31" spans="1:12" ht="26.25" thickBot="1">
      <c r="A31" s="417"/>
      <c r="B31" s="249" t="s">
        <v>1834</v>
      </c>
      <c r="C31" s="250"/>
      <c r="D31" s="250"/>
      <c r="E31" s="420"/>
      <c r="F31" s="251" t="s">
        <v>1835</v>
      </c>
      <c r="G31" s="417"/>
      <c r="H31" s="249" t="s">
        <v>1834</v>
      </c>
      <c r="I31" s="250"/>
      <c r="J31" s="250"/>
      <c r="K31" s="420"/>
      <c r="L31" s="251" t="s">
        <v>1835</v>
      </c>
    </row>
    <row r="32" spans="1:12" ht="15.75" thickBot="1">
      <c r="A32" s="418"/>
      <c r="B32" s="249" t="s">
        <v>1836</v>
      </c>
      <c r="C32" s="250"/>
      <c r="D32" s="250"/>
      <c r="E32" s="421"/>
      <c r="F32" s="251" t="s">
        <v>1837</v>
      </c>
      <c r="G32" s="418"/>
      <c r="H32" s="249" t="s">
        <v>1836</v>
      </c>
      <c r="I32" s="250"/>
      <c r="J32" s="250"/>
      <c r="K32" s="421"/>
      <c r="L32" s="251" t="s">
        <v>1837</v>
      </c>
    </row>
    <row r="33" spans="1:12" ht="15.75" thickBot="1">
      <c r="A33" s="416" t="s">
        <v>2144</v>
      </c>
      <c r="B33" s="249" t="s">
        <v>1822</v>
      </c>
      <c r="C33" s="250"/>
      <c r="D33" s="250"/>
      <c r="E33" s="419" t="s">
        <v>2144</v>
      </c>
      <c r="F33" s="251" t="s">
        <v>1822</v>
      </c>
      <c r="G33" s="416" t="s">
        <v>2144</v>
      </c>
      <c r="H33" s="249" t="s">
        <v>1822</v>
      </c>
      <c r="I33" s="250"/>
      <c r="J33" s="250"/>
      <c r="K33" s="419" t="s">
        <v>2144</v>
      </c>
      <c r="L33" s="251" t="s">
        <v>1822</v>
      </c>
    </row>
    <row r="34" spans="1:12" ht="15.75" thickBot="1">
      <c r="A34" s="417"/>
      <c r="B34" s="249" t="s">
        <v>1824</v>
      </c>
      <c r="C34" s="250"/>
      <c r="D34" s="250"/>
      <c r="E34" s="420"/>
      <c r="F34" s="251" t="s">
        <v>1824</v>
      </c>
      <c r="G34" s="417"/>
      <c r="H34" s="249" t="s">
        <v>1824</v>
      </c>
      <c r="I34" s="250"/>
      <c r="J34" s="250"/>
      <c r="K34" s="420"/>
      <c r="L34" s="251" t="s">
        <v>1824</v>
      </c>
    </row>
    <row r="35" spans="1:12" ht="15.75" thickBot="1">
      <c r="A35" s="417"/>
      <c r="B35" s="249" t="s">
        <v>1825</v>
      </c>
      <c r="C35" s="250"/>
      <c r="D35" s="250"/>
      <c r="E35" s="420"/>
      <c r="F35" s="251" t="s">
        <v>1825</v>
      </c>
      <c r="G35" s="417"/>
      <c r="H35" s="249" t="s">
        <v>1825</v>
      </c>
      <c r="I35" s="250"/>
      <c r="J35" s="250"/>
      <c r="K35" s="420"/>
      <c r="L35" s="251" t="s">
        <v>1825</v>
      </c>
    </row>
    <row r="36" spans="1:12" ht="15.75" thickBot="1">
      <c r="A36" s="417"/>
      <c r="B36" s="249" t="s">
        <v>1826</v>
      </c>
      <c r="C36" s="250"/>
      <c r="D36" s="250"/>
      <c r="E36" s="420"/>
      <c r="F36" s="251" t="s">
        <v>1826</v>
      </c>
      <c r="G36" s="417"/>
      <c r="H36" s="249" t="s">
        <v>1826</v>
      </c>
      <c r="I36" s="250"/>
      <c r="J36" s="250"/>
      <c r="K36" s="420"/>
      <c r="L36" s="251" t="s">
        <v>1826</v>
      </c>
    </row>
    <row r="37" spans="1:12" ht="15.75" thickBot="1">
      <c r="A37" s="417"/>
      <c r="B37" s="249" t="s">
        <v>1827</v>
      </c>
      <c r="C37" s="250"/>
      <c r="D37" s="250"/>
      <c r="E37" s="420"/>
      <c r="F37" s="251" t="s">
        <v>1827</v>
      </c>
      <c r="G37" s="417"/>
      <c r="H37" s="249" t="s">
        <v>1827</v>
      </c>
      <c r="I37" s="250"/>
      <c r="J37" s="250"/>
      <c r="K37" s="420"/>
      <c r="L37" s="251" t="s">
        <v>1827</v>
      </c>
    </row>
    <row r="38" spans="1:12" ht="15.75" thickBot="1">
      <c r="A38" s="417"/>
      <c r="B38" s="249" t="s">
        <v>1828</v>
      </c>
      <c r="C38" s="250"/>
      <c r="D38" s="250"/>
      <c r="E38" s="420"/>
      <c r="F38" s="251" t="s">
        <v>1828</v>
      </c>
      <c r="G38" s="417"/>
      <c r="H38" s="249" t="s">
        <v>1828</v>
      </c>
      <c r="I38" s="250"/>
      <c r="J38" s="250"/>
      <c r="K38" s="420"/>
      <c r="L38" s="251" t="s">
        <v>1828</v>
      </c>
    </row>
    <row r="39" spans="1:12" ht="15.75" thickBot="1">
      <c r="A39" s="417"/>
      <c r="B39" s="249" t="s">
        <v>1829</v>
      </c>
      <c r="C39" s="250"/>
      <c r="D39" s="250"/>
      <c r="E39" s="420"/>
      <c r="F39" s="251" t="s">
        <v>1829</v>
      </c>
      <c r="G39" s="417"/>
      <c r="H39" s="249" t="s">
        <v>1829</v>
      </c>
      <c r="I39" s="250"/>
      <c r="J39" s="250"/>
      <c r="K39" s="420"/>
      <c r="L39" s="251" t="s">
        <v>1829</v>
      </c>
    </row>
    <row r="40" spans="1:12" ht="15.75" thickBot="1">
      <c r="A40" s="417"/>
      <c r="B40" s="249" t="s">
        <v>1830</v>
      </c>
      <c r="C40" s="250"/>
      <c r="D40" s="250"/>
      <c r="E40" s="420"/>
      <c r="F40" s="251" t="s">
        <v>1830</v>
      </c>
      <c r="G40" s="417"/>
      <c r="H40" s="249" t="s">
        <v>1830</v>
      </c>
      <c r="I40" s="250"/>
      <c r="J40" s="250"/>
      <c r="K40" s="420"/>
      <c r="L40" s="251" t="s">
        <v>1830</v>
      </c>
    </row>
    <row r="41" spans="1:12" ht="15.75" thickBot="1">
      <c r="A41" s="417"/>
      <c r="B41" s="249" t="s">
        <v>1831</v>
      </c>
      <c r="C41" s="250"/>
      <c r="D41" s="250"/>
      <c r="E41" s="420"/>
      <c r="F41" s="251" t="s">
        <v>1831</v>
      </c>
      <c r="G41" s="417"/>
      <c r="H41" s="249" t="s">
        <v>1831</v>
      </c>
      <c r="I41" s="250"/>
      <c r="J41" s="250"/>
      <c r="K41" s="420"/>
      <c r="L41" s="251" t="s">
        <v>1831</v>
      </c>
    </row>
    <row r="42" spans="1:12" ht="15.75" thickBot="1">
      <c r="A42" s="417"/>
      <c r="B42" s="249" t="s">
        <v>1832</v>
      </c>
      <c r="C42" s="250"/>
      <c r="D42" s="250"/>
      <c r="E42" s="420"/>
      <c r="F42" s="251" t="s">
        <v>1832</v>
      </c>
      <c r="G42" s="417"/>
      <c r="H42" s="249" t="s">
        <v>1832</v>
      </c>
      <c r="I42" s="250"/>
      <c r="J42" s="250"/>
      <c r="K42" s="420"/>
      <c r="L42" s="251" t="s">
        <v>1832</v>
      </c>
    </row>
    <row r="43" spans="1:12" ht="15.75" thickBot="1">
      <c r="A43" s="417"/>
      <c r="B43" s="249" t="s">
        <v>1833</v>
      </c>
      <c r="C43" s="250"/>
      <c r="D43" s="250"/>
      <c r="E43" s="420"/>
      <c r="F43" s="251" t="s">
        <v>1833</v>
      </c>
      <c r="G43" s="417"/>
      <c r="H43" s="249" t="s">
        <v>1833</v>
      </c>
      <c r="I43" s="250"/>
      <c r="J43" s="250"/>
      <c r="K43" s="420"/>
      <c r="L43" s="251" t="s">
        <v>1833</v>
      </c>
    </row>
    <row r="44" spans="1:12" ht="26.25" thickBot="1">
      <c r="A44" s="417"/>
      <c r="B44" s="249" t="s">
        <v>1834</v>
      </c>
      <c r="C44" s="250"/>
      <c r="D44" s="250"/>
      <c r="E44" s="420"/>
      <c r="F44" s="251" t="s">
        <v>1835</v>
      </c>
      <c r="G44" s="417"/>
      <c r="H44" s="249" t="s">
        <v>1834</v>
      </c>
      <c r="I44" s="250"/>
      <c r="J44" s="250"/>
      <c r="K44" s="420"/>
      <c r="L44" s="251" t="s">
        <v>1835</v>
      </c>
    </row>
    <row r="45" spans="1:12" ht="15.75" thickBot="1">
      <c r="A45" s="418"/>
      <c r="B45" s="249" t="s">
        <v>1836</v>
      </c>
      <c r="C45" s="250"/>
      <c r="D45" s="250"/>
      <c r="E45" s="421"/>
      <c r="F45" s="251" t="s">
        <v>1837</v>
      </c>
      <c r="G45" s="418"/>
      <c r="H45" s="249" t="s">
        <v>1836</v>
      </c>
      <c r="I45" s="250"/>
      <c r="J45" s="250"/>
      <c r="K45" s="421"/>
      <c r="L45" s="251" t="s">
        <v>1837</v>
      </c>
    </row>
    <row r="46" spans="1:12" ht="15.75" thickBot="1">
      <c r="A46" s="416" t="s">
        <v>2145</v>
      </c>
      <c r="B46" s="249" t="s">
        <v>1822</v>
      </c>
      <c r="C46" s="250"/>
      <c r="D46" s="250"/>
      <c r="E46" s="419" t="s">
        <v>2145</v>
      </c>
      <c r="F46" s="251" t="s">
        <v>1822</v>
      </c>
      <c r="G46" s="416" t="s">
        <v>2145</v>
      </c>
      <c r="H46" s="249" t="s">
        <v>1822</v>
      </c>
      <c r="I46" s="250"/>
      <c r="J46" s="250"/>
      <c r="K46" s="419" t="s">
        <v>2145</v>
      </c>
      <c r="L46" s="251" t="s">
        <v>1822</v>
      </c>
    </row>
    <row r="47" spans="1:12" ht="15.75" thickBot="1">
      <c r="A47" s="417"/>
      <c r="B47" s="249" t="s">
        <v>1824</v>
      </c>
      <c r="C47" s="250"/>
      <c r="D47" s="250"/>
      <c r="E47" s="420"/>
      <c r="F47" s="251" t="s">
        <v>1824</v>
      </c>
      <c r="G47" s="417"/>
      <c r="H47" s="249" t="s">
        <v>1824</v>
      </c>
      <c r="I47" s="250"/>
      <c r="J47" s="250"/>
      <c r="K47" s="420"/>
      <c r="L47" s="251" t="s">
        <v>1824</v>
      </c>
    </row>
    <row r="48" spans="1:12" ht="15.75" thickBot="1">
      <c r="A48" s="417"/>
      <c r="B48" s="249" t="s">
        <v>1825</v>
      </c>
      <c r="C48" s="250"/>
      <c r="D48" s="250"/>
      <c r="E48" s="420"/>
      <c r="F48" s="251" t="s">
        <v>1825</v>
      </c>
      <c r="G48" s="417"/>
      <c r="H48" s="249" t="s">
        <v>1825</v>
      </c>
      <c r="I48" s="250"/>
      <c r="J48" s="250"/>
      <c r="K48" s="420"/>
      <c r="L48" s="251" t="s">
        <v>1825</v>
      </c>
    </row>
    <row r="49" spans="1:12" ht="15.75" thickBot="1">
      <c r="A49" s="417"/>
      <c r="B49" s="249" t="s">
        <v>1826</v>
      </c>
      <c r="C49" s="250"/>
      <c r="D49" s="250"/>
      <c r="E49" s="420"/>
      <c r="F49" s="251" t="s">
        <v>1826</v>
      </c>
      <c r="G49" s="417"/>
      <c r="H49" s="249" t="s">
        <v>1826</v>
      </c>
      <c r="I49" s="250"/>
      <c r="J49" s="250"/>
      <c r="K49" s="420"/>
      <c r="L49" s="251" t="s">
        <v>1826</v>
      </c>
    </row>
    <row r="50" spans="1:12" ht="15.75" thickBot="1">
      <c r="A50" s="417"/>
      <c r="B50" s="249" t="s">
        <v>1827</v>
      </c>
      <c r="C50" s="250"/>
      <c r="D50" s="250"/>
      <c r="E50" s="420"/>
      <c r="F50" s="251" t="s">
        <v>1827</v>
      </c>
      <c r="G50" s="417"/>
      <c r="H50" s="249" t="s">
        <v>1827</v>
      </c>
      <c r="I50" s="250"/>
      <c r="J50" s="250"/>
      <c r="K50" s="420"/>
      <c r="L50" s="251" t="s">
        <v>1827</v>
      </c>
    </row>
    <row r="51" spans="1:12" ht="15.75" thickBot="1">
      <c r="A51" s="417"/>
      <c r="B51" s="249" t="s">
        <v>1828</v>
      </c>
      <c r="C51" s="250"/>
      <c r="D51" s="250"/>
      <c r="E51" s="420"/>
      <c r="F51" s="251" t="s">
        <v>1828</v>
      </c>
      <c r="G51" s="417"/>
      <c r="H51" s="249" t="s">
        <v>1828</v>
      </c>
      <c r="I51" s="250"/>
      <c r="J51" s="250"/>
      <c r="K51" s="420"/>
      <c r="L51" s="251" t="s">
        <v>1828</v>
      </c>
    </row>
    <row r="52" spans="1:12" ht="15.75" thickBot="1">
      <c r="A52" s="417"/>
      <c r="B52" s="249" t="s">
        <v>1829</v>
      </c>
      <c r="C52" s="250"/>
      <c r="D52" s="250"/>
      <c r="E52" s="420"/>
      <c r="F52" s="251" t="s">
        <v>1829</v>
      </c>
      <c r="G52" s="417"/>
      <c r="H52" s="249" t="s">
        <v>1829</v>
      </c>
      <c r="I52" s="250"/>
      <c r="J52" s="250"/>
      <c r="K52" s="420"/>
      <c r="L52" s="251" t="s">
        <v>1829</v>
      </c>
    </row>
    <row r="53" spans="1:12" ht="15.75" thickBot="1">
      <c r="A53" s="417"/>
      <c r="B53" s="249" t="s">
        <v>1830</v>
      </c>
      <c r="C53" s="250"/>
      <c r="D53" s="250"/>
      <c r="E53" s="420"/>
      <c r="F53" s="251" t="s">
        <v>1830</v>
      </c>
      <c r="G53" s="417"/>
      <c r="H53" s="249" t="s">
        <v>1830</v>
      </c>
      <c r="I53" s="250"/>
      <c r="J53" s="250"/>
      <c r="K53" s="420"/>
      <c r="L53" s="251" t="s">
        <v>1830</v>
      </c>
    </row>
    <row r="54" spans="1:12" ht="15.75" thickBot="1">
      <c r="A54" s="417"/>
      <c r="B54" s="249" t="s">
        <v>1831</v>
      </c>
      <c r="C54" s="250"/>
      <c r="D54" s="250"/>
      <c r="E54" s="420"/>
      <c r="F54" s="251" t="s">
        <v>1831</v>
      </c>
      <c r="G54" s="417"/>
      <c r="H54" s="249" t="s">
        <v>1831</v>
      </c>
      <c r="I54" s="250"/>
      <c r="J54" s="250"/>
      <c r="K54" s="420"/>
      <c r="L54" s="251" t="s">
        <v>1831</v>
      </c>
    </row>
    <row r="55" spans="1:12" ht="15.75" thickBot="1">
      <c r="A55" s="417"/>
      <c r="B55" s="249" t="s">
        <v>1832</v>
      </c>
      <c r="C55" s="250"/>
      <c r="D55" s="250"/>
      <c r="E55" s="420"/>
      <c r="F55" s="251" t="s">
        <v>1832</v>
      </c>
      <c r="G55" s="417"/>
      <c r="H55" s="249" t="s">
        <v>1832</v>
      </c>
      <c r="I55" s="250"/>
      <c r="J55" s="250"/>
      <c r="K55" s="420"/>
      <c r="L55" s="251" t="s">
        <v>1832</v>
      </c>
    </row>
    <row r="56" spans="1:12" ht="15.75" thickBot="1">
      <c r="A56" s="417"/>
      <c r="B56" s="249" t="s">
        <v>1833</v>
      </c>
      <c r="C56" s="250"/>
      <c r="D56" s="250"/>
      <c r="E56" s="420"/>
      <c r="F56" s="251" t="s">
        <v>1833</v>
      </c>
      <c r="G56" s="417"/>
      <c r="H56" s="249" t="s">
        <v>1833</v>
      </c>
      <c r="I56" s="250"/>
      <c r="J56" s="250"/>
      <c r="K56" s="420"/>
      <c r="L56" s="251" t="s">
        <v>1833</v>
      </c>
    </row>
    <row r="57" spans="1:12" ht="26.25" thickBot="1">
      <c r="A57" s="417"/>
      <c r="B57" s="249" t="s">
        <v>1834</v>
      </c>
      <c r="C57" s="250"/>
      <c r="D57" s="250"/>
      <c r="E57" s="420"/>
      <c r="F57" s="251" t="s">
        <v>1835</v>
      </c>
      <c r="G57" s="417"/>
      <c r="H57" s="249" t="s">
        <v>1834</v>
      </c>
      <c r="I57" s="250"/>
      <c r="J57" s="250"/>
      <c r="K57" s="420"/>
      <c r="L57" s="251" t="s">
        <v>1835</v>
      </c>
    </row>
    <row r="58" spans="1:12" ht="15.75" thickBot="1">
      <c r="A58" s="418"/>
      <c r="B58" s="249" t="s">
        <v>1836</v>
      </c>
      <c r="C58" s="250"/>
      <c r="D58" s="250"/>
      <c r="E58" s="421"/>
      <c r="F58" s="251" t="s">
        <v>1837</v>
      </c>
      <c r="G58" s="418"/>
      <c r="H58" s="249" t="s">
        <v>1836</v>
      </c>
      <c r="I58" s="250"/>
      <c r="J58" s="250"/>
      <c r="K58" s="421"/>
      <c r="L58" s="251" t="s">
        <v>1837</v>
      </c>
    </row>
    <row r="59" spans="1:12" ht="15.75" thickBot="1">
      <c r="A59" s="416" t="s">
        <v>2146</v>
      </c>
      <c r="B59" s="249" t="s">
        <v>1822</v>
      </c>
      <c r="C59" s="250"/>
      <c r="D59" s="250"/>
      <c r="E59" s="419" t="s">
        <v>2146</v>
      </c>
      <c r="F59" s="251" t="s">
        <v>1822</v>
      </c>
      <c r="G59" s="416" t="s">
        <v>2146</v>
      </c>
      <c r="H59" s="249" t="s">
        <v>1822</v>
      </c>
      <c r="I59" s="250"/>
      <c r="J59" s="250"/>
      <c r="K59" s="419" t="s">
        <v>2146</v>
      </c>
      <c r="L59" s="251" t="s">
        <v>1822</v>
      </c>
    </row>
    <row r="60" spans="1:12" ht="15.75" thickBot="1">
      <c r="A60" s="417"/>
      <c r="B60" s="249" t="s">
        <v>1824</v>
      </c>
      <c r="C60" s="250"/>
      <c r="D60" s="250"/>
      <c r="E60" s="420"/>
      <c r="F60" s="251" t="s">
        <v>1824</v>
      </c>
      <c r="G60" s="417"/>
      <c r="H60" s="249" t="s">
        <v>1824</v>
      </c>
      <c r="I60" s="250"/>
      <c r="J60" s="250"/>
      <c r="K60" s="420"/>
      <c r="L60" s="251" t="s">
        <v>1824</v>
      </c>
    </row>
    <row r="61" spans="1:12" ht="15.75" thickBot="1">
      <c r="A61" s="417"/>
      <c r="B61" s="249" t="s">
        <v>1825</v>
      </c>
      <c r="C61" s="250"/>
      <c r="D61" s="250"/>
      <c r="E61" s="420"/>
      <c r="F61" s="251" t="s">
        <v>1825</v>
      </c>
      <c r="G61" s="417"/>
      <c r="H61" s="249" t="s">
        <v>1825</v>
      </c>
      <c r="I61" s="250"/>
      <c r="J61" s="250"/>
      <c r="K61" s="420"/>
      <c r="L61" s="251" t="s">
        <v>1825</v>
      </c>
    </row>
    <row r="62" spans="1:12" ht="15.75" thickBot="1">
      <c r="A62" s="417"/>
      <c r="B62" s="249" t="s">
        <v>1826</v>
      </c>
      <c r="C62" s="250"/>
      <c r="D62" s="250"/>
      <c r="E62" s="420"/>
      <c r="F62" s="251" t="s">
        <v>1826</v>
      </c>
      <c r="G62" s="417"/>
      <c r="H62" s="249" t="s">
        <v>1826</v>
      </c>
      <c r="I62" s="250"/>
      <c r="J62" s="250"/>
      <c r="K62" s="420"/>
      <c r="L62" s="251" t="s">
        <v>1826</v>
      </c>
    </row>
    <row r="63" spans="1:12" ht="15.75" thickBot="1">
      <c r="A63" s="417"/>
      <c r="B63" s="249" t="s">
        <v>1827</v>
      </c>
      <c r="C63" s="250"/>
      <c r="D63" s="250"/>
      <c r="E63" s="420"/>
      <c r="F63" s="251" t="s">
        <v>1827</v>
      </c>
      <c r="G63" s="417"/>
      <c r="H63" s="249" t="s">
        <v>1827</v>
      </c>
      <c r="I63" s="250"/>
      <c r="J63" s="250"/>
      <c r="K63" s="420"/>
      <c r="L63" s="251" t="s">
        <v>1827</v>
      </c>
    </row>
    <row r="64" spans="1:12" ht="15.75" thickBot="1">
      <c r="A64" s="417"/>
      <c r="B64" s="249" t="s">
        <v>1828</v>
      </c>
      <c r="C64" s="250"/>
      <c r="D64" s="250"/>
      <c r="E64" s="420"/>
      <c r="F64" s="251" t="s">
        <v>1828</v>
      </c>
      <c r="G64" s="417"/>
      <c r="H64" s="249" t="s">
        <v>1828</v>
      </c>
      <c r="I64" s="250"/>
      <c r="J64" s="250"/>
      <c r="K64" s="420"/>
      <c r="L64" s="251" t="s">
        <v>1828</v>
      </c>
    </row>
    <row r="65" spans="1:12" ht="15.75" thickBot="1">
      <c r="A65" s="417"/>
      <c r="B65" s="249" t="s">
        <v>1829</v>
      </c>
      <c r="C65" s="250"/>
      <c r="D65" s="250"/>
      <c r="E65" s="420"/>
      <c r="F65" s="251" t="s">
        <v>1829</v>
      </c>
      <c r="G65" s="417"/>
      <c r="H65" s="249" t="s">
        <v>1829</v>
      </c>
      <c r="I65" s="250"/>
      <c r="J65" s="250"/>
      <c r="K65" s="420"/>
      <c r="L65" s="251" t="s">
        <v>1829</v>
      </c>
    </row>
    <row r="66" spans="1:12" ht="15.75" thickBot="1">
      <c r="A66" s="417"/>
      <c r="B66" s="249" t="s">
        <v>1830</v>
      </c>
      <c r="C66" s="250"/>
      <c r="D66" s="250"/>
      <c r="E66" s="420"/>
      <c r="F66" s="251" t="s">
        <v>1830</v>
      </c>
      <c r="G66" s="417"/>
      <c r="H66" s="249" t="s">
        <v>1830</v>
      </c>
      <c r="I66" s="250"/>
      <c r="J66" s="250"/>
      <c r="K66" s="420"/>
      <c r="L66" s="251" t="s">
        <v>1830</v>
      </c>
    </row>
    <row r="67" spans="1:12" ht="15.75" thickBot="1">
      <c r="A67" s="417"/>
      <c r="B67" s="249" t="s">
        <v>1831</v>
      </c>
      <c r="C67" s="250"/>
      <c r="D67" s="250"/>
      <c r="E67" s="420"/>
      <c r="F67" s="251" t="s">
        <v>1831</v>
      </c>
      <c r="G67" s="417"/>
      <c r="H67" s="249" t="s">
        <v>1831</v>
      </c>
      <c r="I67" s="250"/>
      <c r="J67" s="250"/>
      <c r="K67" s="420"/>
      <c r="L67" s="251" t="s">
        <v>1831</v>
      </c>
    </row>
    <row r="68" spans="1:12" ht="15.75" thickBot="1">
      <c r="A68" s="417"/>
      <c r="B68" s="249" t="s">
        <v>1832</v>
      </c>
      <c r="C68" s="250"/>
      <c r="D68" s="250"/>
      <c r="E68" s="420"/>
      <c r="F68" s="251" t="s">
        <v>1832</v>
      </c>
      <c r="G68" s="417"/>
      <c r="H68" s="249" t="s">
        <v>1832</v>
      </c>
      <c r="I68" s="250"/>
      <c r="J68" s="250"/>
      <c r="K68" s="420"/>
      <c r="L68" s="251" t="s">
        <v>1832</v>
      </c>
    </row>
    <row r="69" spans="1:12" ht="15.75" thickBot="1">
      <c r="A69" s="417"/>
      <c r="B69" s="249" t="s">
        <v>1833</v>
      </c>
      <c r="C69" s="250"/>
      <c r="D69" s="250"/>
      <c r="E69" s="420"/>
      <c r="F69" s="251" t="s">
        <v>1833</v>
      </c>
      <c r="G69" s="417"/>
      <c r="H69" s="249" t="s">
        <v>1833</v>
      </c>
      <c r="I69" s="250"/>
      <c r="J69" s="250"/>
      <c r="K69" s="420"/>
      <c r="L69" s="251" t="s">
        <v>1833</v>
      </c>
    </row>
    <row r="70" spans="1:12" ht="26.25" thickBot="1">
      <c r="A70" s="417"/>
      <c r="B70" s="249" t="s">
        <v>1834</v>
      </c>
      <c r="C70" s="250"/>
      <c r="D70" s="250"/>
      <c r="E70" s="420"/>
      <c r="F70" s="251" t="s">
        <v>1835</v>
      </c>
      <c r="G70" s="417"/>
      <c r="H70" s="249" t="s">
        <v>1834</v>
      </c>
      <c r="I70" s="250"/>
      <c r="J70" s="250"/>
      <c r="K70" s="420"/>
      <c r="L70" s="251" t="s">
        <v>1835</v>
      </c>
    </row>
    <row r="71" spans="1:12" ht="15.75" thickBot="1">
      <c r="A71" s="418"/>
      <c r="B71" s="249" t="s">
        <v>1836</v>
      </c>
      <c r="C71" s="250"/>
      <c r="D71" s="250"/>
      <c r="E71" s="421"/>
      <c r="F71" s="251" t="s">
        <v>1837</v>
      </c>
      <c r="G71" s="418"/>
      <c r="H71" s="249" t="s">
        <v>1836</v>
      </c>
      <c r="I71" s="250"/>
      <c r="J71" s="250"/>
      <c r="K71" s="421"/>
      <c r="L71" s="251" t="s">
        <v>1837</v>
      </c>
    </row>
    <row r="72" spans="1:12" ht="15.75" thickBot="1">
      <c r="A72" s="416" t="s">
        <v>2147</v>
      </c>
      <c r="B72" s="249" t="s">
        <v>1822</v>
      </c>
      <c r="C72" s="250"/>
      <c r="D72" s="250"/>
      <c r="E72" s="419" t="s">
        <v>2147</v>
      </c>
      <c r="F72" s="251" t="s">
        <v>1822</v>
      </c>
      <c r="G72" s="416" t="s">
        <v>2147</v>
      </c>
      <c r="H72" s="249" t="s">
        <v>1822</v>
      </c>
      <c r="I72" s="250"/>
      <c r="J72" s="250"/>
      <c r="K72" s="419" t="s">
        <v>2147</v>
      </c>
      <c r="L72" s="251" t="s">
        <v>1822</v>
      </c>
    </row>
    <row r="73" spans="1:12" ht="15.75" thickBot="1">
      <c r="A73" s="417"/>
      <c r="B73" s="249" t="s">
        <v>1824</v>
      </c>
      <c r="C73" s="250"/>
      <c r="D73" s="250"/>
      <c r="E73" s="420"/>
      <c r="F73" s="251" t="s">
        <v>1824</v>
      </c>
      <c r="G73" s="417"/>
      <c r="H73" s="249" t="s">
        <v>1824</v>
      </c>
      <c r="I73" s="250"/>
      <c r="J73" s="250"/>
      <c r="K73" s="420"/>
      <c r="L73" s="251" t="s">
        <v>1824</v>
      </c>
    </row>
    <row r="74" spans="1:12" ht="15.75" thickBot="1">
      <c r="A74" s="417"/>
      <c r="B74" s="249" t="s">
        <v>1825</v>
      </c>
      <c r="C74" s="250"/>
      <c r="D74" s="250"/>
      <c r="E74" s="420"/>
      <c r="F74" s="251" t="s">
        <v>1825</v>
      </c>
      <c r="G74" s="417"/>
      <c r="H74" s="249" t="s">
        <v>1825</v>
      </c>
      <c r="I74" s="250"/>
      <c r="J74" s="250"/>
      <c r="K74" s="420"/>
      <c r="L74" s="251" t="s">
        <v>1825</v>
      </c>
    </row>
    <row r="75" spans="1:12" ht="15.75" thickBot="1">
      <c r="A75" s="417"/>
      <c r="B75" s="249" t="s">
        <v>1826</v>
      </c>
      <c r="C75" s="250"/>
      <c r="D75" s="250"/>
      <c r="E75" s="420"/>
      <c r="F75" s="251" t="s">
        <v>1826</v>
      </c>
      <c r="G75" s="417"/>
      <c r="H75" s="249" t="s">
        <v>1826</v>
      </c>
      <c r="I75" s="250"/>
      <c r="J75" s="250"/>
      <c r="K75" s="420"/>
      <c r="L75" s="251" t="s">
        <v>1826</v>
      </c>
    </row>
    <row r="76" spans="1:12" ht="15.75" thickBot="1">
      <c r="A76" s="417"/>
      <c r="B76" s="249" t="s">
        <v>1827</v>
      </c>
      <c r="C76" s="250"/>
      <c r="D76" s="250"/>
      <c r="E76" s="420"/>
      <c r="F76" s="251" t="s">
        <v>1827</v>
      </c>
      <c r="G76" s="417"/>
      <c r="H76" s="249" t="s">
        <v>1827</v>
      </c>
      <c r="I76" s="250"/>
      <c r="J76" s="250"/>
      <c r="K76" s="420"/>
      <c r="L76" s="251" t="s">
        <v>1827</v>
      </c>
    </row>
    <row r="77" spans="1:12" ht="15.75" thickBot="1">
      <c r="A77" s="417"/>
      <c r="B77" s="249" t="s">
        <v>1828</v>
      </c>
      <c r="C77" s="250"/>
      <c r="D77" s="250"/>
      <c r="E77" s="420"/>
      <c r="F77" s="251" t="s">
        <v>1828</v>
      </c>
      <c r="G77" s="417"/>
      <c r="H77" s="249" t="s">
        <v>1828</v>
      </c>
      <c r="I77" s="250"/>
      <c r="J77" s="250"/>
      <c r="K77" s="420"/>
      <c r="L77" s="251" t="s">
        <v>1828</v>
      </c>
    </row>
    <row r="78" spans="1:12" ht="15.75" thickBot="1">
      <c r="A78" s="417"/>
      <c r="B78" s="249" t="s">
        <v>1829</v>
      </c>
      <c r="C78" s="250"/>
      <c r="D78" s="250"/>
      <c r="E78" s="420"/>
      <c r="F78" s="251" t="s">
        <v>1829</v>
      </c>
      <c r="G78" s="417"/>
      <c r="H78" s="249" t="s">
        <v>1829</v>
      </c>
      <c r="I78" s="250"/>
      <c r="J78" s="250"/>
      <c r="K78" s="420"/>
      <c r="L78" s="251" t="s">
        <v>1829</v>
      </c>
    </row>
    <row r="79" spans="1:12" ht="15.75" thickBot="1">
      <c r="A79" s="417"/>
      <c r="B79" s="249" t="s">
        <v>1830</v>
      </c>
      <c r="C79" s="250"/>
      <c r="D79" s="250"/>
      <c r="E79" s="420"/>
      <c r="F79" s="251" t="s">
        <v>1830</v>
      </c>
      <c r="G79" s="417"/>
      <c r="H79" s="249" t="s">
        <v>1830</v>
      </c>
      <c r="I79" s="250"/>
      <c r="J79" s="250"/>
      <c r="K79" s="420"/>
      <c r="L79" s="251" t="s">
        <v>1830</v>
      </c>
    </row>
    <row r="80" spans="1:12" ht="15.75" thickBot="1">
      <c r="A80" s="417"/>
      <c r="B80" s="249" t="s">
        <v>1831</v>
      </c>
      <c r="C80" s="250"/>
      <c r="D80" s="250"/>
      <c r="E80" s="420"/>
      <c r="F80" s="251" t="s">
        <v>1831</v>
      </c>
      <c r="G80" s="417"/>
      <c r="H80" s="249" t="s">
        <v>1831</v>
      </c>
      <c r="I80" s="250"/>
      <c r="J80" s="250"/>
      <c r="K80" s="420"/>
      <c r="L80" s="251" t="s">
        <v>1831</v>
      </c>
    </row>
    <row r="81" spans="1:12" ht="15.75" thickBot="1">
      <c r="A81" s="417"/>
      <c r="B81" s="249" t="s">
        <v>1832</v>
      </c>
      <c r="C81" s="250"/>
      <c r="D81" s="250"/>
      <c r="E81" s="420"/>
      <c r="F81" s="251" t="s">
        <v>1832</v>
      </c>
      <c r="G81" s="417"/>
      <c r="H81" s="249" t="s">
        <v>1832</v>
      </c>
      <c r="I81" s="250"/>
      <c r="J81" s="250"/>
      <c r="K81" s="420"/>
      <c r="L81" s="251" t="s">
        <v>1832</v>
      </c>
    </row>
    <row r="82" spans="1:12" ht="15.75" thickBot="1">
      <c r="A82" s="417"/>
      <c r="B82" s="249" t="s">
        <v>1833</v>
      </c>
      <c r="C82" s="250"/>
      <c r="D82" s="250"/>
      <c r="E82" s="420"/>
      <c r="F82" s="251" t="s">
        <v>1833</v>
      </c>
      <c r="G82" s="417"/>
      <c r="H82" s="249" t="s">
        <v>1833</v>
      </c>
      <c r="I82" s="250"/>
      <c r="J82" s="250"/>
      <c r="K82" s="420"/>
      <c r="L82" s="251" t="s">
        <v>1833</v>
      </c>
    </row>
    <row r="83" spans="1:12" ht="26.25" thickBot="1">
      <c r="A83" s="417"/>
      <c r="B83" s="249" t="s">
        <v>1834</v>
      </c>
      <c r="C83" s="250"/>
      <c r="D83" s="250"/>
      <c r="E83" s="420"/>
      <c r="F83" s="251" t="s">
        <v>1835</v>
      </c>
      <c r="G83" s="417"/>
      <c r="H83" s="249" t="s">
        <v>1834</v>
      </c>
      <c r="I83" s="250"/>
      <c r="J83" s="250"/>
      <c r="K83" s="420"/>
      <c r="L83" s="251" t="s">
        <v>1835</v>
      </c>
    </row>
    <row r="84" spans="1:12" ht="15.75" thickBot="1">
      <c r="A84" s="418"/>
      <c r="B84" s="249" t="s">
        <v>1836</v>
      </c>
      <c r="C84" s="250"/>
      <c r="D84" s="250"/>
      <c r="E84" s="421"/>
      <c r="F84" s="251" t="s">
        <v>1837</v>
      </c>
      <c r="G84" s="418"/>
      <c r="H84" s="249" t="s">
        <v>1836</v>
      </c>
      <c r="I84" s="250"/>
      <c r="J84" s="250"/>
      <c r="K84" s="421"/>
      <c r="L84" s="251" t="s">
        <v>1837</v>
      </c>
    </row>
    <row r="85" spans="1:12" ht="15.75" thickBot="1">
      <c r="A85" s="416" t="s">
        <v>2148</v>
      </c>
      <c r="B85" s="249" t="s">
        <v>1822</v>
      </c>
      <c r="C85" s="250"/>
      <c r="D85" s="250"/>
      <c r="E85" s="419" t="s">
        <v>2148</v>
      </c>
      <c r="F85" s="251" t="s">
        <v>1822</v>
      </c>
      <c r="G85" s="416" t="s">
        <v>2148</v>
      </c>
      <c r="H85" s="249" t="s">
        <v>1822</v>
      </c>
      <c r="I85" s="250"/>
      <c r="J85" s="250"/>
      <c r="K85" s="419" t="s">
        <v>2148</v>
      </c>
      <c r="L85" s="251" t="s">
        <v>1822</v>
      </c>
    </row>
    <row r="86" spans="1:12" ht="15.75" thickBot="1">
      <c r="A86" s="417"/>
      <c r="B86" s="249" t="s">
        <v>1824</v>
      </c>
      <c r="C86" s="250"/>
      <c r="D86" s="250"/>
      <c r="E86" s="420"/>
      <c r="F86" s="251" t="s">
        <v>1824</v>
      </c>
      <c r="G86" s="417"/>
      <c r="H86" s="249" t="s">
        <v>1824</v>
      </c>
      <c r="I86" s="250"/>
      <c r="J86" s="250"/>
      <c r="K86" s="420"/>
      <c r="L86" s="251" t="s">
        <v>1824</v>
      </c>
    </row>
    <row r="87" spans="1:12" ht="15.75" thickBot="1">
      <c r="A87" s="417"/>
      <c r="B87" s="249" t="s">
        <v>1825</v>
      </c>
      <c r="C87" s="250"/>
      <c r="D87" s="250"/>
      <c r="E87" s="420"/>
      <c r="F87" s="251" t="s">
        <v>1825</v>
      </c>
      <c r="G87" s="417"/>
      <c r="H87" s="249" t="s">
        <v>1825</v>
      </c>
      <c r="I87" s="250"/>
      <c r="J87" s="250"/>
      <c r="K87" s="420"/>
      <c r="L87" s="251" t="s">
        <v>1825</v>
      </c>
    </row>
    <row r="88" spans="1:12" ht="15.75" thickBot="1">
      <c r="A88" s="417"/>
      <c r="B88" s="249" t="s">
        <v>1826</v>
      </c>
      <c r="C88" s="250"/>
      <c r="D88" s="250"/>
      <c r="E88" s="420"/>
      <c r="F88" s="251" t="s">
        <v>1826</v>
      </c>
      <c r="G88" s="417"/>
      <c r="H88" s="249" t="s">
        <v>1826</v>
      </c>
      <c r="I88" s="250"/>
      <c r="J88" s="250"/>
      <c r="K88" s="420"/>
      <c r="L88" s="251" t="s">
        <v>1826</v>
      </c>
    </row>
    <row r="89" spans="1:12" ht="15.75" thickBot="1">
      <c r="A89" s="417"/>
      <c r="B89" s="249" t="s">
        <v>1827</v>
      </c>
      <c r="C89" s="250"/>
      <c r="D89" s="250"/>
      <c r="E89" s="420"/>
      <c r="F89" s="251" t="s">
        <v>1827</v>
      </c>
      <c r="G89" s="417"/>
      <c r="H89" s="249" t="s">
        <v>1827</v>
      </c>
      <c r="I89" s="250"/>
      <c r="J89" s="250"/>
      <c r="K89" s="420"/>
      <c r="L89" s="251" t="s">
        <v>1827</v>
      </c>
    </row>
    <row r="90" spans="1:12" ht="15.75" thickBot="1">
      <c r="A90" s="417"/>
      <c r="B90" s="249" t="s">
        <v>1828</v>
      </c>
      <c r="C90" s="250"/>
      <c r="D90" s="250"/>
      <c r="E90" s="420"/>
      <c r="F90" s="251" t="s">
        <v>1828</v>
      </c>
      <c r="G90" s="417"/>
      <c r="H90" s="249" t="s">
        <v>1828</v>
      </c>
      <c r="I90" s="250"/>
      <c r="J90" s="250"/>
      <c r="K90" s="420"/>
      <c r="L90" s="251" t="s">
        <v>1828</v>
      </c>
    </row>
    <row r="91" spans="1:12" ht="15.75" thickBot="1">
      <c r="A91" s="417"/>
      <c r="B91" s="249" t="s">
        <v>1829</v>
      </c>
      <c r="C91" s="250"/>
      <c r="D91" s="250"/>
      <c r="E91" s="420"/>
      <c r="F91" s="251" t="s">
        <v>1829</v>
      </c>
      <c r="G91" s="417"/>
      <c r="H91" s="249" t="s">
        <v>1829</v>
      </c>
      <c r="I91" s="250"/>
      <c r="J91" s="250"/>
      <c r="K91" s="420"/>
      <c r="L91" s="251" t="s">
        <v>1829</v>
      </c>
    </row>
    <row r="92" spans="1:12" ht="15.75" thickBot="1">
      <c r="A92" s="417"/>
      <c r="B92" s="249" t="s">
        <v>1830</v>
      </c>
      <c r="C92" s="250"/>
      <c r="D92" s="250"/>
      <c r="E92" s="420"/>
      <c r="F92" s="251" t="s">
        <v>1830</v>
      </c>
      <c r="G92" s="417"/>
      <c r="H92" s="249" t="s">
        <v>1830</v>
      </c>
      <c r="I92" s="250"/>
      <c r="J92" s="250"/>
      <c r="K92" s="420"/>
      <c r="L92" s="251" t="s">
        <v>1830</v>
      </c>
    </row>
    <row r="93" spans="1:12" ht="15.75" thickBot="1">
      <c r="A93" s="417"/>
      <c r="B93" s="249" t="s">
        <v>1831</v>
      </c>
      <c r="C93" s="250"/>
      <c r="D93" s="250"/>
      <c r="E93" s="420"/>
      <c r="F93" s="251" t="s">
        <v>1831</v>
      </c>
      <c r="G93" s="417"/>
      <c r="H93" s="249" t="s">
        <v>1831</v>
      </c>
      <c r="I93" s="250"/>
      <c r="J93" s="250"/>
      <c r="K93" s="420"/>
      <c r="L93" s="251" t="s">
        <v>1831</v>
      </c>
    </row>
    <row r="94" spans="1:12" ht="15.75" thickBot="1">
      <c r="A94" s="417"/>
      <c r="B94" s="249" t="s">
        <v>1832</v>
      </c>
      <c r="C94" s="250"/>
      <c r="D94" s="250"/>
      <c r="E94" s="420"/>
      <c r="F94" s="251" t="s">
        <v>1832</v>
      </c>
      <c r="G94" s="417"/>
      <c r="H94" s="249" t="s">
        <v>1832</v>
      </c>
      <c r="I94" s="250"/>
      <c r="J94" s="250"/>
      <c r="K94" s="420"/>
      <c r="L94" s="251" t="s">
        <v>1832</v>
      </c>
    </row>
    <row r="95" spans="1:12" ht="15.75" thickBot="1">
      <c r="A95" s="417"/>
      <c r="B95" s="249" t="s">
        <v>1833</v>
      </c>
      <c r="C95" s="250"/>
      <c r="D95" s="250"/>
      <c r="E95" s="420"/>
      <c r="F95" s="251" t="s">
        <v>1833</v>
      </c>
      <c r="G95" s="417"/>
      <c r="H95" s="249" t="s">
        <v>1833</v>
      </c>
      <c r="I95" s="250"/>
      <c r="J95" s="250"/>
      <c r="K95" s="420"/>
      <c r="L95" s="251" t="s">
        <v>1833</v>
      </c>
    </row>
    <row r="96" spans="1:12" ht="26.25" thickBot="1">
      <c r="A96" s="417"/>
      <c r="B96" s="249" t="s">
        <v>1834</v>
      </c>
      <c r="C96" s="250"/>
      <c r="D96" s="250"/>
      <c r="E96" s="420"/>
      <c r="F96" s="251" t="s">
        <v>1835</v>
      </c>
      <c r="G96" s="417"/>
      <c r="H96" s="249" t="s">
        <v>1834</v>
      </c>
      <c r="I96" s="250"/>
      <c r="J96" s="250"/>
      <c r="K96" s="420"/>
      <c r="L96" s="251" t="s">
        <v>1835</v>
      </c>
    </row>
    <row r="97" spans="1:12" ht="15.75" thickBot="1">
      <c r="A97" s="418"/>
      <c r="B97" s="249" t="s">
        <v>1836</v>
      </c>
      <c r="C97" s="250"/>
      <c r="D97" s="250"/>
      <c r="E97" s="421"/>
      <c r="F97" s="251" t="s">
        <v>1837</v>
      </c>
      <c r="G97" s="418"/>
      <c r="H97" s="249" t="s">
        <v>1836</v>
      </c>
      <c r="I97" s="250"/>
      <c r="J97" s="250"/>
      <c r="K97" s="421"/>
      <c r="L97" s="251" t="s">
        <v>1837</v>
      </c>
    </row>
    <row r="98" spans="1:12" ht="15.75" thickBot="1">
      <c r="A98" s="416" t="s">
        <v>2149</v>
      </c>
      <c r="B98" s="249" t="s">
        <v>1822</v>
      </c>
      <c r="C98" s="250"/>
      <c r="D98" s="250"/>
      <c r="E98" s="419" t="s">
        <v>2149</v>
      </c>
      <c r="F98" s="251" t="s">
        <v>1822</v>
      </c>
      <c r="G98" s="416" t="s">
        <v>2149</v>
      </c>
      <c r="H98" s="249" t="s">
        <v>1822</v>
      </c>
      <c r="I98" s="250"/>
      <c r="J98" s="250"/>
      <c r="K98" s="419" t="s">
        <v>2149</v>
      </c>
      <c r="L98" s="251" t="s">
        <v>1822</v>
      </c>
    </row>
    <row r="99" spans="1:12" ht="15.75" thickBot="1">
      <c r="A99" s="417"/>
      <c r="B99" s="249" t="s">
        <v>1824</v>
      </c>
      <c r="C99" s="250"/>
      <c r="D99" s="250"/>
      <c r="E99" s="420"/>
      <c r="F99" s="251" t="s">
        <v>1824</v>
      </c>
      <c r="G99" s="417"/>
      <c r="H99" s="249" t="s">
        <v>1824</v>
      </c>
      <c r="I99" s="250"/>
      <c r="J99" s="250"/>
      <c r="K99" s="420"/>
      <c r="L99" s="251" t="s">
        <v>1824</v>
      </c>
    </row>
    <row r="100" spans="1:12" ht="15.75" thickBot="1">
      <c r="A100" s="417"/>
      <c r="B100" s="249" t="s">
        <v>1825</v>
      </c>
      <c r="C100" s="250"/>
      <c r="D100" s="250"/>
      <c r="E100" s="420"/>
      <c r="F100" s="251" t="s">
        <v>1825</v>
      </c>
      <c r="G100" s="417"/>
      <c r="H100" s="249" t="s">
        <v>1825</v>
      </c>
      <c r="I100" s="250"/>
      <c r="J100" s="250"/>
      <c r="K100" s="420"/>
      <c r="L100" s="251" t="s">
        <v>1825</v>
      </c>
    </row>
    <row r="101" spans="1:12" ht="15.75" thickBot="1">
      <c r="A101" s="417"/>
      <c r="B101" s="249" t="s">
        <v>1826</v>
      </c>
      <c r="C101" s="250"/>
      <c r="D101" s="250"/>
      <c r="E101" s="420"/>
      <c r="F101" s="251" t="s">
        <v>1826</v>
      </c>
      <c r="G101" s="417"/>
      <c r="H101" s="249" t="s">
        <v>1826</v>
      </c>
      <c r="I101" s="250"/>
      <c r="J101" s="250"/>
      <c r="K101" s="420"/>
      <c r="L101" s="251" t="s">
        <v>1826</v>
      </c>
    </row>
    <row r="102" spans="1:12" ht="15.75" thickBot="1">
      <c r="A102" s="417"/>
      <c r="B102" s="249" t="s">
        <v>1827</v>
      </c>
      <c r="C102" s="250"/>
      <c r="D102" s="250"/>
      <c r="E102" s="420"/>
      <c r="F102" s="251" t="s">
        <v>1827</v>
      </c>
      <c r="G102" s="417"/>
      <c r="H102" s="249" t="s">
        <v>1827</v>
      </c>
      <c r="I102" s="250"/>
      <c r="J102" s="250"/>
      <c r="K102" s="420"/>
      <c r="L102" s="251" t="s">
        <v>1827</v>
      </c>
    </row>
    <row r="103" spans="1:12" ht="15.75" thickBot="1">
      <c r="A103" s="417"/>
      <c r="B103" s="249" t="s">
        <v>1828</v>
      </c>
      <c r="C103" s="250"/>
      <c r="D103" s="250"/>
      <c r="E103" s="420"/>
      <c r="F103" s="251" t="s">
        <v>1828</v>
      </c>
      <c r="G103" s="417"/>
      <c r="H103" s="249" t="s">
        <v>1828</v>
      </c>
      <c r="I103" s="250"/>
      <c r="J103" s="250"/>
      <c r="K103" s="420"/>
      <c r="L103" s="251" t="s">
        <v>1828</v>
      </c>
    </row>
    <row r="104" spans="1:12" ht="15.75" thickBot="1">
      <c r="A104" s="417"/>
      <c r="B104" s="249" t="s">
        <v>1829</v>
      </c>
      <c r="C104" s="250"/>
      <c r="D104" s="250"/>
      <c r="E104" s="420"/>
      <c r="F104" s="251" t="s">
        <v>1829</v>
      </c>
      <c r="G104" s="417"/>
      <c r="H104" s="249" t="s">
        <v>1829</v>
      </c>
      <c r="I104" s="250"/>
      <c r="J104" s="250"/>
      <c r="K104" s="420"/>
      <c r="L104" s="251" t="s">
        <v>1829</v>
      </c>
    </row>
    <row r="105" spans="1:12" ht="15.75" thickBot="1">
      <c r="A105" s="417"/>
      <c r="B105" s="249" t="s">
        <v>1830</v>
      </c>
      <c r="C105" s="250"/>
      <c r="D105" s="250"/>
      <c r="E105" s="420"/>
      <c r="F105" s="251" t="s">
        <v>1830</v>
      </c>
      <c r="G105" s="417"/>
      <c r="H105" s="249" t="s">
        <v>1830</v>
      </c>
      <c r="I105" s="250"/>
      <c r="J105" s="250"/>
      <c r="K105" s="420"/>
      <c r="L105" s="251" t="s">
        <v>1830</v>
      </c>
    </row>
    <row r="106" spans="1:12" ht="15.75" thickBot="1">
      <c r="A106" s="417"/>
      <c r="B106" s="249" t="s">
        <v>1831</v>
      </c>
      <c r="C106" s="250"/>
      <c r="D106" s="250"/>
      <c r="E106" s="420"/>
      <c r="F106" s="251" t="s">
        <v>1831</v>
      </c>
      <c r="G106" s="417"/>
      <c r="H106" s="249" t="s">
        <v>1831</v>
      </c>
      <c r="I106" s="250"/>
      <c r="J106" s="250"/>
      <c r="K106" s="420"/>
      <c r="L106" s="251" t="s">
        <v>1831</v>
      </c>
    </row>
    <row r="107" spans="1:12" ht="15.75" thickBot="1">
      <c r="A107" s="417"/>
      <c r="B107" s="249" t="s">
        <v>1832</v>
      </c>
      <c r="C107" s="250"/>
      <c r="D107" s="250"/>
      <c r="E107" s="420"/>
      <c r="F107" s="251" t="s">
        <v>1832</v>
      </c>
      <c r="G107" s="417"/>
      <c r="H107" s="249" t="s">
        <v>1832</v>
      </c>
      <c r="I107" s="250"/>
      <c r="J107" s="250"/>
      <c r="K107" s="420"/>
      <c r="L107" s="251" t="s">
        <v>1832</v>
      </c>
    </row>
    <row r="108" spans="1:12" ht="15.75" thickBot="1">
      <c r="A108" s="417"/>
      <c r="B108" s="249" t="s">
        <v>1833</v>
      </c>
      <c r="C108" s="250"/>
      <c r="D108" s="250"/>
      <c r="E108" s="420"/>
      <c r="F108" s="251" t="s">
        <v>1833</v>
      </c>
      <c r="G108" s="417"/>
      <c r="H108" s="249" t="s">
        <v>1833</v>
      </c>
      <c r="I108" s="250"/>
      <c r="J108" s="250"/>
      <c r="K108" s="420"/>
      <c r="L108" s="251" t="s">
        <v>1833</v>
      </c>
    </row>
    <row r="109" spans="1:12" ht="26.25" thickBot="1">
      <c r="A109" s="417"/>
      <c r="B109" s="249" t="s">
        <v>1834</v>
      </c>
      <c r="C109" s="250"/>
      <c r="D109" s="250"/>
      <c r="E109" s="420"/>
      <c r="F109" s="251" t="s">
        <v>1835</v>
      </c>
      <c r="G109" s="417"/>
      <c r="H109" s="249" t="s">
        <v>1834</v>
      </c>
      <c r="I109" s="250"/>
      <c r="J109" s="250"/>
      <c r="K109" s="420"/>
      <c r="L109" s="251" t="s">
        <v>1835</v>
      </c>
    </row>
    <row r="110" spans="1:12" ht="15.75" thickBot="1">
      <c r="A110" s="418"/>
      <c r="B110" s="249" t="s">
        <v>1836</v>
      </c>
      <c r="C110" s="250"/>
      <c r="D110" s="250"/>
      <c r="E110" s="421"/>
      <c r="F110" s="251" t="s">
        <v>1837</v>
      </c>
      <c r="G110" s="418"/>
      <c r="H110" s="249" t="s">
        <v>1836</v>
      </c>
      <c r="I110" s="250"/>
      <c r="J110" s="250"/>
      <c r="K110" s="421"/>
      <c r="L110" s="251" t="s">
        <v>1837</v>
      </c>
    </row>
    <row r="111" spans="1:12" ht="15.75" thickBot="1">
      <c r="A111" s="416" t="s">
        <v>2150</v>
      </c>
      <c r="B111" s="249" t="s">
        <v>1822</v>
      </c>
      <c r="C111" s="250"/>
      <c r="D111" s="250">
        <v>27546</v>
      </c>
      <c r="E111" s="419" t="s">
        <v>2150</v>
      </c>
      <c r="F111" s="251" t="s">
        <v>1822</v>
      </c>
      <c r="G111" s="416" t="s">
        <v>2150</v>
      </c>
      <c r="H111" s="249" t="s">
        <v>1822</v>
      </c>
      <c r="I111" s="250"/>
      <c r="J111" s="250">
        <v>67028</v>
      </c>
      <c r="K111" s="419" t="s">
        <v>2150</v>
      </c>
      <c r="L111" s="251" t="s">
        <v>1822</v>
      </c>
    </row>
    <row r="112" spans="1:12" ht="15.75" thickBot="1">
      <c r="A112" s="417"/>
      <c r="B112" s="249" t="s">
        <v>1824</v>
      </c>
      <c r="C112" s="250"/>
      <c r="D112" s="250"/>
      <c r="E112" s="420"/>
      <c r="F112" s="251" t="s">
        <v>1824</v>
      </c>
      <c r="G112" s="417"/>
      <c r="H112" s="249" t="s">
        <v>1824</v>
      </c>
      <c r="I112" s="250"/>
      <c r="J112" s="250"/>
      <c r="K112" s="420"/>
      <c r="L112" s="251" t="s">
        <v>1824</v>
      </c>
    </row>
    <row r="113" spans="1:12" ht="15.75" thickBot="1">
      <c r="A113" s="417"/>
      <c r="B113" s="249" t="s">
        <v>1825</v>
      </c>
      <c r="C113" s="250"/>
      <c r="D113" s="250"/>
      <c r="E113" s="420"/>
      <c r="F113" s="251" t="s">
        <v>1825</v>
      </c>
      <c r="G113" s="417"/>
      <c r="H113" s="249" t="s">
        <v>1825</v>
      </c>
      <c r="I113" s="250"/>
      <c r="J113" s="250"/>
      <c r="K113" s="420"/>
      <c r="L113" s="251" t="s">
        <v>1825</v>
      </c>
    </row>
    <row r="114" spans="1:12" ht="15.75" thickBot="1">
      <c r="A114" s="417"/>
      <c r="B114" s="249" t="s">
        <v>1826</v>
      </c>
      <c r="C114" s="250"/>
      <c r="D114" s="250"/>
      <c r="E114" s="420"/>
      <c r="F114" s="251" t="s">
        <v>1826</v>
      </c>
      <c r="G114" s="417"/>
      <c r="H114" s="249" t="s">
        <v>1826</v>
      </c>
      <c r="I114" s="250"/>
      <c r="J114" s="250"/>
      <c r="K114" s="420"/>
      <c r="L114" s="251" t="s">
        <v>1826</v>
      </c>
    </row>
    <row r="115" spans="1:12" ht="15.75" thickBot="1">
      <c r="A115" s="417"/>
      <c r="B115" s="249" t="s">
        <v>1827</v>
      </c>
      <c r="C115" s="250"/>
      <c r="D115" s="250"/>
      <c r="E115" s="420"/>
      <c r="F115" s="251" t="s">
        <v>1827</v>
      </c>
      <c r="G115" s="417"/>
      <c r="H115" s="249" t="s">
        <v>1827</v>
      </c>
      <c r="I115" s="250"/>
      <c r="J115" s="250"/>
      <c r="K115" s="420"/>
      <c r="L115" s="251" t="s">
        <v>1827</v>
      </c>
    </row>
    <row r="116" spans="1:12" ht="15.75" thickBot="1">
      <c r="A116" s="417"/>
      <c r="B116" s="249" t="s">
        <v>1828</v>
      </c>
      <c r="C116" s="250"/>
      <c r="D116" s="250"/>
      <c r="E116" s="420"/>
      <c r="F116" s="251" t="s">
        <v>1828</v>
      </c>
      <c r="G116" s="417"/>
      <c r="H116" s="249" t="s">
        <v>1828</v>
      </c>
      <c r="I116" s="250"/>
      <c r="J116" s="250"/>
      <c r="K116" s="420"/>
      <c r="L116" s="251" t="s">
        <v>1828</v>
      </c>
    </row>
    <row r="117" spans="1:12" ht="15.75" thickBot="1">
      <c r="A117" s="417"/>
      <c r="B117" s="249" t="s">
        <v>1829</v>
      </c>
      <c r="C117" s="250"/>
      <c r="D117" s="250"/>
      <c r="E117" s="420"/>
      <c r="F117" s="251" t="s">
        <v>1829</v>
      </c>
      <c r="G117" s="417"/>
      <c r="H117" s="249" t="s">
        <v>1829</v>
      </c>
      <c r="I117" s="250"/>
      <c r="J117" s="250"/>
      <c r="K117" s="420"/>
      <c r="L117" s="251" t="s">
        <v>1829</v>
      </c>
    </row>
    <row r="118" spans="1:12" ht="15.75" thickBot="1">
      <c r="A118" s="417"/>
      <c r="B118" s="249" t="s">
        <v>1830</v>
      </c>
      <c r="C118" s="250"/>
      <c r="D118" s="250"/>
      <c r="E118" s="420"/>
      <c r="F118" s="251" t="s">
        <v>1830</v>
      </c>
      <c r="G118" s="417"/>
      <c r="H118" s="249" t="s">
        <v>1830</v>
      </c>
      <c r="I118" s="250"/>
      <c r="J118" s="250"/>
      <c r="K118" s="420"/>
      <c r="L118" s="251" t="s">
        <v>1830</v>
      </c>
    </row>
    <row r="119" spans="1:12" ht="15.75" thickBot="1">
      <c r="A119" s="417"/>
      <c r="B119" s="249" t="s">
        <v>1831</v>
      </c>
      <c r="C119" s="250"/>
      <c r="D119" s="250"/>
      <c r="E119" s="420"/>
      <c r="F119" s="251" t="s">
        <v>1831</v>
      </c>
      <c r="G119" s="417"/>
      <c r="H119" s="249" t="s">
        <v>1831</v>
      </c>
      <c r="I119" s="250"/>
      <c r="J119" s="250"/>
      <c r="K119" s="420"/>
      <c r="L119" s="251" t="s">
        <v>1831</v>
      </c>
    </row>
    <row r="120" spans="1:12" ht="15.75" thickBot="1">
      <c r="A120" s="417"/>
      <c r="B120" s="249" t="s">
        <v>1832</v>
      </c>
      <c r="C120" s="250"/>
      <c r="D120" s="250"/>
      <c r="E120" s="420"/>
      <c r="F120" s="251" t="s">
        <v>1832</v>
      </c>
      <c r="G120" s="417"/>
      <c r="H120" s="249" t="s">
        <v>1832</v>
      </c>
      <c r="I120" s="250"/>
      <c r="J120" s="250"/>
      <c r="K120" s="420"/>
      <c r="L120" s="251" t="s">
        <v>1832</v>
      </c>
    </row>
    <row r="121" spans="1:12" ht="15.75" thickBot="1">
      <c r="A121" s="417"/>
      <c r="B121" s="249" t="s">
        <v>1833</v>
      </c>
      <c r="C121" s="250"/>
      <c r="D121" s="250"/>
      <c r="E121" s="420"/>
      <c r="F121" s="251" t="s">
        <v>1833</v>
      </c>
      <c r="G121" s="417"/>
      <c r="H121" s="249" t="s">
        <v>1833</v>
      </c>
      <c r="I121" s="250"/>
      <c r="J121" s="250"/>
      <c r="K121" s="420"/>
      <c r="L121" s="251" t="s">
        <v>1833</v>
      </c>
    </row>
    <row r="122" spans="1:12" ht="26.25" thickBot="1">
      <c r="A122" s="417"/>
      <c r="B122" s="249" t="s">
        <v>1834</v>
      </c>
      <c r="C122" s="250"/>
      <c r="D122" s="250"/>
      <c r="E122" s="420"/>
      <c r="F122" s="251" t="s">
        <v>1835</v>
      </c>
      <c r="G122" s="417"/>
      <c r="H122" s="249" t="s">
        <v>1834</v>
      </c>
      <c r="I122" s="250"/>
      <c r="J122" s="250"/>
      <c r="K122" s="420"/>
      <c r="L122" s="251" t="s">
        <v>1835</v>
      </c>
    </row>
    <row r="123" spans="1:12" ht="15.75" thickBot="1">
      <c r="A123" s="418"/>
      <c r="B123" s="249" t="s">
        <v>1836</v>
      </c>
      <c r="C123" s="250"/>
      <c r="D123" s="250">
        <v>27546</v>
      </c>
      <c r="E123" s="421"/>
      <c r="F123" s="251" t="s">
        <v>1837</v>
      </c>
      <c r="G123" s="418"/>
      <c r="H123" s="249" t="s">
        <v>1836</v>
      </c>
      <c r="I123" s="250"/>
      <c r="J123" s="250">
        <v>67028</v>
      </c>
      <c r="K123" s="421"/>
      <c r="L123" s="251" t="s">
        <v>1837</v>
      </c>
    </row>
    <row r="124" spans="1:12" ht="15.75" thickBot="1">
      <c r="A124" s="416" t="s">
        <v>2151</v>
      </c>
      <c r="B124" s="249" t="s">
        <v>1822</v>
      </c>
      <c r="C124" s="250"/>
      <c r="D124" s="250"/>
      <c r="E124" s="419" t="s">
        <v>2151</v>
      </c>
      <c r="F124" s="251" t="s">
        <v>1822</v>
      </c>
      <c r="G124" s="416" t="s">
        <v>2151</v>
      </c>
      <c r="H124" s="249" t="s">
        <v>1822</v>
      </c>
      <c r="I124" s="250"/>
      <c r="J124" s="250"/>
      <c r="K124" s="419" t="s">
        <v>2151</v>
      </c>
      <c r="L124" s="251" t="s">
        <v>1822</v>
      </c>
    </row>
    <row r="125" spans="1:12" ht="15.75" thickBot="1">
      <c r="A125" s="417"/>
      <c r="B125" s="249" t="s">
        <v>1824</v>
      </c>
      <c r="C125" s="250"/>
      <c r="D125" s="250"/>
      <c r="E125" s="420"/>
      <c r="F125" s="251" t="s">
        <v>1824</v>
      </c>
      <c r="G125" s="417"/>
      <c r="H125" s="249" t="s">
        <v>1824</v>
      </c>
      <c r="I125" s="250"/>
      <c r="J125" s="250"/>
      <c r="K125" s="420"/>
      <c r="L125" s="251" t="s">
        <v>1824</v>
      </c>
    </row>
    <row r="126" spans="1:12" ht="15.75" thickBot="1">
      <c r="A126" s="417"/>
      <c r="B126" s="249" t="s">
        <v>1825</v>
      </c>
      <c r="C126" s="250"/>
      <c r="D126" s="250"/>
      <c r="E126" s="420"/>
      <c r="F126" s="251" t="s">
        <v>1825</v>
      </c>
      <c r="G126" s="417"/>
      <c r="H126" s="249" t="s">
        <v>1825</v>
      </c>
      <c r="I126" s="250"/>
      <c r="J126" s="250"/>
      <c r="K126" s="420"/>
      <c r="L126" s="251" t="s">
        <v>1825</v>
      </c>
    </row>
    <row r="127" spans="1:12" ht="15.75" thickBot="1">
      <c r="A127" s="417"/>
      <c r="B127" s="249" t="s">
        <v>1826</v>
      </c>
      <c r="C127" s="250"/>
      <c r="D127" s="250"/>
      <c r="E127" s="420"/>
      <c r="F127" s="251" t="s">
        <v>1826</v>
      </c>
      <c r="G127" s="417"/>
      <c r="H127" s="249" t="s">
        <v>1826</v>
      </c>
      <c r="I127" s="250"/>
      <c r="J127" s="250"/>
      <c r="K127" s="420"/>
      <c r="L127" s="251" t="s">
        <v>1826</v>
      </c>
    </row>
    <row r="128" spans="1:12" ht="15.75" thickBot="1">
      <c r="A128" s="417"/>
      <c r="B128" s="249" t="s">
        <v>1827</v>
      </c>
      <c r="C128" s="250"/>
      <c r="D128" s="250"/>
      <c r="E128" s="420"/>
      <c r="F128" s="251" t="s">
        <v>1827</v>
      </c>
      <c r="G128" s="417"/>
      <c r="H128" s="249" t="s">
        <v>1827</v>
      </c>
      <c r="I128" s="250"/>
      <c r="J128" s="250"/>
      <c r="K128" s="420"/>
      <c r="L128" s="251" t="s">
        <v>1827</v>
      </c>
    </row>
    <row r="129" spans="1:12" ht="15.75" thickBot="1">
      <c r="A129" s="417"/>
      <c r="B129" s="249" t="s">
        <v>1828</v>
      </c>
      <c r="C129" s="250"/>
      <c r="D129" s="250"/>
      <c r="E129" s="420"/>
      <c r="F129" s="251" t="s">
        <v>1828</v>
      </c>
      <c r="G129" s="417"/>
      <c r="H129" s="249" t="s">
        <v>1828</v>
      </c>
      <c r="I129" s="250"/>
      <c r="J129" s="250"/>
      <c r="K129" s="420"/>
      <c r="L129" s="251" t="s">
        <v>1828</v>
      </c>
    </row>
    <row r="130" spans="1:12" ht="15.75" thickBot="1">
      <c r="A130" s="417"/>
      <c r="B130" s="249" t="s">
        <v>1829</v>
      </c>
      <c r="C130" s="250"/>
      <c r="D130" s="250"/>
      <c r="E130" s="420"/>
      <c r="F130" s="251" t="s">
        <v>1829</v>
      </c>
      <c r="G130" s="417"/>
      <c r="H130" s="249" t="s">
        <v>1829</v>
      </c>
      <c r="I130" s="250"/>
      <c r="J130" s="250"/>
      <c r="K130" s="420"/>
      <c r="L130" s="251" t="s">
        <v>1829</v>
      </c>
    </row>
    <row r="131" spans="1:12" ht="15.75" thickBot="1">
      <c r="A131" s="417"/>
      <c r="B131" s="249" t="s">
        <v>1830</v>
      </c>
      <c r="C131" s="250"/>
      <c r="D131" s="250"/>
      <c r="E131" s="420"/>
      <c r="F131" s="251" t="s">
        <v>1830</v>
      </c>
      <c r="G131" s="417"/>
      <c r="H131" s="249" t="s">
        <v>1830</v>
      </c>
      <c r="I131" s="250"/>
      <c r="J131" s="250"/>
      <c r="K131" s="420"/>
      <c r="L131" s="251" t="s">
        <v>1830</v>
      </c>
    </row>
    <row r="132" spans="1:12" ht="15.75" thickBot="1">
      <c r="A132" s="417"/>
      <c r="B132" s="249" t="s">
        <v>1831</v>
      </c>
      <c r="C132" s="250"/>
      <c r="D132" s="250"/>
      <c r="E132" s="420"/>
      <c r="F132" s="251" t="s">
        <v>1831</v>
      </c>
      <c r="G132" s="417"/>
      <c r="H132" s="249" t="s">
        <v>1831</v>
      </c>
      <c r="I132" s="250"/>
      <c r="J132" s="250"/>
      <c r="K132" s="420"/>
      <c r="L132" s="251" t="s">
        <v>1831</v>
      </c>
    </row>
    <row r="133" spans="1:12" ht="15.75" thickBot="1">
      <c r="A133" s="417"/>
      <c r="B133" s="249" t="s">
        <v>1832</v>
      </c>
      <c r="C133" s="250"/>
      <c r="D133" s="250"/>
      <c r="E133" s="420"/>
      <c r="F133" s="251" t="s">
        <v>1832</v>
      </c>
      <c r="G133" s="417"/>
      <c r="H133" s="249" t="s">
        <v>1832</v>
      </c>
      <c r="I133" s="250"/>
      <c r="J133" s="250"/>
      <c r="K133" s="420"/>
      <c r="L133" s="251" t="s">
        <v>1832</v>
      </c>
    </row>
    <row r="134" spans="1:12" ht="15.75" thickBot="1">
      <c r="A134" s="417"/>
      <c r="B134" s="249" t="s">
        <v>1833</v>
      </c>
      <c r="C134" s="250"/>
      <c r="D134" s="250"/>
      <c r="E134" s="420"/>
      <c r="F134" s="251" t="s">
        <v>1833</v>
      </c>
      <c r="G134" s="417"/>
      <c r="H134" s="249" t="s">
        <v>1833</v>
      </c>
      <c r="I134" s="250"/>
      <c r="J134" s="250"/>
      <c r="K134" s="420"/>
      <c r="L134" s="251" t="s">
        <v>1833</v>
      </c>
    </row>
    <row r="135" spans="1:12" ht="26.25" thickBot="1">
      <c r="A135" s="417"/>
      <c r="B135" s="249" t="s">
        <v>1834</v>
      </c>
      <c r="C135" s="250"/>
      <c r="D135" s="250"/>
      <c r="E135" s="420"/>
      <c r="F135" s="251" t="s">
        <v>1835</v>
      </c>
      <c r="G135" s="417"/>
      <c r="H135" s="249" t="s">
        <v>1834</v>
      </c>
      <c r="I135" s="250"/>
      <c r="J135" s="250"/>
      <c r="K135" s="420"/>
      <c r="L135" s="251" t="s">
        <v>1835</v>
      </c>
    </row>
    <row r="136" spans="1:12" ht="15.75" thickBot="1">
      <c r="A136" s="418"/>
      <c r="B136" s="249" t="s">
        <v>1836</v>
      </c>
      <c r="C136" s="250"/>
      <c r="D136" s="250"/>
      <c r="E136" s="421"/>
      <c r="F136" s="251" t="s">
        <v>1837</v>
      </c>
      <c r="G136" s="418"/>
      <c r="H136" s="249" t="s">
        <v>1836</v>
      </c>
      <c r="I136" s="250"/>
      <c r="J136" s="250"/>
      <c r="K136" s="421"/>
      <c r="L136" s="251" t="s">
        <v>1837</v>
      </c>
    </row>
    <row r="137" spans="1:12" ht="15.75" thickBot="1">
      <c r="A137" s="416" t="s">
        <v>2152</v>
      </c>
      <c r="B137" s="249" t="s">
        <v>1822</v>
      </c>
      <c r="C137" s="250"/>
      <c r="D137" s="250"/>
      <c r="E137" s="419" t="s">
        <v>2152</v>
      </c>
      <c r="F137" s="251" t="s">
        <v>1822</v>
      </c>
      <c r="G137" s="416" t="s">
        <v>2152</v>
      </c>
      <c r="H137" s="249" t="s">
        <v>1822</v>
      </c>
      <c r="I137" s="250"/>
      <c r="J137" s="250"/>
      <c r="K137" s="419" t="s">
        <v>2152</v>
      </c>
      <c r="L137" s="251" t="s">
        <v>1822</v>
      </c>
    </row>
    <row r="138" spans="1:12" ht="15.75" thickBot="1">
      <c r="A138" s="417"/>
      <c r="B138" s="249" t="s">
        <v>1824</v>
      </c>
      <c r="C138" s="250"/>
      <c r="D138" s="250"/>
      <c r="E138" s="420"/>
      <c r="F138" s="251" t="s">
        <v>1824</v>
      </c>
      <c r="G138" s="417"/>
      <c r="H138" s="249" t="s">
        <v>1824</v>
      </c>
      <c r="I138" s="250"/>
      <c r="J138" s="250"/>
      <c r="K138" s="420"/>
      <c r="L138" s="251" t="s">
        <v>1824</v>
      </c>
    </row>
    <row r="139" spans="1:12" ht="15.75" thickBot="1">
      <c r="A139" s="417"/>
      <c r="B139" s="249" t="s">
        <v>1825</v>
      </c>
      <c r="C139" s="250"/>
      <c r="D139" s="250"/>
      <c r="E139" s="420"/>
      <c r="F139" s="251" t="s">
        <v>1825</v>
      </c>
      <c r="G139" s="417"/>
      <c r="H139" s="249" t="s">
        <v>1825</v>
      </c>
      <c r="I139" s="250"/>
      <c r="J139" s="250"/>
      <c r="K139" s="420"/>
      <c r="L139" s="251" t="s">
        <v>1825</v>
      </c>
    </row>
    <row r="140" spans="1:12" ht="15.75" thickBot="1">
      <c r="A140" s="417"/>
      <c r="B140" s="249" t="s">
        <v>1826</v>
      </c>
      <c r="C140" s="250"/>
      <c r="D140" s="250"/>
      <c r="E140" s="420"/>
      <c r="F140" s="251" t="s">
        <v>1826</v>
      </c>
      <c r="G140" s="417"/>
      <c r="H140" s="249" t="s">
        <v>1826</v>
      </c>
      <c r="I140" s="250"/>
      <c r="J140" s="250"/>
      <c r="K140" s="420"/>
      <c r="L140" s="251" t="s">
        <v>1826</v>
      </c>
    </row>
    <row r="141" spans="1:12" ht="15.75" thickBot="1">
      <c r="A141" s="417"/>
      <c r="B141" s="249" t="s">
        <v>1827</v>
      </c>
      <c r="C141" s="250"/>
      <c r="D141" s="250"/>
      <c r="E141" s="420"/>
      <c r="F141" s="251" t="s">
        <v>1827</v>
      </c>
      <c r="G141" s="417"/>
      <c r="H141" s="249" t="s">
        <v>1827</v>
      </c>
      <c r="I141" s="250"/>
      <c r="J141" s="250"/>
      <c r="K141" s="420"/>
      <c r="L141" s="251" t="s">
        <v>1827</v>
      </c>
    </row>
    <row r="142" spans="1:12" ht="15.75" thickBot="1">
      <c r="A142" s="417"/>
      <c r="B142" s="249" t="s">
        <v>1828</v>
      </c>
      <c r="C142" s="250"/>
      <c r="D142" s="250"/>
      <c r="E142" s="420"/>
      <c r="F142" s="251" t="s">
        <v>1828</v>
      </c>
      <c r="G142" s="417"/>
      <c r="H142" s="249" t="s">
        <v>1828</v>
      </c>
      <c r="I142" s="250"/>
      <c r="J142" s="250"/>
      <c r="K142" s="420"/>
      <c r="L142" s="251" t="s">
        <v>1828</v>
      </c>
    </row>
    <row r="143" spans="1:12" ht="15.75" thickBot="1">
      <c r="A143" s="417"/>
      <c r="B143" s="249" t="s">
        <v>1829</v>
      </c>
      <c r="C143" s="250"/>
      <c r="D143" s="250"/>
      <c r="E143" s="420"/>
      <c r="F143" s="251" t="s">
        <v>1829</v>
      </c>
      <c r="G143" s="417"/>
      <c r="H143" s="249" t="s">
        <v>1829</v>
      </c>
      <c r="I143" s="250"/>
      <c r="J143" s="250"/>
      <c r="K143" s="420"/>
      <c r="L143" s="251" t="s">
        <v>1829</v>
      </c>
    </row>
    <row r="144" spans="1:12" ht="15.75" thickBot="1">
      <c r="A144" s="417"/>
      <c r="B144" s="249" t="s">
        <v>1830</v>
      </c>
      <c r="C144" s="250"/>
      <c r="D144" s="250"/>
      <c r="E144" s="420"/>
      <c r="F144" s="251" t="s">
        <v>1830</v>
      </c>
      <c r="G144" s="417"/>
      <c r="H144" s="249" t="s">
        <v>1830</v>
      </c>
      <c r="I144" s="250"/>
      <c r="J144" s="250"/>
      <c r="K144" s="420"/>
      <c r="L144" s="251" t="s">
        <v>1830</v>
      </c>
    </row>
    <row r="145" spans="1:12" ht="15.75" thickBot="1">
      <c r="A145" s="417"/>
      <c r="B145" s="249" t="s">
        <v>1831</v>
      </c>
      <c r="C145" s="250"/>
      <c r="D145" s="250"/>
      <c r="E145" s="420"/>
      <c r="F145" s="251" t="s">
        <v>1831</v>
      </c>
      <c r="G145" s="417"/>
      <c r="H145" s="249" t="s">
        <v>1831</v>
      </c>
      <c r="I145" s="250"/>
      <c r="J145" s="250"/>
      <c r="K145" s="420"/>
      <c r="L145" s="251" t="s">
        <v>1831</v>
      </c>
    </row>
    <row r="146" spans="1:12" ht="15.75" thickBot="1">
      <c r="A146" s="417"/>
      <c r="B146" s="249" t="s">
        <v>1832</v>
      </c>
      <c r="C146" s="250"/>
      <c r="D146" s="250"/>
      <c r="E146" s="420"/>
      <c r="F146" s="251" t="s">
        <v>1832</v>
      </c>
      <c r="G146" s="417"/>
      <c r="H146" s="249" t="s">
        <v>1832</v>
      </c>
      <c r="I146" s="250"/>
      <c r="J146" s="250"/>
      <c r="K146" s="420"/>
      <c r="L146" s="251" t="s">
        <v>1832</v>
      </c>
    </row>
    <row r="147" spans="1:12" ht="15.75" thickBot="1">
      <c r="A147" s="417"/>
      <c r="B147" s="249" t="s">
        <v>1833</v>
      </c>
      <c r="C147" s="250"/>
      <c r="D147" s="250"/>
      <c r="E147" s="420"/>
      <c r="F147" s="251" t="s">
        <v>1833</v>
      </c>
      <c r="G147" s="417"/>
      <c r="H147" s="249" t="s">
        <v>1833</v>
      </c>
      <c r="I147" s="250"/>
      <c r="J147" s="250"/>
      <c r="K147" s="420"/>
      <c r="L147" s="251" t="s">
        <v>1833</v>
      </c>
    </row>
    <row r="148" spans="1:12" ht="26.25" thickBot="1">
      <c r="A148" s="417"/>
      <c r="B148" s="249" t="s">
        <v>1834</v>
      </c>
      <c r="C148" s="250"/>
      <c r="D148" s="250"/>
      <c r="E148" s="420"/>
      <c r="F148" s="251" t="s">
        <v>1835</v>
      </c>
      <c r="G148" s="417"/>
      <c r="H148" s="249" t="s">
        <v>1834</v>
      </c>
      <c r="I148" s="250"/>
      <c r="J148" s="250"/>
      <c r="K148" s="420"/>
      <c r="L148" s="251" t="s">
        <v>1835</v>
      </c>
    </row>
    <row r="149" spans="1:12" ht="15.75" thickBot="1">
      <c r="A149" s="418"/>
      <c r="B149" s="249" t="s">
        <v>1836</v>
      </c>
      <c r="C149" s="250"/>
      <c r="D149" s="250"/>
      <c r="E149" s="421"/>
      <c r="F149" s="251" t="s">
        <v>1837</v>
      </c>
      <c r="G149" s="418"/>
      <c r="H149" s="249" t="s">
        <v>1836</v>
      </c>
      <c r="I149" s="250"/>
      <c r="J149" s="250"/>
      <c r="K149" s="421"/>
      <c r="L149" s="251" t="s">
        <v>1837</v>
      </c>
    </row>
    <row r="150" spans="1:12" ht="15.75" thickBot="1">
      <c r="A150" s="416" t="s">
        <v>2153</v>
      </c>
      <c r="B150" s="249" t="s">
        <v>1822</v>
      </c>
      <c r="C150" s="250"/>
      <c r="D150" s="250"/>
      <c r="E150" s="419" t="s">
        <v>2153</v>
      </c>
      <c r="F150" s="251" t="s">
        <v>1822</v>
      </c>
      <c r="G150" s="416" t="s">
        <v>2153</v>
      </c>
      <c r="H150" s="249" t="s">
        <v>1822</v>
      </c>
      <c r="I150" s="250"/>
      <c r="J150" s="250"/>
      <c r="K150" s="419" t="s">
        <v>2153</v>
      </c>
      <c r="L150" s="251" t="s">
        <v>1822</v>
      </c>
    </row>
    <row r="151" spans="1:12" ht="15.75" thickBot="1">
      <c r="A151" s="417"/>
      <c r="B151" s="249" t="s">
        <v>1824</v>
      </c>
      <c r="C151" s="250"/>
      <c r="D151" s="250"/>
      <c r="E151" s="420"/>
      <c r="F151" s="251" t="s">
        <v>1824</v>
      </c>
      <c r="G151" s="417"/>
      <c r="H151" s="249" t="s">
        <v>1824</v>
      </c>
      <c r="I151" s="250"/>
      <c r="J151" s="250"/>
      <c r="K151" s="420"/>
      <c r="L151" s="251" t="s">
        <v>1824</v>
      </c>
    </row>
    <row r="152" spans="1:12" ht="15.75" thickBot="1">
      <c r="A152" s="417"/>
      <c r="B152" s="249" t="s">
        <v>1825</v>
      </c>
      <c r="C152" s="250"/>
      <c r="D152" s="250"/>
      <c r="E152" s="420"/>
      <c r="F152" s="251" t="s">
        <v>1825</v>
      </c>
      <c r="G152" s="417"/>
      <c r="H152" s="249" t="s">
        <v>1825</v>
      </c>
      <c r="I152" s="250"/>
      <c r="J152" s="250"/>
      <c r="K152" s="420"/>
      <c r="L152" s="251" t="s">
        <v>1825</v>
      </c>
    </row>
    <row r="153" spans="1:12" ht="15.75" thickBot="1">
      <c r="A153" s="417"/>
      <c r="B153" s="249" t="s">
        <v>1826</v>
      </c>
      <c r="C153" s="250"/>
      <c r="D153" s="250"/>
      <c r="E153" s="420"/>
      <c r="F153" s="251" t="s">
        <v>1826</v>
      </c>
      <c r="G153" s="417"/>
      <c r="H153" s="249" t="s">
        <v>1826</v>
      </c>
      <c r="I153" s="250"/>
      <c r="J153" s="250"/>
      <c r="K153" s="420"/>
      <c r="L153" s="251" t="s">
        <v>1826</v>
      </c>
    </row>
    <row r="154" spans="1:12" ht="15.75" thickBot="1">
      <c r="A154" s="417"/>
      <c r="B154" s="249" t="s">
        <v>1827</v>
      </c>
      <c r="C154" s="250"/>
      <c r="D154" s="250"/>
      <c r="E154" s="420"/>
      <c r="F154" s="251" t="s">
        <v>1827</v>
      </c>
      <c r="G154" s="417"/>
      <c r="H154" s="249" t="s">
        <v>1827</v>
      </c>
      <c r="I154" s="250"/>
      <c r="J154" s="250"/>
      <c r="K154" s="420"/>
      <c r="L154" s="251" t="s">
        <v>1827</v>
      </c>
    </row>
    <row r="155" spans="1:12" ht="15.75" thickBot="1">
      <c r="A155" s="417"/>
      <c r="B155" s="249" t="s">
        <v>1828</v>
      </c>
      <c r="C155" s="250"/>
      <c r="D155" s="250"/>
      <c r="E155" s="420"/>
      <c r="F155" s="251" t="s">
        <v>1828</v>
      </c>
      <c r="G155" s="417"/>
      <c r="H155" s="249" t="s">
        <v>1828</v>
      </c>
      <c r="I155" s="250"/>
      <c r="J155" s="250"/>
      <c r="K155" s="420"/>
      <c r="L155" s="251" t="s">
        <v>1828</v>
      </c>
    </row>
    <row r="156" spans="1:12" ht="15.75" thickBot="1">
      <c r="A156" s="417"/>
      <c r="B156" s="249" t="s">
        <v>1829</v>
      </c>
      <c r="C156" s="250"/>
      <c r="D156" s="250"/>
      <c r="E156" s="420"/>
      <c r="F156" s="251" t="s">
        <v>1829</v>
      </c>
      <c r="G156" s="417"/>
      <c r="H156" s="249" t="s">
        <v>1829</v>
      </c>
      <c r="I156" s="250"/>
      <c r="J156" s="250"/>
      <c r="K156" s="420"/>
      <c r="L156" s="251" t="s">
        <v>1829</v>
      </c>
    </row>
    <row r="157" spans="1:12" ht="15.75" thickBot="1">
      <c r="A157" s="417"/>
      <c r="B157" s="249" t="s">
        <v>1830</v>
      </c>
      <c r="C157" s="250"/>
      <c r="D157" s="250"/>
      <c r="E157" s="420"/>
      <c r="F157" s="251" t="s">
        <v>1830</v>
      </c>
      <c r="G157" s="417"/>
      <c r="H157" s="249" t="s">
        <v>1830</v>
      </c>
      <c r="I157" s="250"/>
      <c r="J157" s="250"/>
      <c r="K157" s="420"/>
      <c r="L157" s="251" t="s">
        <v>1830</v>
      </c>
    </row>
    <row r="158" spans="1:12" ht="15.75" thickBot="1">
      <c r="A158" s="417"/>
      <c r="B158" s="249" t="s">
        <v>1831</v>
      </c>
      <c r="C158" s="250"/>
      <c r="D158" s="250"/>
      <c r="E158" s="420"/>
      <c r="F158" s="251" t="s">
        <v>1831</v>
      </c>
      <c r="G158" s="417"/>
      <c r="H158" s="249" t="s">
        <v>1831</v>
      </c>
      <c r="I158" s="250"/>
      <c r="J158" s="250"/>
      <c r="K158" s="420"/>
      <c r="L158" s="251" t="s">
        <v>1831</v>
      </c>
    </row>
    <row r="159" spans="1:12" ht="15.75" thickBot="1">
      <c r="A159" s="417"/>
      <c r="B159" s="249" t="s">
        <v>1832</v>
      </c>
      <c r="C159" s="250"/>
      <c r="D159" s="250"/>
      <c r="E159" s="420"/>
      <c r="F159" s="251" t="s">
        <v>1832</v>
      </c>
      <c r="G159" s="417"/>
      <c r="H159" s="249" t="s">
        <v>1832</v>
      </c>
      <c r="I159" s="250"/>
      <c r="J159" s="250"/>
      <c r="K159" s="420"/>
      <c r="L159" s="251" t="s">
        <v>1832</v>
      </c>
    </row>
    <row r="160" spans="1:12" ht="15.75" thickBot="1">
      <c r="A160" s="417"/>
      <c r="B160" s="249" t="s">
        <v>1833</v>
      </c>
      <c r="C160" s="250"/>
      <c r="D160" s="250"/>
      <c r="E160" s="420"/>
      <c r="F160" s="251" t="s">
        <v>1833</v>
      </c>
      <c r="G160" s="417"/>
      <c r="H160" s="249" t="s">
        <v>1833</v>
      </c>
      <c r="I160" s="250"/>
      <c r="J160" s="250"/>
      <c r="K160" s="420"/>
      <c r="L160" s="251" t="s">
        <v>1833</v>
      </c>
    </row>
    <row r="161" spans="1:12" ht="26.25" thickBot="1">
      <c r="A161" s="417"/>
      <c r="B161" s="249" t="s">
        <v>1834</v>
      </c>
      <c r="C161" s="250"/>
      <c r="D161" s="250"/>
      <c r="E161" s="420"/>
      <c r="F161" s="251" t="s">
        <v>1835</v>
      </c>
      <c r="G161" s="417"/>
      <c r="H161" s="249" t="s">
        <v>1834</v>
      </c>
      <c r="I161" s="250"/>
      <c r="J161" s="250"/>
      <c r="K161" s="420"/>
      <c r="L161" s="251" t="s">
        <v>1835</v>
      </c>
    </row>
    <row r="162" spans="1:12" ht="15.75" thickBot="1">
      <c r="A162" s="418"/>
      <c r="B162" s="249" t="s">
        <v>1836</v>
      </c>
      <c r="C162" s="250"/>
      <c r="D162" s="250"/>
      <c r="E162" s="421"/>
      <c r="F162" s="251" t="s">
        <v>1837</v>
      </c>
      <c r="G162" s="418"/>
      <c r="H162" s="249" t="s">
        <v>1836</v>
      </c>
      <c r="I162" s="250"/>
      <c r="J162" s="250"/>
      <c r="K162" s="421"/>
      <c r="L162" s="251" t="s">
        <v>1837</v>
      </c>
    </row>
    <row r="163" spans="1:12" ht="15.75" thickBot="1">
      <c r="A163" s="416" t="s">
        <v>2154</v>
      </c>
      <c r="B163" s="249" t="s">
        <v>1822</v>
      </c>
      <c r="C163" s="250"/>
      <c r="D163" s="250"/>
      <c r="E163" s="419" t="s">
        <v>2154</v>
      </c>
      <c r="F163" s="251" t="s">
        <v>1822</v>
      </c>
      <c r="G163" s="416" t="s">
        <v>2154</v>
      </c>
      <c r="H163" s="249" t="s">
        <v>1822</v>
      </c>
      <c r="I163" s="250"/>
      <c r="J163" s="250"/>
      <c r="K163" s="419" t="s">
        <v>2154</v>
      </c>
      <c r="L163" s="251" t="s">
        <v>1822</v>
      </c>
    </row>
    <row r="164" spans="1:12" ht="15.75" thickBot="1">
      <c r="A164" s="417"/>
      <c r="B164" s="249" t="s">
        <v>1824</v>
      </c>
      <c r="C164" s="250"/>
      <c r="D164" s="250"/>
      <c r="E164" s="420"/>
      <c r="F164" s="251" t="s">
        <v>1824</v>
      </c>
      <c r="G164" s="417"/>
      <c r="H164" s="249" t="s">
        <v>1824</v>
      </c>
      <c r="I164" s="250"/>
      <c r="J164" s="250"/>
      <c r="K164" s="420"/>
      <c r="L164" s="251" t="s">
        <v>1824</v>
      </c>
    </row>
    <row r="165" spans="1:12" ht="15.75" thickBot="1">
      <c r="A165" s="417"/>
      <c r="B165" s="249" t="s">
        <v>1825</v>
      </c>
      <c r="C165" s="250"/>
      <c r="D165" s="250"/>
      <c r="E165" s="420"/>
      <c r="F165" s="251" t="s">
        <v>1825</v>
      </c>
      <c r="G165" s="417"/>
      <c r="H165" s="249" t="s">
        <v>1825</v>
      </c>
      <c r="I165" s="250"/>
      <c r="J165" s="250"/>
      <c r="K165" s="420"/>
      <c r="L165" s="251" t="s">
        <v>1825</v>
      </c>
    </row>
    <row r="166" spans="1:12" ht="15.75" thickBot="1">
      <c r="A166" s="417"/>
      <c r="B166" s="249" t="s">
        <v>1826</v>
      </c>
      <c r="C166" s="250"/>
      <c r="D166" s="250"/>
      <c r="E166" s="420"/>
      <c r="F166" s="251" t="s">
        <v>1826</v>
      </c>
      <c r="G166" s="417"/>
      <c r="H166" s="249" t="s">
        <v>1826</v>
      </c>
      <c r="I166" s="250"/>
      <c r="J166" s="250"/>
      <c r="K166" s="420"/>
      <c r="L166" s="251" t="s">
        <v>1826</v>
      </c>
    </row>
    <row r="167" spans="1:12" ht="15.75" thickBot="1">
      <c r="A167" s="417"/>
      <c r="B167" s="249" t="s">
        <v>1827</v>
      </c>
      <c r="C167" s="250"/>
      <c r="D167" s="250"/>
      <c r="E167" s="420"/>
      <c r="F167" s="251" t="s">
        <v>1827</v>
      </c>
      <c r="G167" s="417"/>
      <c r="H167" s="249" t="s">
        <v>1827</v>
      </c>
      <c r="I167" s="250"/>
      <c r="J167" s="250"/>
      <c r="K167" s="420"/>
      <c r="L167" s="251" t="s">
        <v>1827</v>
      </c>
    </row>
    <row r="168" spans="1:12" ht="15.75" thickBot="1">
      <c r="A168" s="417"/>
      <c r="B168" s="249" t="s">
        <v>1828</v>
      </c>
      <c r="C168" s="250"/>
      <c r="D168" s="250"/>
      <c r="E168" s="420"/>
      <c r="F168" s="251" t="s">
        <v>1828</v>
      </c>
      <c r="G168" s="417"/>
      <c r="H168" s="249" t="s">
        <v>1828</v>
      </c>
      <c r="I168" s="250"/>
      <c r="J168" s="250"/>
      <c r="K168" s="420"/>
      <c r="L168" s="251" t="s">
        <v>1828</v>
      </c>
    </row>
    <row r="169" spans="1:12" ht="15.75" thickBot="1">
      <c r="A169" s="417"/>
      <c r="B169" s="249" t="s">
        <v>1829</v>
      </c>
      <c r="C169" s="250"/>
      <c r="D169" s="250"/>
      <c r="E169" s="420"/>
      <c r="F169" s="251" t="s">
        <v>1829</v>
      </c>
      <c r="G169" s="417"/>
      <c r="H169" s="249" t="s">
        <v>1829</v>
      </c>
      <c r="I169" s="250"/>
      <c r="J169" s="250"/>
      <c r="K169" s="420"/>
      <c r="L169" s="251" t="s">
        <v>1829</v>
      </c>
    </row>
    <row r="170" spans="1:12" ht="15.75" thickBot="1">
      <c r="A170" s="417"/>
      <c r="B170" s="249" t="s">
        <v>1830</v>
      </c>
      <c r="C170" s="250"/>
      <c r="D170" s="250"/>
      <c r="E170" s="420"/>
      <c r="F170" s="251" t="s">
        <v>1830</v>
      </c>
      <c r="G170" s="417"/>
      <c r="H170" s="249" t="s">
        <v>1830</v>
      </c>
      <c r="I170" s="250"/>
      <c r="J170" s="250"/>
      <c r="K170" s="420"/>
      <c r="L170" s="251" t="s">
        <v>1830</v>
      </c>
    </row>
    <row r="171" spans="1:12" ht="15.75" thickBot="1">
      <c r="A171" s="417"/>
      <c r="B171" s="249" t="s">
        <v>1831</v>
      </c>
      <c r="C171" s="250"/>
      <c r="D171" s="250"/>
      <c r="E171" s="420"/>
      <c r="F171" s="251" t="s">
        <v>1831</v>
      </c>
      <c r="G171" s="417"/>
      <c r="H171" s="249" t="s">
        <v>1831</v>
      </c>
      <c r="I171" s="250"/>
      <c r="J171" s="250"/>
      <c r="K171" s="420"/>
      <c r="L171" s="251" t="s">
        <v>1831</v>
      </c>
    </row>
    <row r="172" spans="1:12" ht="15.75" thickBot="1">
      <c r="A172" s="417"/>
      <c r="B172" s="249" t="s">
        <v>1832</v>
      </c>
      <c r="C172" s="250"/>
      <c r="D172" s="250"/>
      <c r="E172" s="420"/>
      <c r="F172" s="251" t="s">
        <v>1832</v>
      </c>
      <c r="G172" s="417"/>
      <c r="H172" s="249" t="s">
        <v>1832</v>
      </c>
      <c r="I172" s="250"/>
      <c r="J172" s="250"/>
      <c r="K172" s="420"/>
      <c r="L172" s="251" t="s">
        <v>1832</v>
      </c>
    </row>
    <row r="173" spans="1:12" ht="15.75" thickBot="1">
      <c r="A173" s="417"/>
      <c r="B173" s="249" t="s">
        <v>1833</v>
      </c>
      <c r="C173" s="250"/>
      <c r="D173" s="250"/>
      <c r="E173" s="420"/>
      <c r="F173" s="251" t="s">
        <v>1833</v>
      </c>
      <c r="G173" s="417"/>
      <c r="H173" s="249" t="s">
        <v>1833</v>
      </c>
      <c r="I173" s="250"/>
      <c r="J173" s="250"/>
      <c r="K173" s="420"/>
      <c r="L173" s="251" t="s">
        <v>1833</v>
      </c>
    </row>
    <row r="174" spans="1:12" ht="26.25" thickBot="1">
      <c r="A174" s="417"/>
      <c r="B174" s="249" t="s">
        <v>1834</v>
      </c>
      <c r="C174" s="250"/>
      <c r="D174" s="250"/>
      <c r="E174" s="420"/>
      <c r="F174" s="251" t="s">
        <v>1835</v>
      </c>
      <c r="G174" s="417"/>
      <c r="H174" s="249" t="s">
        <v>1834</v>
      </c>
      <c r="I174" s="250"/>
      <c r="J174" s="250"/>
      <c r="K174" s="420"/>
      <c r="L174" s="251" t="s">
        <v>1835</v>
      </c>
    </row>
    <row r="175" spans="1:12" ht="15.75" thickBot="1">
      <c r="A175" s="418"/>
      <c r="B175" s="249" t="s">
        <v>1836</v>
      </c>
      <c r="C175" s="250"/>
      <c r="D175" s="250"/>
      <c r="E175" s="421"/>
      <c r="F175" s="251" t="s">
        <v>1837</v>
      </c>
      <c r="G175" s="418"/>
      <c r="H175" s="249" t="s">
        <v>1836</v>
      </c>
      <c r="I175" s="250"/>
      <c r="J175" s="250"/>
      <c r="K175" s="421"/>
      <c r="L175" s="251" t="s">
        <v>1837</v>
      </c>
    </row>
    <row r="176" spans="1:12" ht="15.75" thickBot="1">
      <c r="A176" s="416" t="s">
        <v>2155</v>
      </c>
      <c r="B176" s="249" t="s">
        <v>1822</v>
      </c>
      <c r="C176" s="250"/>
      <c r="D176" s="250"/>
      <c r="E176" s="419" t="s">
        <v>2155</v>
      </c>
      <c r="F176" s="251" t="s">
        <v>1822</v>
      </c>
      <c r="G176" s="416" t="s">
        <v>2155</v>
      </c>
      <c r="H176" s="249" t="s">
        <v>1822</v>
      </c>
      <c r="I176" s="250"/>
      <c r="J176" s="250"/>
      <c r="K176" s="419" t="s">
        <v>2155</v>
      </c>
      <c r="L176" s="251" t="s">
        <v>1822</v>
      </c>
    </row>
    <row r="177" spans="1:12" ht="15.75" thickBot="1">
      <c r="A177" s="417"/>
      <c r="B177" s="249" t="s">
        <v>1824</v>
      </c>
      <c r="C177" s="250"/>
      <c r="D177" s="250"/>
      <c r="E177" s="420"/>
      <c r="F177" s="251" t="s">
        <v>1824</v>
      </c>
      <c r="G177" s="417"/>
      <c r="H177" s="249" t="s">
        <v>1824</v>
      </c>
      <c r="I177" s="250"/>
      <c r="J177" s="250"/>
      <c r="K177" s="420"/>
      <c r="L177" s="251" t="s">
        <v>1824</v>
      </c>
    </row>
    <row r="178" spans="1:12" ht="15.75" thickBot="1">
      <c r="A178" s="417"/>
      <c r="B178" s="249" t="s">
        <v>1825</v>
      </c>
      <c r="C178" s="250"/>
      <c r="D178" s="250"/>
      <c r="E178" s="420"/>
      <c r="F178" s="251" t="s">
        <v>1825</v>
      </c>
      <c r="G178" s="417"/>
      <c r="H178" s="249" t="s">
        <v>1825</v>
      </c>
      <c r="I178" s="250"/>
      <c r="J178" s="250"/>
      <c r="K178" s="420"/>
      <c r="L178" s="251" t="s">
        <v>1825</v>
      </c>
    </row>
    <row r="179" spans="1:12" ht="15.75" thickBot="1">
      <c r="A179" s="417"/>
      <c r="B179" s="249" t="s">
        <v>1826</v>
      </c>
      <c r="C179" s="250"/>
      <c r="D179" s="250"/>
      <c r="E179" s="420"/>
      <c r="F179" s="251" t="s">
        <v>1826</v>
      </c>
      <c r="G179" s="417"/>
      <c r="H179" s="249" t="s">
        <v>1826</v>
      </c>
      <c r="I179" s="250"/>
      <c r="J179" s="250"/>
      <c r="K179" s="420"/>
      <c r="L179" s="251" t="s">
        <v>1826</v>
      </c>
    </row>
    <row r="180" spans="1:12" ht="15.75" thickBot="1">
      <c r="A180" s="417"/>
      <c r="B180" s="249" t="s">
        <v>1827</v>
      </c>
      <c r="C180" s="250"/>
      <c r="D180" s="250"/>
      <c r="E180" s="420"/>
      <c r="F180" s="251" t="s">
        <v>1827</v>
      </c>
      <c r="G180" s="417"/>
      <c r="H180" s="249" t="s">
        <v>1827</v>
      </c>
      <c r="I180" s="250"/>
      <c r="J180" s="250"/>
      <c r="K180" s="420"/>
      <c r="L180" s="251" t="s">
        <v>1827</v>
      </c>
    </row>
    <row r="181" spans="1:12" ht="15.75" thickBot="1">
      <c r="A181" s="417"/>
      <c r="B181" s="249" t="s">
        <v>1828</v>
      </c>
      <c r="C181" s="250"/>
      <c r="D181" s="250"/>
      <c r="E181" s="420"/>
      <c r="F181" s="251" t="s">
        <v>1828</v>
      </c>
      <c r="G181" s="417"/>
      <c r="H181" s="249" t="s">
        <v>1828</v>
      </c>
      <c r="I181" s="250"/>
      <c r="J181" s="250"/>
      <c r="K181" s="420"/>
      <c r="L181" s="251" t="s">
        <v>1828</v>
      </c>
    </row>
    <row r="182" spans="1:12" ht="15.75" thickBot="1">
      <c r="A182" s="417"/>
      <c r="B182" s="249" t="s">
        <v>1829</v>
      </c>
      <c r="C182" s="250"/>
      <c r="D182" s="250"/>
      <c r="E182" s="420"/>
      <c r="F182" s="251" t="s">
        <v>1829</v>
      </c>
      <c r="G182" s="417"/>
      <c r="H182" s="249" t="s">
        <v>1829</v>
      </c>
      <c r="I182" s="250"/>
      <c r="J182" s="250"/>
      <c r="K182" s="420"/>
      <c r="L182" s="251" t="s">
        <v>1829</v>
      </c>
    </row>
    <row r="183" spans="1:12" ht="15.75" thickBot="1">
      <c r="A183" s="417"/>
      <c r="B183" s="249" t="s">
        <v>1830</v>
      </c>
      <c r="C183" s="250"/>
      <c r="D183" s="250"/>
      <c r="E183" s="420"/>
      <c r="F183" s="251" t="s">
        <v>1830</v>
      </c>
      <c r="G183" s="417"/>
      <c r="H183" s="249" t="s">
        <v>1830</v>
      </c>
      <c r="I183" s="250"/>
      <c r="J183" s="250"/>
      <c r="K183" s="420"/>
      <c r="L183" s="251" t="s">
        <v>1830</v>
      </c>
    </row>
    <row r="184" spans="1:12" ht="15.75" thickBot="1">
      <c r="A184" s="417"/>
      <c r="B184" s="249" t="s">
        <v>1831</v>
      </c>
      <c r="C184" s="250"/>
      <c r="D184" s="250"/>
      <c r="E184" s="420"/>
      <c r="F184" s="251" t="s">
        <v>1831</v>
      </c>
      <c r="G184" s="417"/>
      <c r="H184" s="249" t="s">
        <v>1831</v>
      </c>
      <c r="I184" s="250"/>
      <c r="J184" s="250"/>
      <c r="K184" s="420"/>
      <c r="L184" s="251" t="s">
        <v>1831</v>
      </c>
    </row>
    <row r="185" spans="1:12" ht="15.75" thickBot="1">
      <c r="A185" s="417"/>
      <c r="B185" s="249" t="s">
        <v>1832</v>
      </c>
      <c r="C185" s="250"/>
      <c r="D185" s="250"/>
      <c r="E185" s="420"/>
      <c r="F185" s="251" t="s">
        <v>1832</v>
      </c>
      <c r="G185" s="417"/>
      <c r="H185" s="249" t="s">
        <v>1832</v>
      </c>
      <c r="I185" s="250"/>
      <c r="J185" s="250"/>
      <c r="K185" s="420"/>
      <c r="L185" s="251" t="s">
        <v>1832</v>
      </c>
    </row>
    <row r="186" spans="1:12" ht="15.75" thickBot="1">
      <c r="A186" s="417"/>
      <c r="B186" s="249" t="s">
        <v>1833</v>
      </c>
      <c r="C186" s="250"/>
      <c r="D186" s="250"/>
      <c r="E186" s="420"/>
      <c r="F186" s="251" t="s">
        <v>1833</v>
      </c>
      <c r="G186" s="417"/>
      <c r="H186" s="249" t="s">
        <v>1833</v>
      </c>
      <c r="I186" s="250"/>
      <c r="J186" s="250"/>
      <c r="K186" s="420"/>
      <c r="L186" s="251" t="s">
        <v>1833</v>
      </c>
    </row>
    <row r="187" spans="1:12" ht="26.25" thickBot="1">
      <c r="A187" s="417"/>
      <c r="B187" s="249" t="s">
        <v>1834</v>
      </c>
      <c r="C187" s="250"/>
      <c r="D187" s="250"/>
      <c r="E187" s="420"/>
      <c r="F187" s="251" t="s">
        <v>1835</v>
      </c>
      <c r="G187" s="417"/>
      <c r="H187" s="249" t="s">
        <v>1834</v>
      </c>
      <c r="I187" s="250"/>
      <c r="J187" s="250"/>
      <c r="K187" s="420"/>
      <c r="L187" s="251" t="s">
        <v>1835</v>
      </c>
    </row>
    <row r="188" spans="1:12" ht="15.75" thickBot="1">
      <c r="A188" s="418"/>
      <c r="B188" s="249" t="s">
        <v>1836</v>
      </c>
      <c r="C188" s="250"/>
      <c r="D188" s="250"/>
      <c r="E188" s="421"/>
      <c r="F188" s="251" t="s">
        <v>1837</v>
      </c>
      <c r="G188" s="418"/>
      <c r="H188" s="249" t="s">
        <v>1836</v>
      </c>
      <c r="I188" s="250"/>
      <c r="J188" s="250"/>
      <c r="K188" s="421"/>
      <c r="L188" s="251" t="s">
        <v>1837</v>
      </c>
    </row>
    <row r="189" spans="1:12" ht="15.75" thickBot="1">
      <c r="A189" s="416" t="s">
        <v>2156</v>
      </c>
      <c r="B189" s="249" t="s">
        <v>1822</v>
      </c>
      <c r="C189" s="250"/>
      <c r="D189" s="250"/>
      <c r="E189" s="419" t="s">
        <v>2156</v>
      </c>
      <c r="F189" s="251" t="s">
        <v>1822</v>
      </c>
      <c r="G189" s="416" t="s">
        <v>2156</v>
      </c>
      <c r="H189" s="249" t="s">
        <v>1822</v>
      </c>
      <c r="I189" s="250"/>
      <c r="J189" s="250"/>
      <c r="K189" s="419" t="s">
        <v>2156</v>
      </c>
      <c r="L189" s="251" t="s">
        <v>1822</v>
      </c>
    </row>
    <row r="190" spans="1:12" ht="15.75" thickBot="1">
      <c r="A190" s="417"/>
      <c r="B190" s="249" t="s">
        <v>1824</v>
      </c>
      <c r="C190" s="250"/>
      <c r="D190" s="250"/>
      <c r="E190" s="420"/>
      <c r="F190" s="251" t="s">
        <v>1824</v>
      </c>
      <c r="G190" s="417"/>
      <c r="H190" s="249" t="s">
        <v>1824</v>
      </c>
      <c r="I190" s="250"/>
      <c r="J190" s="250"/>
      <c r="K190" s="420"/>
      <c r="L190" s="251" t="s">
        <v>1824</v>
      </c>
    </row>
    <row r="191" spans="1:12" ht="15.75" thickBot="1">
      <c r="A191" s="417"/>
      <c r="B191" s="249" t="s">
        <v>1825</v>
      </c>
      <c r="C191" s="250"/>
      <c r="D191" s="250"/>
      <c r="E191" s="420"/>
      <c r="F191" s="251" t="s">
        <v>1825</v>
      </c>
      <c r="G191" s="417"/>
      <c r="H191" s="249" t="s">
        <v>1825</v>
      </c>
      <c r="I191" s="250"/>
      <c r="J191" s="250"/>
      <c r="K191" s="420"/>
      <c r="L191" s="251" t="s">
        <v>1825</v>
      </c>
    </row>
    <row r="192" spans="1:12" ht="15.75" thickBot="1">
      <c r="A192" s="417"/>
      <c r="B192" s="249" t="s">
        <v>1826</v>
      </c>
      <c r="C192" s="250"/>
      <c r="D192" s="250"/>
      <c r="E192" s="420"/>
      <c r="F192" s="251" t="s">
        <v>1826</v>
      </c>
      <c r="G192" s="417"/>
      <c r="H192" s="249" t="s">
        <v>1826</v>
      </c>
      <c r="I192" s="250"/>
      <c r="J192" s="250"/>
      <c r="K192" s="420"/>
      <c r="L192" s="251" t="s">
        <v>1826</v>
      </c>
    </row>
    <row r="193" spans="1:12" ht="15.75" thickBot="1">
      <c r="A193" s="417"/>
      <c r="B193" s="249" t="s">
        <v>1827</v>
      </c>
      <c r="C193" s="250"/>
      <c r="D193" s="250"/>
      <c r="E193" s="420"/>
      <c r="F193" s="251" t="s">
        <v>1827</v>
      </c>
      <c r="G193" s="417"/>
      <c r="H193" s="249" t="s">
        <v>1827</v>
      </c>
      <c r="I193" s="250"/>
      <c r="J193" s="250"/>
      <c r="K193" s="420"/>
      <c r="L193" s="251" t="s">
        <v>1827</v>
      </c>
    </row>
    <row r="194" spans="1:12" ht="15.75" thickBot="1">
      <c r="A194" s="417"/>
      <c r="B194" s="249" t="s">
        <v>1828</v>
      </c>
      <c r="C194" s="250"/>
      <c r="D194" s="250"/>
      <c r="E194" s="420"/>
      <c r="F194" s="251" t="s">
        <v>1828</v>
      </c>
      <c r="G194" s="417"/>
      <c r="H194" s="249" t="s">
        <v>1828</v>
      </c>
      <c r="I194" s="250"/>
      <c r="J194" s="250"/>
      <c r="K194" s="420"/>
      <c r="L194" s="251" t="s">
        <v>1828</v>
      </c>
    </row>
    <row r="195" spans="1:12" ht="15.75" thickBot="1">
      <c r="A195" s="417"/>
      <c r="B195" s="249" t="s">
        <v>1829</v>
      </c>
      <c r="C195" s="250"/>
      <c r="D195" s="250"/>
      <c r="E195" s="420"/>
      <c r="F195" s="251" t="s">
        <v>1829</v>
      </c>
      <c r="G195" s="417"/>
      <c r="H195" s="249" t="s">
        <v>1829</v>
      </c>
      <c r="I195" s="250"/>
      <c r="J195" s="250"/>
      <c r="K195" s="420"/>
      <c r="L195" s="251" t="s">
        <v>1829</v>
      </c>
    </row>
    <row r="196" spans="1:12" ht="15.75" thickBot="1">
      <c r="A196" s="417"/>
      <c r="B196" s="249" t="s">
        <v>1830</v>
      </c>
      <c r="C196" s="250"/>
      <c r="D196" s="250"/>
      <c r="E196" s="420"/>
      <c r="F196" s="251" t="s">
        <v>1830</v>
      </c>
      <c r="G196" s="417"/>
      <c r="H196" s="249" t="s">
        <v>1830</v>
      </c>
      <c r="I196" s="250"/>
      <c r="J196" s="250"/>
      <c r="K196" s="420"/>
      <c r="L196" s="251" t="s">
        <v>1830</v>
      </c>
    </row>
    <row r="197" spans="1:12" ht="15.75" thickBot="1">
      <c r="A197" s="417"/>
      <c r="B197" s="249" t="s">
        <v>1831</v>
      </c>
      <c r="C197" s="250"/>
      <c r="D197" s="250"/>
      <c r="E197" s="420"/>
      <c r="F197" s="251" t="s">
        <v>1831</v>
      </c>
      <c r="G197" s="417"/>
      <c r="H197" s="249" t="s">
        <v>1831</v>
      </c>
      <c r="I197" s="250"/>
      <c r="J197" s="250"/>
      <c r="K197" s="420"/>
      <c r="L197" s="251" t="s">
        <v>1831</v>
      </c>
    </row>
    <row r="198" spans="1:12" ht="15.75" thickBot="1">
      <c r="A198" s="417"/>
      <c r="B198" s="249" t="s">
        <v>1832</v>
      </c>
      <c r="C198" s="250"/>
      <c r="D198" s="250"/>
      <c r="E198" s="420"/>
      <c r="F198" s="251" t="s">
        <v>1832</v>
      </c>
      <c r="G198" s="417"/>
      <c r="H198" s="249" t="s">
        <v>1832</v>
      </c>
      <c r="I198" s="250"/>
      <c r="J198" s="250"/>
      <c r="K198" s="420"/>
      <c r="L198" s="251" t="s">
        <v>1832</v>
      </c>
    </row>
    <row r="199" spans="1:12" ht="15.75" thickBot="1">
      <c r="A199" s="417"/>
      <c r="B199" s="249" t="s">
        <v>1833</v>
      </c>
      <c r="C199" s="250"/>
      <c r="D199" s="250"/>
      <c r="E199" s="420"/>
      <c r="F199" s="251" t="s">
        <v>1833</v>
      </c>
      <c r="G199" s="417"/>
      <c r="H199" s="249" t="s">
        <v>1833</v>
      </c>
      <c r="I199" s="250"/>
      <c r="J199" s="250"/>
      <c r="K199" s="420"/>
      <c r="L199" s="251" t="s">
        <v>1833</v>
      </c>
    </row>
    <row r="200" spans="1:12" ht="26.25" thickBot="1">
      <c r="A200" s="417"/>
      <c r="B200" s="249" t="s">
        <v>1834</v>
      </c>
      <c r="C200" s="250"/>
      <c r="D200" s="250"/>
      <c r="E200" s="420"/>
      <c r="F200" s="251" t="s">
        <v>1835</v>
      </c>
      <c r="G200" s="417"/>
      <c r="H200" s="249" t="s">
        <v>1834</v>
      </c>
      <c r="I200" s="250"/>
      <c r="J200" s="250"/>
      <c r="K200" s="420"/>
      <c r="L200" s="251" t="s">
        <v>1835</v>
      </c>
    </row>
    <row r="201" spans="1:12" ht="15.75" thickBot="1">
      <c r="A201" s="418"/>
      <c r="B201" s="249" t="s">
        <v>1836</v>
      </c>
      <c r="C201" s="250"/>
      <c r="D201" s="250"/>
      <c r="E201" s="421"/>
      <c r="F201" s="251" t="s">
        <v>1837</v>
      </c>
      <c r="G201" s="418"/>
      <c r="H201" s="249" t="s">
        <v>1836</v>
      </c>
      <c r="I201" s="250"/>
      <c r="J201" s="250"/>
      <c r="K201" s="421"/>
      <c r="L201" s="251" t="s">
        <v>1837</v>
      </c>
    </row>
    <row r="202" spans="1:12" ht="15.75" thickBot="1">
      <c r="A202" s="416" t="s">
        <v>2157</v>
      </c>
      <c r="B202" s="249" t="s">
        <v>1822</v>
      </c>
      <c r="C202" s="250"/>
      <c r="D202" s="250"/>
      <c r="E202" s="419" t="s">
        <v>2157</v>
      </c>
      <c r="F202" s="251" t="s">
        <v>1822</v>
      </c>
      <c r="G202" s="416" t="s">
        <v>2157</v>
      </c>
      <c r="H202" s="249" t="s">
        <v>1822</v>
      </c>
      <c r="I202" s="250"/>
      <c r="J202" s="250"/>
      <c r="K202" s="419" t="s">
        <v>2157</v>
      </c>
      <c r="L202" s="251" t="s">
        <v>1822</v>
      </c>
    </row>
    <row r="203" spans="1:12" ht="15.75" thickBot="1">
      <c r="A203" s="417"/>
      <c r="B203" s="249" t="s">
        <v>1824</v>
      </c>
      <c r="C203" s="250"/>
      <c r="D203" s="250"/>
      <c r="E203" s="420"/>
      <c r="F203" s="251" t="s">
        <v>1824</v>
      </c>
      <c r="G203" s="417"/>
      <c r="H203" s="249" t="s">
        <v>1824</v>
      </c>
      <c r="I203" s="250"/>
      <c r="J203" s="250"/>
      <c r="K203" s="420"/>
      <c r="L203" s="251" t="s">
        <v>1824</v>
      </c>
    </row>
    <row r="204" spans="1:12" ht="15.75" thickBot="1">
      <c r="A204" s="417"/>
      <c r="B204" s="249" t="s">
        <v>1825</v>
      </c>
      <c r="C204" s="250"/>
      <c r="D204" s="250"/>
      <c r="E204" s="420"/>
      <c r="F204" s="251" t="s">
        <v>1825</v>
      </c>
      <c r="G204" s="417"/>
      <c r="H204" s="249" t="s">
        <v>1825</v>
      </c>
      <c r="I204" s="250"/>
      <c r="J204" s="250"/>
      <c r="K204" s="420"/>
      <c r="L204" s="251" t="s">
        <v>1825</v>
      </c>
    </row>
    <row r="205" spans="1:12" ht="15.75" thickBot="1">
      <c r="A205" s="417"/>
      <c r="B205" s="249" t="s">
        <v>1826</v>
      </c>
      <c r="C205" s="250"/>
      <c r="D205" s="250"/>
      <c r="E205" s="420"/>
      <c r="F205" s="251" t="s">
        <v>1826</v>
      </c>
      <c r="G205" s="417"/>
      <c r="H205" s="249" t="s">
        <v>1826</v>
      </c>
      <c r="I205" s="250"/>
      <c r="J205" s="250"/>
      <c r="K205" s="420"/>
      <c r="L205" s="251" t="s">
        <v>1826</v>
      </c>
    </row>
    <row r="206" spans="1:12" ht="15.75" thickBot="1">
      <c r="A206" s="417"/>
      <c r="B206" s="249" t="s">
        <v>1827</v>
      </c>
      <c r="C206" s="250"/>
      <c r="D206" s="250"/>
      <c r="E206" s="420"/>
      <c r="F206" s="251" t="s">
        <v>1827</v>
      </c>
      <c r="G206" s="417"/>
      <c r="H206" s="249" t="s">
        <v>1827</v>
      </c>
      <c r="I206" s="250"/>
      <c r="J206" s="250"/>
      <c r="K206" s="420"/>
      <c r="L206" s="251" t="s">
        <v>1827</v>
      </c>
    </row>
    <row r="207" spans="1:12" ht="15.75" thickBot="1">
      <c r="A207" s="417"/>
      <c r="B207" s="249" t="s">
        <v>1828</v>
      </c>
      <c r="C207" s="250"/>
      <c r="D207" s="250"/>
      <c r="E207" s="420"/>
      <c r="F207" s="251" t="s">
        <v>1828</v>
      </c>
      <c r="G207" s="417"/>
      <c r="H207" s="249" t="s">
        <v>1828</v>
      </c>
      <c r="I207" s="250"/>
      <c r="J207" s="250"/>
      <c r="K207" s="420"/>
      <c r="L207" s="251" t="s">
        <v>1828</v>
      </c>
    </row>
    <row r="208" spans="1:12" ht="15.75" thickBot="1">
      <c r="A208" s="417"/>
      <c r="B208" s="249" t="s">
        <v>1829</v>
      </c>
      <c r="C208" s="250"/>
      <c r="D208" s="250"/>
      <c r="E208" s="420"/>
      <c r="F208" s="251" t="s">
        <v>1829</v>
      </c>
      <c r="G208" s="417"/>
      <c r="H208" s="249" t="s">
        <v>1829</v>
      </c>
      <c r="I208" s="250"/>
      <c r="J208" s="250"/>
      <c r="K208" s="420"/>
      <c r="L208" s="251" t="s">
        <v>1829</v>
      </c>
    </row>
    <row r="209" spans="1:12" ht="15.75" thickBot="1">
      <c r="A209" s="417"/>
      <c r="B209" s="249" t="s">
        <v>1830</v>
      </c>
      <c r="C209" s="250"/>
      <c r="D209" s="250"/>
      <c r="E209" s="420"/>
      <c r="F209" s="251" t="s">
        <v>1830</v>
      </c>
      <c r="G209" s="417"/>
      <c r="H209" s="249" t="s">
        <v>1830</v>
      </c>
      <c r="I209" s="250"/>
      <c r="J209" s="250"/>
      <c r="K209" s="420"/>
      <c r="L209" s="251" t="s">
        <v>1830</v>
      </c>
    </row>
    <row r="210" spans="1:12" ht="15.75" thickBot="1">
      <c r="A210" s="417"/>
      <c r="B210" s="249" t="s">
        <v>1831</v>
      </c>
      <c r="C210" s="250"/>
      <c r="D210" s="250"/>
      <c r="E210" s="420"/>
      <c r="F210" s="251" t="s">
        <v>1831</v>
      </c>
      <c r="G210" s="417"/>
      <c r="H210" s="249" t="s">
        <v>1831</v>
      </c>
      <c r="I210" s="250"/>
      <c r="J210" s="250"/>
      <c r="K210" s="420"/>
      <c r="L210" s="251" t="s">
        <v>1831</v>
      </c>
    </row>
    <row r="211" spans="1:12" ht="15.75" thickBot="1">
      <c r="A211" s="417"/>
      <c r="B211" s="249" t="s">
        <v>1832</v>
      </c>
      <c r="C211" s="250"/>
      <c r="D211" s="250"/>
      <c r="E211" s="420"/>
      <c r="F211" s="251" t="s">
        <v>1832</v>
      </c>
      <c r="G211" s="417"/>
      <c r="H211" s="249" t="s">
        <v>1832</v>
      </c>
      <c r="I211" s="250"/>
      <c r="J211" s="250"/>
      <c r="K211" s="420"/>
      <c r="L211" s="251" t="s">
        <v>1832</v>
      </c>
    </row>
    <row r="212" spans="1:12" ht="15.75" thickBot="1">
      <c r="A212" s="417"/>
      <c r="B212" s="249" t="s">
        <v>1833</v>
      </c>
      <c r="C212" s="250"/>
      <c r="D212" s="250"/>
      <c r="E212" s="420"/>
      <c r="F212" s="251" t="s">
        <v>1833</v>
      </c>
      <c r="G212" s="417"/>
      <c r="H212" s="249" t="s">
        <v>1833</v>
      </c>
      <c r="I212" s="250"/>
      <c r="J212" s="250"/>
      <c r="K212" s="420"/>
      <c r="L212" s="251" t="s">
        <v>1833</v>
      </c>
    </row>
    <row r="213" spans="1:12" ht="26.25" thickBot="1">
      <c r="A213" s="417"/>
      <c r="B213" s="249" t="s">
        <v>1834</v>
      </c>
      <c r="C213" s="250"/>
      <c r="D213" s="250"/>
      <c r="E213" s="420"/>
      <c r="F213" s="251" t="s">
        <v>1835</v>
      </c>
      <c r="G213" s="417"/>
      <c r="H213" s="249" t="s">
        <v>1834</v>
      </c>
      <c r="I213" s="250"/>
      <c r="J213" s="250"/>
      <c r="K213" s="420"/>
      <c r="L213" s="251" t="s">
        <v>1835</v>
      </c>
    </row>
    <row r="214" spans="1:12" ht="15.75" thickBot="1">
      <c r="A214" s="418"/>
      <c r="B214" s="249" t="s">
        <v>1836</v>
      </c>
      <c r="C214" s="250"/>
      <c r="D214" s="250"/>
      <c r="E214" s="421"/>
      <c r="F214" s="251" t="s">
        <v>1837</v>
      </c>
      <c r="G214" s="418"/>
      <c r="H214" s="249" t="s">
        <v>1836</v>
      </c>
      <c r="I214" s="250"/>
      <c r="J214" s="250"/>
      <c r="K214" s="421"/>
      <c r="L214" s="251" t="s">
        <v>1837</v>
      </c>
    </row>
    <row r="215" spans="1:12" ht="15.75" thickBot="1">
      <c r="A215" s="416" t="s">
        <v>2158</v>
      </c>
      <c r="B215" s="249" t="s">
        <v>1822</v>
      </c>
      <c r="C215" s="250"/>
      <c r="D215" s="250"/>
      <c r="E215" s="419" t="s">
        <v>2158</v>
      </c>
      <c r="F215" s="251" t="s">
        <v>1822</v>
      </c>
      <c r="G215" s="416" t="s">
        <v>2158</v>
      </c>
      <c r="H215" s="249" t="s">
        <v>1822</v>
      </c>
      <c r="I215" s="250"/>
      <c r="J215" s="250"/>
      <c r="K215" s="419" t="s">
        <v>2158</v>
      </c>
      <c r="L215" s="251" t="s">
        <v>1822</v>
      </c>
    </row>
    <row r="216" spans="1:12" ht="15.75" thickBot="1">
      <c r="A216" s="417"/>
      <c r="B216" s="249" t="s">
        <v>1824</v>
      </c>
      <c r="C216" s="250"/>
      <c r="D216" s="250"/>
      <c r="E216" s="420"/>
      <c r="F216" s="251" t="s">
        <v>1824</v>
      </c>
      <c r="G216" s="417"/>
      <c r="H216" s="249" t="s">
        <v>1824</v>
      </c>
      <c r="I216" s="250"/>
      <c r="J216" s="250"/>
      <c r="K216" s="420"/>
      <c r="L216" s="251" t="s">
        <v>1824</v>
      </c>
    </row>
    <row r="217" spans="1:12" ht="15.75" thickBot="1">
      <c r="A217" s="417"/>
      <c r="B217" s="249" t="s">
        <v>1825</v>
      </c>
      <c r="C217" s="250"/>
      <c r="D217" s="250"/>
      <c r="E217" s="420"/>
      <c r="F217" s="251" t="s">
        <v>1825</v>
      </c>
      <c r="G217" s="417"/>
      <c r="H217" s="249" t="s">
        <v>1825</v>
      </c>
      <c r="I217" s="250"/>
      <c r="J217" s="250"/>
      <c r="K217" s="420"/>
      <c r="L217" s="251" t="s">
        <v>1825</v>
      </c>
    </row>
    <row r="218" spans="1:12" ht="15.75" thickBot="1">
      <c r="A218" s="417"/>
      <c r="B218" s="249" t="s">
        <v>1826</v>
      </c>
      <c r="C218" s="250"/>
      <c r="D218" s="250"/>
      <c r="E218" s="420"/>
      <c r="F218" s="251" t="s">
        <v>1826</v>
      </c>
      <c r="G218" s="417"/>
      <c r="H218" s="249" t="s">
        <v>1826</v>
      </c>
      <c r="I218" s="250"/>
      <c r="J218" s="250"/>
      <c r="K218" s="420"/>
      <c r="L218" s="251" t="s">
        <v>1826</v>
      </c>
    </row>
    <row r="219" spans="1:12" ht="15.75" thickBot="1">
      <c r="A219" s="417"/>
      <c r="B219" s="249" t="s">
        <v>1827</v>
      </c>
      <c r="C219" s="250"/>
      <c r="D219" s="250"/>
      <c r="E219" s="420"/>
      <c r="F219" s="251" t="s">
        <v>1827</v>
      </c>
      <c r="G219" s="417"/>
      <c r="H219" s="249" t="s">
        <v>1827</v>
      </c>
      <c r="I219" s="250"/>
      <c r="J219" s="250"/>
      <c r="K219" s="420"/>
      <c r="L219" s="251" t="s">
        <v>1827</v>
      </c>
    </row>
    <row r="220" spans="1:12" ht="15.75" thickBot="1">
      <c r="A220" s="417"/>
      <c r="B220" s="249" t="s">
        <v>1828</v>
      </c>
      <c r="C220" s="250"/>
      <c r="D220" s="250"/>
      <c r="E220" s="420"/>
      <c r="F220" s="251" t="s">
        <v>1828</v>
      </c>
      <c r="G220" s="417"/>
      <c r="H220" s="249" t="s">
        <v>1828</v>
      </c>
      <c r="I220" s="250"/>
      <c r="J220" s="250"/>
      <c r="K220" s="420"/>
      <c r="L220" s="251" t="s">
        <v>1828</v>
      </c>
    </row>
    <row r="221" spans="1:12" ht="15.75" thickBot="1">
      <c r="A221" s="417"/>
      <c r="B221" s="249" t="s">
        <v>1829</v>
      </c>
      <c r="C221" s="250"/>
      <c r="D221" s="250"/>
      <c r="E221" s="420"/>
      <c r="F221" s="251" t="s">
        <v>1829</v>
      </c>
      <c r="G221" s="417"/>
      <c r="H221" s="249" t="s">
        <v>1829</v>
      </c>
      <c r="I221" s="250"/>
      <c r="J221" s="250"/>
      <c r="K221" s="420"/>
      <c r="L221" s="251" t="s">
        <v>1829</v>
      </c>
    </row>
    <row r="222" spans="1:12" ht="15.75" thickBot="1">
      <c r="A222" s="417"/>
      <c r="B222" s="249" t="s">
        <v>1830</v>
      </c>
      <c r="C222" s="250"/>
      <c r="D222" s="250"/>
      <c r="E222" s="420"/>
      <c r="F222" s="251" t="s">
        <v>1830</v>
      </c>
      <c r="G222" s="417"/>
      <c r="H222" s="249" t="s">
        <v>1830</v>
      </c>
      <c r="I222" s="250"/>
      <c r="J222" s="250"/>
      <c r="K222" s="420"/>
      <c r="L222" s="251" t="s">
        <v>1830</v>
      </c>
    </row>
    <row r="223" spans="1:12" ht="15.75" thickBot="1">
      <c r="A223" s="417"/>
      <c r="B223" s="249" t="s">
        <v>1831</v>
      </c>
      <c r="C223" s="250"/>
      <c r="D223" s="250"/>
      <c r="E223" s="420"/>
      <c r="F223" s="251" t="s">
        <v>1831</v>
      </c>
      <c r="G223" s="417"/>
      <c r="H223" s="249" t="s">
        <v>1831</v>
      </c>
      <c r="I223" s="250"/>
      <c r="J223" s="250"/>
      <c r="K223" s="420"/>
      <c r="L223" s="251" t="s">
        <v>1831</v>
      </c>
    </row>
    <row r="224" spans="1:12" ht="15.75" thickBot="1">
      <c r="A224" s="417"/>
      <c r="B224" s="249" t="s">
        <v>1832</v>
      </c>
      <c r="C224" s="250"/>
      <c r="D224" s="250"/>
      <c r="E224" s="420"/>
      <c r="F224" s="251" t="s">
        <v>1832</v>
      </c>
      <c r="G224" s="417"/>
      <c r="H224" s="249" t="s">
        <v>1832</v>
      </c>
      <c r="I224" s="250"/>
      <c r="J224" s="250"/>
      <c r="K224" s="420"/>
      <c r="L224" s="251" t="s">
        <v>1832</v>
      </c>
    </row>
    <row r="225" spans="1:12" ht="15.75" thickBot="1">
      <c r="A225" s="417"/>
      <c r="B225" s="249" t="s">
        <v>1833</v>
      </c>
      <c r="C225" s="250"/>
      <c r="D225" s="250"/>
      <c r="E225" s="420"/>
      <c r="F225" s="251" t="s">
        <v>1833</v>
      </c>
      <c r="G225" s="417"/>
      <c r="H225" s="249" t="s">
        <v>1833</v>
      </c>
      <c r="I225" s="250"/>
      <c r="J225" s="250"/>
      <c r="K225" s="420"/>
      <c r="L225" s="251" t="s">
        <v>1833</v>
      </c>
    </row>
    <row r="226" spans="1:12" ht="26.25" thickBot="1">
      <c r="A226" s="417"/>
      <c r="B226" s="249" t="s">
        <v>1834</v>
      </c>
      <c r="C226" s="250"/>
      <c r="D226" s="250"/>
      <c r="E226" s="420"/>
      <c r="F226" s="251" t="s">
        <v>1835</v>
      </c>
      <c r="G226" s="417"/>
      <c r="H226" s="249" t="s">
        <v>1834</v>
      </c>
      <c r="I226" s="250"/>
      <c r="J226" s="250"/>
      <c r="K226" s="420"/>
      <c r="L226" s="251" t="s">
        <v>1835</v>
      </c>
    </row>
    <row r="227" spans="1:12" ht="15.75" thickBot="1">
      <c r="A227" s="418"/>
      <c r="B227" s="249" t="s">
        <v>1836</v>
      </c>
      <c r="C227" s="250"/>
      <c r="D227" s="250"/>
      <c r="E227" s="421"/>
      <c r="F227" s="251" t="s">
        <v>1837</v>
      </c>
      <c r="G227" s="418"/>
      <c r="H227" s="249" t="s">
        <v>1836</v>
      </c>
      <c r="I227" s="250"/>
      <c r="J227" s="250"/>
      <c r="K227" s="421"/>
      <c r="L227" s="251" t="s">
        <v>1837</v>
      </c>
    </row>
    <row r="228" spans="1:12" ht="15.75" thickBot="1">
      <c r="A228" s="416" t="s">
        <v>2159</v>
      </c>
      <c r="B228" s="249" t="s">
        <v>1822</v>
      </c>
      <c r="C228" s="250"/>
      <c r="D228" s="250"/>
      <c r="E228" s="419" t="s">
        <v>2159</v>
      </c>
      <c r="F228" s="251" t="s">
        <v>1822</v>
      </c>
      <c r="G228" s="416" t="s">
        <v>2159</v>
      </c>
      <c r="H228" s="249" t="s">
        <v>1822</v>
      </c>
      <c r="I228" s="250"/>
      <c r="J228" s="250"/>
      <c r="K228" s="419" t="s">
        <v>2159</v>
      </c>
      <c r="L228" s="251" t="s">
        <v>1822</v>
      </c>
    </row>
    <row r="229" spans="1:12" ht="15.75" thickBot="1">
      <c r="A229" s="417"/>
      <c r="B229" s="249" t="s">
        <v>1824</v>
      </c>
      <c r="C229" s="250"/>
      <c r="D229" s="250"/>
      <c r="E229" s="420"/>
      <c r="F229" s="251" t="s">
        <v>1824</v>
      </c>
      <c r="G229" s="417"/>
      <c r="H229" s="249" t="s">
        <v>1824</v>
      </c>
      <c r="I229" s="250"/>
      <c r="J229" s="250"/>
      <c r="K229" s="420"/>
      <c r="L229" s="251" t="s">
        <v>1824</v>
      </c>
    </row>
    <row r="230" spans="1:12" ht="15.75" thickBot="1">
      <c r="A230" s="417"/>
      <c r="B230" s="249" t="s">
        <v>1825</v>
      </c>
      <c r="C230" s="250"/>
      <c r="D230" s="250"/>
      <c r="E230" s="420"/>
      <c r="F230" s="251" t="s">
        <v>1825</v>
      </c>
      <c r="G230" s="417"/>
      <c r="H230" s="249" t="s">
        <v>1825</v>
      </c>
      <c r="I230" s="250"/>
      <c r="J230" s="250"/>
      <c r="K230" s="420"/>
      <c r="L230" s="251" t="s">
        <v>1825</v>
      </c>
    </row>
    <row r="231" spans="1:12" ht="15.75" thickBot="1">
      <c r="A231" s="417"/>
      <c r="B231" s="249" t="s">
        <v>1826</v>
      </c>
      <c r="C231" s="250"/>
      <c r="D231" s="250"/>
      <c r="E231" s="420"/>
      <c r="F231" s="251" t="s">
        <v>1826</v>
      </c>
      <c r="G231" s="417"/>
      <c r="H231" s="249" t="s">
        <v>1826</v>
      </c>
      <c r="I231" s="250"/>
      <c r="J231" s="250"/>
      <c r="K231" s="420"/>
      <c r="L231" s="251" t="s">
        <v>1826</v>
      </c>
    </row>
    <row r="232" spans="1:12" ht="15.75" thickBot="1">
      <c r="A232" s="417"/>
      <c r="B232" s="249" t="s">
        <v>1827</v>
      </c>
      <c r="C232" s="250"/>
      <c r="D232" s="250"/>
      <c r="E232" s="420"/>
      <c r="F232" s="251" t="s">
        <v>1827</v>
      </c>
      <c r="G232" s="417"/>
      <c r="H232" s="249" t="s">
        <v>1827</v>
      </c>
      <c r="I232" s="250"/>
      <c r="J232" s="250"/>
      <c r="K232" s="420"/>
      <c r="L232" s="251" t="s">
        <v>1827</v>
      </c>
    </row>
    <row r="233" spans="1:12" ht="15.75" thickBot="1">
      <c r="A233" s="417"/>
      <c r="B233" s="249" t="s">
        <v>1828</v>
      </c>
      <c r="C233" s="250"/>
      <c r="D233" s="250"/>
      <c r="E233" s="420"/>
      <c r="F233" s="251" t="s">
        <v>1828</v>
      </c>
      <c r="G233" s="417"/>
      <c r="H233" s="249" t="s">
        <v>1828</v>
      </c>
      <c r="I233" s="250"/>
      <c r="J233" s="250"/>
      <c r="K233" s="420"/>
      <c r="L233" s="251" t="s">
        <v>1828</v>
      </c>
    </row>
    <row r="234" spans="1:12" ht="15.75" thickBot="1">
      <c r="A234" s="417"/>
      <c r="B234" s="249" t="s">
        <v>1829</v>
      </c>
      <c r="C234" s="250"/>
      <c r="D234" s="250"/>
      <c r="E234" s="420"/>
      <c r="F234" s="251" t="s">
        <v>1829</v>
      </c>
      <c r="G234" s="417"/>
      <c r="H234" s="249" t="s">
        <v>1829</v>
      </c>
      <c r="I234" s="250"/>
      <c r="J234" s="250"/>
      <c r="K234" s="420"/>
      <c r="L234" s="251" t="s">
        <v>1829</v>
      </c>
    </row>
    <row r="235" spans="1:12" ht="15.75" thickBot="1">
      <c r="A235" s="417"/>
      <c r="B235" s="249" t="s">
        <v>1830</v>
      </c>
      <c r="C235" s="250"/>
      <c r="D235" s="250"/>
      <c r="E235" s="420"/>
      <c r="F235" s="251" t="s">
        <v>1830</v>
      </c>
      <c r="G235" s="417"/>
      <c r="H235" s="249" t="s">
        <v>1830</v>
      </c>
      <c r="I235" s="250"/>
      <c r="J235" s="250"/>
      <c r="K235" s="420"/>
      <c r="L235" s="251" t="s">
        <v>1830</v>
      </c>
    </row>
    <row r="236" spans="1:12" ht="15.75" thickBot="1">
      <c r="A236" s="417"/>
      <c r="B236" s="249" t="s">
        <v>1831</v>
      </c>
      <c r="C236" s="250"/>
      <c r="D236" s="250"/>
      <c r="E236" s="420"/>
      <c r="F236" s="251" t="s">
        <v>1831</v>
      </c>
      <c r="G236" s="417"/>
      <c r="H236" s="249" t="s">
        <v>1831</v>
      </c>
      <c r="I236" s="250"/>
      <c r="J236" s="250"/>
      <c r="K236" s="420"/>
      <c r="L236" s="251" t="s">
        <v>1831</v>
      </c>
    </row>
    <row r="237" spans="1:12" ht="15.75" thickBot="1">
      <c r="A237" s="417"/>
      <c r="B237" s="249" t="s">
        <v>1832</v>
      </c>
      <c r="C237" s="250"/>
      <c r="D237" s="250"/>
      <c r="E237" s="420"/>
      <c r="F237" s="251" t="s">
        <v>1832</v>
      </c>
      <c r="G237" s="417"/>
      <c r="H237" s="249" t="s">
        <v>1832</v>
      </c>
      <c r="I237" s="250"/>
      <c r="J237" s="250"/>
      <c r="K237" s="420"/>
      <c r="L237" s="251" t="s">
        <v>1832</v>
      </c>
    </row>
    <row r="238" spans="1:12" ht="15.75" thickBot="1">
      <c r="A238" s="417"/>
      <c r="B238" s="249" t="s">
        <v>1833</v>
      </c>
      <c r="C238" s="250"/>
      <c r="D238" s="250"/>
      <c r="E238" s="420"/>
      <c r="F238" s="251" t="s">
        <v>1833</v>
      </c>
      <c r="G238" s="417"/>
      <c r="H238" s="249" t="s">
        <v>1833</v>
      </c>
      <c r="I238" s="250"/>
      <c r="J238" s="250"/>
      <c r="K238" s="420"/>
      <c r="L238" s="251" t="s">
        <v>1833</v>
      </c>
    </row>
    <row r="239" spans="1:12" ht="26.25" thickBot="1">
      <c r="A239" s="417"/>
      <c r="B239" s="249" t="s">
        <v>1834</v>
      </c>
      <c r="C239" s="250"/>
      <c r="D239" s="250"/>
      <c r="E239" s="420"/>
      <c r="F239" s="251" t="s">
        <v>1835</v>
      </c>
      <c r="G239" s="417"/>
      <c r="H239" s="249" t="s">
        <v>1834</v>
      </c>
      <c r="I239" s="250"/>
      <c r="J239" s="250"/>
      <c r="K239" s="420"/>
      <c r="L239" s="251" t="s">
        <v>1835</v>
      </c>
    </row>
    <row r="240" spans="1:12" ht="15.75" thickBot="1">
      <c r="A240" s="418"/>
      <c r="B240" s="249" t="s">
        <v>1836</v>
      </c>
      <c r="C240" s="250"/>
      <c r="D240" s="250"/>
      <c r="E240" s="421"/>
      <c r="F240" s="251" t="s">
        <v>1837</v>
      </c>
      <c r="G240" s="418"/>
      <c r="H240" s="249" t="s">
        <v>1836</v>
      </c>
      <c r="I240" s="250"/>
      <c r="J240" s="250"/>
      <c r="K240" s="421"/>
      <c r="L240" s="251" t="s">
        <v>1837</v>
      </c>
    </row>
    <row r="241" spans="1:12" ht="15.75" thickBot="1">
      <c r="A241" s="416" t="s">
        <v>2160</v>
      </c>
      <c r="B241" s="249" t="s">
        <v>1822</v>
      </c>
      <c r="C241" s="250"/>
      <c r="D241" s="250"/>
      <c r="E241" s="419" t="s">
        <v>2160</v>
      </c>
      <c r="F241" s="251" t="s">
        <v>1822</v>
      </c>
      <c r="G241" s="416" t="s">
        <v>2160</v>
      </c>
      <c r="H241" s="249" t="s">
        <v>1822</v>
      </c>
      <c r="I241" s="250"/>
      <c r="J241" s="250"/>
      <c r="K241" s="419" t="s">
        <v>2160</v>
      </c>
      <c r="L241" s="251" t="s">
        <v>1822</v>
      </c>
    </row>
    <row r="242" spans="1:12" ht="15.75" thickBot="1">
      <c r="A242" s="417"/>
      <c r="B242" s="249" t="s">
        <v>1824</v>
      </c>
      <c r="C242" s="250"/>
      <c r="D242" s="250"/>
      <c r="E242" s="420"/>
      <c r="F242" s="251" t="s">
        <v>1824</v>
      </c>
      <c r="G242" s="417"/>
      <c r="H242" s="249" t="s">
        <v>1824</v>
      </c>
      <c r="I242" s="250"/>
      <c r="J242" s="250"/>
      <c r="K242" s="420"/>
      <c r="L242" s="251" t="s">
        <v>1824</v>
      </c>
    </row>
    <row r="243" spans="1:12" ht="15.75" thickBot="1">
      <c r="A243" s="417"/>
      <c r="B243" s="249" t="s">
        <v>1825</v>
      </c>
      <c r="C243" s="250"/>
      <c r="D243" s="250"/>
      <c r="E243" s="420"/>
      <c r="F243" s="251" t="s">
        <v>1825</v>
      </c>
      <c r="G243" s="417"/>
      <c r="H243" s="249" t="s">
        <v>1825</v>
      </c>
      <c r="I243" s="250"/>
      <c r="J243" s="250"/>
      <c r="K243" s="420"/>
      <c r="L243" s="251" t="s">
        <v>1825</v>
      </c>
    </row>
    <row r="244" spans="1:12" ht="15.75" thickBot="1">
      <c r="A244" s="417"/>
      <c r="B244" s="249" t="s">
        <v>1826</v>
      </c>
      <c r="C244" s="250"/>
      <c r="D244" s="250"/>
      <c r="E244" s="420"/>
      <c r="F244" s="251" t="s">
        <v>1826</v>
      </c>
      <c r="G244" s="417"/>
      <c r="H244" s="249" t="s">
        <v>1826</v>
      </c>
      <c r="I244" s="250"/>
      <c r="J244" s="250"/>
      <c r="K244" s="420"/>
      <c r="L244" s="251" t="s">
        <v>1826</v>
      </c>
    </row>
    <row r="245" spans="1:12" ht="15.75" thickBot="1">
      <c r="A245" s="417"/>
      <c r="B245" s="249" t="s">
        <v>1827</v>
      </c>
      <c r="C245" s="250"/>
      <c r="D245" s="250"/>
      <c r="E245" s="420"/>
      <c r="F245" s="251" t="s">
        <v>1827</v>
      </c>
      <c r="G245" s="417"/>
      <c r="H245" s="249" t="s">
        <v>1827</v>
      </c>
      <c r="I245" s="250"/>
      <c r="J245" s="250"/>
      <c r="K245" s="420"/>
      <c r="L245" s="251" t="s">
        <v>1827</v>
      </c>
    </row>
    <row r="246" spans="1:12" ht="15.75" thickBot="1">
      <c r="A246" s="417"/>
      <c r="B246" s="249" t="s">
        <v>1828</v>
      </c>
      <c r="C246" s="250"/>
      <c r="D246" s="250"/>
      <c r="E246" s="420"/>
      <c r="F246" s="251" t="s">
        <v>1828</v>
      </c>
      <c r="G246" s="417"/>
      <c r="H246" s="249" t="s">
        <v>1828</v>
      </c>
      <c r="I246" s="250"/>
      <c r="J246" s="250"/>
      <c r="K246" s="420"/>
      <c r="L246" s="251" t="s">
        <v>1828</v>
      </c>
    </row>
    <row r="247" spans="1:12" ht="15.75" thickBot="1">
      <c r="A247" s="417"/>
      <c r="B247" s="249" t="s">
        <v>1829</v>
      </c>
      <c r="C247" s="250"/>
      <c r="D247" s="250"/>
      <c r="E247" s="420"/>
      <c r="F247" s="251" t="s">
        <v>1829</v>
      </c>
      <c r="G247" s="417"/>
      <c r="H247" s="249" t="s">
        <v>1829</v>
      </c>
      <c r="I247" s="250"/>
      <c r="J247" s="250"/>
      <c r="K247" s="420"/>
      <c r="L247" s="251" t="s">
        <v>1829</v>
      </c>
    </row>
    <row r="248" spans="1:12" ht="15.75" thickBot="1">
      <c r="A248" s="417"/>
      <c r="B248" s="249" t="s">
        <v>1830</v>
      </c>
      <c r="C248" s="250"/>
      <c r="D248" s="250"/>
      <c r="E248" s="420"/>
      <c r="F248" s="251" t="s">
        <v>1830</v>
      </c>
      <c r="G248" s="417"/>
      <c r="H248" s="249" t="s">
        <v>1830</v>
      </c>
      <c r="I248" s="250"/>
      <c r="J248" s="250"/>
      <c r="K248" s="420"/>
      <c r="L248" s="251" t="s">
        <v>1830</v>
      </c>
    </row>
    <row r="249" spans="1:12" ht="15.75" thickBot="1">
      <c r="A249" s="417"/>
      <c r="B249" s="249" t="s">
        <v>1831</v>
      </c>
      <c r="C249" s="250"/>
      <c r="D249" s="250"/>
      <c r="E249" s="420"/>
      <c r="F249" s="251" t="s">
        <v>1831</v>
      </c>
      <c r="G249" s="417"/>
      <c r="H249" s="249" t="s">
        <v>1831</v>
      </c>
      <c r="I249" s="250"/>
      <c r="J249" s="250"/>
      <c r="K249" s="420"/>
      <c r="L249" s="251" t="s">
        <v>1831</v>
      </c>
    </row>
    <row r="250" spans="1:12" ht="15.75" thickBot="1">
      <c r="A250" s="417"/>
      <c r="B250" s="249" t="s">
        <v>1832</v>
      </c>
      <c r="C250" s="250"/>
      <c r="D250" s="250"/>
      <c r="E250" s="420"/>
      <c r="F250" s="251" t="s">
        <v>1832</v>
      </c>
      <c r="G250" s="417"/>
      <c r="H250" s="249" t="s">
        <v>1832</v>
      </c>
      <c r="I250" s="250"/>
      <c r="J250" s="250"/>
      <c r="K250" s="420"/>
      <c r="L250" s="251" t="s">
        <v>1832</v>
      </c>
    </row>
    <row r="251" spans="1:12" ht="15.75" thickBot="1">
      <c r="A251" s="417"/>
      <c r="B251" s="249" t="s">
        <v>1833</v>
      </c>
      <c r="C251" s="250"/>
      <c r="D251" s="250"/>
      <c r="E251" s="420"/>
      <c r="F251" s="251" t="s">
        <v>1833</v>
      </c>
      <c r="G251" s="417"/>
      <c r="H251" s="249" t="s">
        <v>1833</v>
      </c>
      <c r="I251" s="250"/>
      <c r="J251" s="250"/>
      <c r="K251" s="420"/>
      <c r="L251" s="251" t="s">
        <v>1833</v>
      </c>
    </row>
    <row r="252" spans="1:12" ht="26.25" thickBot="1">
      <c r="A252" s="417"/>
      <c r="B252" s="249" t="s">
        <v>1834</v>
      </c>
      <c r="C252" s="250"/>
      <c r="D252" s="250"/>
      <c r="E252" s="420"/>
      <c r="F252" s="251" t="s">
        <v>1835</v>
      </c>
      <c r="G252" s="417"/>
      <c r="H252" s="249" t="s">
        <v>1834</v>
      </c>
      <c r="I252" s="250"/>
      <c r="J252" s="250"/>
      <c r="K252" s="420"/>
      <c r="L252" s="251" t="s">
        <v>1835</v>
      </c>
    </row>
    <row r="253" spans="1:12" ht="15.75" thickBot="1">
      <c r="A253" s="418"/>
      <c r="B253" s="249" t="s">
        <v>1836</v>
      </c>
      <c r="C253" s="250"/>
      <c r="D253" s="250"/>
      <c r="E253" s="421"/>
      <c r="F253" s="251" t="s">
        <v>1837</v>
      </c>
      <c r="G253" s="418"/>
      <c r="H253" s="249" t="s">
        <v>1836</v>
      </c>
      <c r="I253" s="250"/>
      <c r="J253" s="250"/>
      <c r="K253" s="421"/>
      <c r="L253" s="251" t="s">
        <v>1837</v>
      </c>
    </row>
    <row r="254" spans="1:12" ht="15.75" thickBot="1">
      <c r="A254" s="416" t="s">
        <v>2161</v>
      </c>
      <c r="B254" s="249" t="s">
        <v>1822</v>
      </c>
      <c r="C254" s="250"/>
      <c r="D254" s="250"/>
      <c r="E254" s="419" t="s">
        <v>2161</v>
      </c>
      <c r="F254" s="251" t="s">
        <v>1822</v>
      </c>
      <c r="G254" s="416" t="s">
        <v>2161</v>
      </c>
      <c r="H254" s="249" t="s">
        <v>1822</v>
      </c>
      <c r="I254" s="250"/>
      <c r="J254" s="250"/>
      <c r="K254" s="419" t="s">
        <v>2161</v>
      </c>
      <c r="L254" s="251" t="s">
        <v>1822</v>
      </c>
    </row>
    <row r="255" spans="1:12" ht="15.75" thickBot="1">
      <c r="A255" s="417"/>
      <c r="B255" s="249" t="s">
        <v>1824</v>
      </c>
      <c r="C255" s="250"/>
      <c r="D255" s="250"/>
      <c r="E255" s="420"/>
      <c r="F255" s="251" t="s">
        <v>1824</v>
      </c>
      <c r="G255" s="417"/>
      <c r="H255" s="249" t="s">
        <v>1824</v>
      </c>
      <c r="I255" s="250"/>
      <c r="J255" s="250"/>
      <c r="K255" s="420"/>
      <c r="L255" s="251" t="s">
        <v>1824</v>
      </c>
    </row>
    <row r="256" spans="1:12" ht="15.75" thickBot="1">
      <c r="A256" s="417"/>
      <c r="B256" s="249" t="s">
        <v>1825</v>
      </c>
      <c r="C256" s="250"/>
      <c r="D256" s="250"/>
      <c r="E256" s="420"/>
      <c r="F256" s="251" t="s">
        <v>1825</v>
      </c>
      <c r="G256" s="417"/>
      <c r="H256" s="249" t="s">
        <v>1825</v>
      </c>
      <c r="I256" s="250"/>
      <c r="J256" s="250"/>
      <c r="K256" s="420"/>
      <c r="L256" s="251" t="s">
        <v>1825</v>
      </c>
    </row>
    <row r="257" spans="1:12" ht="15.75" thickBot="1">
      <c r="A257" s="417"/>
      <c r="B257" s="249" t="s">
        <v>1826</v>
      </c>
      <c r="C257" s="250"/>
      <c r="D257" s="250"/>
      <c r="E257" s="420"/>
      <c r="F257" s="251" t="s">
        <v>1826</v>
      </c>
      <c r="G257" s="417"/>
      <c r="H257" s="249" t="s">
        <v>1826</v>
      </c>
      <c r="I257" s="250"/>
      <c r="J257" s="250"/>
      <c r="K257" s="420"/>
      <c r="L257" s="251" t="s">
        <v>1826</v>
      </c>
    </row>
    <row r="258" spans="1:12" ht="15.75" thickBot="1">
      <c r="A258" s="417"/>
      <c r="B258" s="249" t="s">
        <v>1827</v>
      </c>
      <c r="C258" s="250"/>
      <c r="D258" s="250"/>
      <c r="E258" s="420"/>
      <c r="F258" s="251" t="s">
        <v>1827</v>
      </c>
      <c r="G258" s="417"/>
      <c r="H258" s="249" t="s">
        <v>1827</v>
      </c>
      <c r="I258" s="250"/>
      <c r="J258" s="250"/>
      <c r="K258" s="420"/>
      <c r="L258" s="251" t="s">
        <v>1827</v>
      </c>
    </row>
    <row r="259" spans="1:12" ht="15.75" thickBot="1">
      <c r="A259" s="417"/>
      <c r="B259" s="249" t="s">
        <v>1828</v>
      </c>
      <c r="C259" s="250"/>
      <c r="D259" s="250"/>
      <c r="E259" s="420"/>
      <c r="F259" s="251" t="s">
        <v>1828</v>
      </c>
      <c r="G259" s="417"/>
      <c r="H259" s="249" t="s">
        <v>1828</v>
      </c>
      <c r="I259" s="250"/>
      <c r="J259" s="250"/>
      <c r="K259" s="420"/>
      <c r="L259" s="251" t="s">
        <v>1828</v>
      </c>
    </row>
    <row r="260" spans="1:12" ht="15.75" thickBot="1">
      <c r="A260" s="417"/>
      <c r="B260" s="249" t="s">
        <v>1829</v>
      </c>
      <c r="C260" s="250"/>
      <c r="D260" s="250"/>
      <c r="E260" s="420"/>
      <c r="F260" s="251" t="s">
        <v>1829</v>
      </c>
      <c r="G260" s="417"/>
      <c r="H260" s="249" t="s">
        <v>1829</v>
      </c>
      <c r="I260" s="250"/>
      <c r="J260" s="250"/>
      <c r="K260" s="420"/>
      <c r="L260" s="251" t="s">
        <v>1829</v>
      </c>
    </row>
    <row r="261" spans="1:12" ht="15.75" thickBot="1">
      <c r="A261" s="417"/>
      <c r="B261" s="249" t="s">
        <v>1830</v>
      </c>
      <c r="C261" s="250"/>
      <c r="D261" s="250"/>
      <c r="E261" s="420"/>
      <c r="F261" s="251" t="s">
        <v>1830</v>
      </c>
      <c r="G261" s="417"/>
      <c r="H261" s="249" t="s">
        <v>1830</v>
      </c>
      <c r="I261" s="250"/>
      <c r="J261" s="250"/>
      <c r="K261" s="420"/>
      <c r="L261" s="251" t="s">
        <v>1830</v>
      </c>
    </row>
    <row r="262" spans="1:12" ht="15.75" thickBot="1">
      <c r="A262" s="417"/>
      <c r="B262" s="249" t="s">
        <v>1831</v>
      </c>
      <c r="C262" s="250"/>
      <c r="D262" s="250"/>
      <c r="E262" s="420"/>
      <c r="F262" s="251" t="s">
        <v>1831</v>
      </c>
      <c r="G262" s="417"/>
      <c r="H262" s="249" t="s">
        <v>1831</v>
      </c>
      <c r="I262" s="250"/>
      <c r="J262" s="250"/>
      <c r="K262" s="420"/>
      <c r="L262" s="251" t="s">
        <v>1831</v>
      </c>
    </row>
    <row r="263" spans="1:12" ht="15.75" thickBot="1">
      <c r="A263" s="417"/>
      <c r="B263" s="249" t="s">
        <v>1832</v>
      </c>
      <c r="C263" s="250"/>
      <c r="D263" s="250"/>
      <c r="E263" s="420"/>
      <c r="F263" s="251" t="s">
        <v>1832</v>
      </c>
      <c r="G263" s="417"/>
      <c r="H263" s="249" t="s">
        <v>1832</v>
      </c>
      <c r="I263" s="250"/>
      <c r="J263" s="250"/>
      <c r="K263" s="420"/>
      <c r="L263" s="251" t="s">
        <v>1832</v>
      </c>
    </row>
    <row r="264" spans="1:12" ht="15.75" thickBot="1">
      <c r="A264" s="417"/>
      <c r="B264" s="249" t="s">
        <v>1833</v>
      </c>
      <c r="C264" s="250"/>
      <c r="D264" s="250"/>
      <c r="E264" s="420"/>
      <c r="F264" s="251" t="s">
        <v>1833</v>
      </c>
      <c r="G264" s="417"/>
      <c r="H264" s="249" t="s">
        <v>1833</v>
      </c>
      <c r="I264" s="250"/>
      <c r="J264" s="250"/>
      <c r="K264" s="420"/>
      <c r="L264" s="251" t="s">
        <v>1833</v>
      </c>
    </row>
    <row r="265" spans="1:12" ht="26.25" thickBot="1">
      <c r="A265" s="417"/>
      <c r="B265" s="249" t="s">
        <v>1834</v>
      </c>
      <c r="C265" s="250"/>
      <c r="D265" s="250"/>
      <c r="E265" s="420"/>
      <c r="F265" s="251" t="s">
        <v>1835</v>
      </c>
      <c r="G265" s="417"/>
      <c r="H265" s="249" t="s">
        <v>1834</v>
      </c>
      <c r="I265" s="250"/>
      <c r="J265" s="250"/>
      <c r="K265" s="420"/>
      <c r="L265" s="251" t="s">
        <v>1835</v>
      </c>
    </row>
    <row r="266" spans="1:12" ht="15.75" thickBot="1">
      <c r="A266" s="418"/>
      <c r="B266" s="249" t="s">
        <v>1836</v>
      </c>
      <c r="C266" s="250"/>
      <c r="D266" s="250"/>
      <c r="E266" s="421"/>
      <c r="F266" s="251" t="s">
        <v>1837</v>
      </c>
      <c r="G266" s="418"/>
      <c r="H266" s="249" t="s">
        <v>1836</v>
      </c>
      <c r="I266" s="250"/>
      <c r="J266" s="250"/>
      <c r="K266" s="421"/>
      <c r="L266" s="251" t="s">
        <v>1837</v>
      </c>
    </row>
    <row r="267" spans="1:12" ht="15.75" thickBot="1">
      <c r="A267" s="416" t="s">
        <v>2162</v>
      </c>
      <c r="B267" s="249" t="s">
        <v>1822</v>
      </c>
      <c r="C267" s="250"/>
      <c r="D267" s="250"/>
      <c r="E267" s="419" t="s">
        <v>2163</v>
      </c>
      <c r="F267" s="251" t="s">
        <v>1822</v>
      </c>
      <c r="G267" s="416" t="s">
        <v>2162</v>
      </c>
      <c r="H267" s="249" t="s">
        <v>1822</v>
      </c>
      <c r="I267" s="250"/>
      <c r="J267" s="250"/>
      <c r="K267" s="419" t="s">
        <v>2163</v>
      </c>
      <c r="L267" s="251" t="s">
        <v>1822</v>
      </c>
    </row>
    <row r="268" spans="1:12" ht="15.75" thickBot="1">
      <c r="A268" s="417"/>
      <c r="B268" s="249" t="s">
        <v>1824</v>
      </c>
      <c r="C268" s="250"/>
      <c r="D268" s="250"/>
      <c r="E268" s="420"/>
      <c r="F268" s="251" t="s">
        <v>1824</v>
      </c>
      <c r="G268" s="417"/>
      <c r="H268" s="249" t="s">
        <v>1824</v>
      </c>
      <c r="I268" s="250"/>
      <c r="J268" s="250"/>
      <c r="K268" s="420"/>
      <c r="L268" s="251" t="s">
        <v>1824</v>
      </c>
    </row>
    <row r="269" spans="1:12" ht="15.75" thickBot="1">
      <c r="A269" s="417"/>
      <c r="B269" s="249" t="s">
        <v>1825</v>
      </c>
      <c r="C269" s="250"/>
      <c r="D269" s="250"/>
      <c r="E269" s="420"/>
      <c r="F269" s="251" t="s">
        <v>1825</v>
      </c>
      <c r="G269" s="417"/>
      <c r="H269" s="249" t="s">
        <v>1825</v>
      </c>
      <c r="I269" s="250"/>
      <c r="J269" s="250"/>
      <c r="K269" s="420"/>
      <c r="L269" s="251" t="s">
        <v>1825</v>
      </c>
    </row>
    <row r="270" spans="1:12" ht="15.75" thickBot="1">
      <c r="A270" s="417"/>
      <c r="B270" s="249" t="s">
        <v>1826</v>
      </c>
      <c r="C270" s="250"/>
      <c r="D270" s="250"/>
      <c r="E270" s="420"/>
      <c r="F270" s="251" t="s">
        <v>1826</v>
      </c>
      <c r="G270" s="417"/>
      <c r="H270" s="249" t="s">
        <v>1826</v>
      </c>
      <c r="I270" s="250"/>
      <c r="J270" s="250"/>
      <c r="K270" s="420"/>
      <c r="L270" s="251" t="s">
        <v>1826</v>
      </c>
    </row>
    <row r="271" spans="1:12" ht="15.75" thickBot="1">
      <c r="A271" s="417"/>
      <c r="B271" s="249" t="s">
        <v>1827</v>
      </c>
      <c r="C271" s="250"/>
      <c r="D271" s="250"/>
      <c r="E271" s="420"/>
      <c r="F271" s="251" t="s">
        <v>1827</v>
      </c>
      <c r="G271" s="417"/>
      <c r="H271" s="249" t="s">
        <v>1827</v>
      </c>
      <c r="I271" s="250"/>
      <c r="J271" s="250"/>
      <c r="K271" s="420"/>
      <c r="L271" s="251" t="s">
        <v>1827</v>
      </c>
    </row>
    <row r="272" spans="1:12" ht="15.75" thickBot="1">
      <c r="A272" s="417"/>
      <c r="B272" s="249" t="s">
        <v>1828</v>
      </c>
      <c r="C272" s="250"/>
      <c r="D272" s="250"/>
      <c r="E272" s="420"/>
      <c r="F272" s="251" t="s">
        <v>1828</v>
      </c>
      <c r="G272" s="417"/>
      <c r="H272" s="249" t="s">
        <v>1828</v>
      </c>
      <c r="I272" s="250"/>
      <c r="J272" s="250"/>
      <c r="K272" s="420"/>
      <c r="L272" s="251" t="s">
        <v>1828</v>
      </c>
    </row>
    <row r="273" spans="1:12" ht="15.75" thickBot="1">
      <c r="A273" s="417"/>
      <c r="B273" s="249" t="s">
        <v>1829</v>
      </c>
      <c r="C273" s="250"/>
      <c r="D273" s="250"/>
      <c r="E273" s="420"/>
      <c r="F273" s="251" t="s">
        <v>1829</v>
      </c>
      <c r="G273" s="417"/>
      <c r="H273" s="249" t="s">
        <v>1829</v>
      </c>
      <c r="I273" s="250"/>
      <c r="J273" s="250"/>
      <c r="K273" s="420"/>
      <c r="L273" s="251" t="s">
        <v>1829</v>
      </c>
    </row>
    <row r="274" spans="1:12" ht="15.75" thickBot="1">
      <c r="A274" s="417"/>
      <c r="B274" s="249" t="s">
        <v>1830</v>
      </c>
      <c r="C274" s="250"/>
      <c r="D274" s="250"/>
      <c r="E274" s="420"/>
      <c r="F274" s="251" t="s">
        <v>1830</v>
      </c>
      <c r="G274" s="417"/>
      <c r="H274" s="249" t="s">
        <v>1830</v>
      </c>
      <c r="I274" s="250"/>
      <c r="J274" s="250"/>
      <c r="K274" s="420"/>
      <c r="L274" s="251" t="s">
        <v>1830</v>
      </c>
    </row>
    <row r="275" spans="1:12" ht="15.75" thickBot="1">
      <c r="A275" s="417"/>
      <c r="B275" s="249" t="s">
        <v>1831</v>
      </c>
      <c r="C275" s="250"/>
      <c r="D275" s="250"/>
      <c r="E275" s="420"/>
      <c r="F275" s="251" t="s">
        <v>1831</v>
      </c>
      <c r="G275" s="417"/>
      <c r="H275" s="249" t="s">
        <v>1831</v>
      </c>
      <c r="I275" s="250"/>
      <c r="J275" s="250"/>
      <c r="K275" s="420"/>
      <c r="L275" s="251" t="s">
        <v>1831</v>
      </c>
    </row>
    <row r="276" spans="1:12" ht="15.75" thickBot="1">
      <c r="A276" s="417"/>
      <c r="B276" s="249" t="s">
        <v>1832</v>
      </c>
      <c r="C276" s="250"/>
      <c r="D276" s="250"/>
      <c r="E276" s="420"/>
      <c r="F276" s="251" t="s">
        <v>1832</v>
      </c>
      <c r="G276" s="417"/>
      <c r="H276" s="249" t="s">
        <v>1832</v>
      </c>
      <c r="I276" s="250"/>
      <c r="J276" s="250"/>
      <c r="K276" s="420"/>
      <c r="L276" s="251" t="s">
        <v>1832</v>
      </c>
    </row>
    <row r="277" spans="1:12" ht="15.75" thickBot="1">
      <c r="A277" s="417"/>
      <c r="B277" s="249" t="s">
        <v>1833</v>
      </c>
      <c r="C277" s="250"/>
      <c r="D277" s="250"/>
      <c r="E277" s="420"/>
      <c r="F277" s="251" t="s">
        <v>1833</v>
      </c>
      <c r="G277" s="417"/>
      <c r="H277" s="249" t="s">
        <v>1833</v>
      </c>
      <c r="I277" s="250"/>
      <c r="J277" s="250"/>
      <c r="K277" s="420"/>
      <c r="L277" s="251" t="s">
        <v>1833</v>
      </c>
    </row>
    <row r="278" spans="1:12" ht="26.25" thickBot="1">
      <c r="A278" s="417"/>
      <c r="B278" s="249" t="s">
        <v>1834</v>
      </c>
      <c r="C278" s="250"/>
      <c r="D278" s="250"/>
      <c r="E278" s="420"/>
      <c r="F278" s="251" t="s">
        <v>1835</v>
      </c>
      <c r="G278" s="417"/>
      <c r="H278" s="249" t="s">
        <v>1834</v>
      </c>
      <c r="I278" s="250"/>
      <c r="J278" s="250"/>
      <c r="K278" s="420"/>
      <c r="L278" s="251" t="s">
        <v>1835</v>
      </c>
    </row>
    <row r="279" spans="1:12" ht="15.75" thickBot="1">
      <c r="A279" s="418"/>
      <c r="B279" s="249" t="s">
        <v>1836</v>
      </c>
      <c r="C279" s="250"/>
      <c r="D279" s="250"/>
      <c r="E279" s="421"/>
      <c r="F279" s="251" t="s">
        <v>1837</v>
      </c>
      <c r="G279" s="418"/>
      <c r="H279" s="249" t="s">
        <v>1836</v>
      </c>
      <c r="I279" s="250"/>
      <c r="J279" s="250"/>
      <c r="K279" s="421"/>
      <c r="L279" s="251" t="s">
        <v>1837</v>
      </c>
    </row>
    <row r="280" spans="1:12" ht="15.75" thickBot="1">
      <c r="A280" s="416" t="s">
        <v>2164</v>
      </c>
      <c r="B280" s="249" t="s">
        <v>1822</v>
      </c>
      <c r="C280" s="250"/>
      <c r="D280" s="250"/>
      <c r="E280" s="419" t="s">
        <v>2165</v>
      </c>
      <c r="F280" s="251" t="s">
        <v>1822</v>
      </c>
      <c r="G280" s="416" t="s">
        <v>2164</v>
      </c>
      <c r="H280" s="249" t="s">
        <v>1822</v>
      </c>
      <c r="I280" s="250"/>
      <c r="J280" s="250"/>
      <c r="K280" s="419" t="s">
        <v>2165</v>
      </c>
      <c r="L280" s="251" t="s">
        <v>1822</v>
      </c>
    </row>
    <row r="281" spans="1:12" ht="15.75" thickBot="1">
      <c r="A281" s="417"/>
      <c r="B281" s="249" t="s">
        <v>1824</v>
      </c>
      <c r="C281" s="250"/>
      <c r="D281" s="250"/>
      <c r="E281" s="420"/>
      <c r="F281" s="251" t="s">
        <v>1824</v>
      </c>
      <c r="G281" s="417"/>
      <c r="H281" s="249" t="s">
        <v>1824</v>
      </c>
      <c r="I281" s="250"/>
      <c r="J281" s="250"/>
      <c r="K281" s="420"/>
      <c r="L281" s="251" t="s">
        <v>1824</v>
      </c>
    </row>
    <row r="282" spans="1:12" ht="15.75" thickBot="1">
      <c r="A282" s="417"/>
      <c r="B282" s="249" t="s">
        <v>1825</v>
      </c>
      <c r="C282" s="250"/>
      <c r="D282" s="250"/>
      <c r="E282" s="420"/>
      <c r="F282" s="251" t="s">
        <v>1825</v>
      </c>
      <c r="G282" s="417"/>
      <c r="H282" s="249" t="s">
        <v>1825</v>
      </c>
      <c r="I282" s="250"/>
      <c r="J282" s="250"/>
      <c r="K282" s="420"/>
      <c r="L282" s="251" t="s">
        <v>1825</v>
      </c>
    </row>
    <row r="283" spans="1:12" ht="15.75" thickBot="1">
      <c r="A283" s="417"/>
      <c r="B283" s="249" t="s">
        <v>1826</v>
      </c>
      <c r="C283" s="250"/>
      <c r="D283" s="250"/>
      <c r="E283" s="420"/>
      <c r="F283" s="251" t="s">
        <v>1826</v>
      </c>
      <c r="G283" s="417"/>
      <c r="H283" s="249" t="s">
        <v>1826</v>
      </c>
      <c r="I283" s="250"/>
      <c r="J283" s="250"/>
      <c r="K283" s="420"/>
      <c r="L283" s="251" t="s">
        <v>1826</v>
      </c>
    </row>
    <row r="284" spans="1:12" ht="15.75" thickBot="1">
      <c r="A284" s="417"/>
      <c r="B284" s="249" t="s">
        <v>1827</v>
      </c>
      <c r="C284" s="250"/>
      <c r="D284" s="250"/>
      <c r="E284" s="420"/>
      <c r="F284" s="251" t="s">
        <v>1827</v>
      </c>
      <c r="G284" s="417"/>
      <c r="H284" s="249" t="s">
        <v>1827</v>
      </c>
      <c r="I284" s="250"/>
      <c r="J284" s="250"/>
      <c r="K284" s="420"/>
      <c r="L284" s="251" t="s">
        <v>1827</v>
      </c>
    </row>
    <row r="285" spans="1:12" ht="15.75" thickBot="1">
      <c r="A285" s="417"/>
      <c r="B285" s="249" t="s">
        <v>1828</v>
      </c>
      <c r="C285" s="250"/>
      <c r="D285" s="250"/>
      <c r="E285" s="420"/>
      <c r="F285" s="251" t="s">
        <v>1828</v>
      </c>
      <c r="G285" s="417"/>
      <c r="H285" s="249" t="s">
        <v>1828</v>
      </c>
      <c r="I285" s="250"/>
      <c r="J285" s="250"/>
      <c r="K285" s="420"/>
      <c r="L285" s="251" t="s">
        <v>1828</v>
      </c>
    </row>
    <row r="286" spans="1:12" ht="15.75" thickBot="1">
      <c r="A286" s="417"/>
      <c r="B286" s="249" t="s">
        <v>1829</v>
      </c>
      <c r="C286" s="250"/>
      <c r="D286" s="250"/>
      <c r="E286" s="420"/>
      <c r="F286" s="251" t="s">
        <v>1829</v>
      </c>
      <c r="G286" s="417"/>
      <c r="H286" s="249" t="s">
        <v>1829</v>
      </c>
      <c r="I286" s="250"/>
      <c r="J286" s="250"/>
      <c r="K286" s="420"/>
      <c r="L286" s="251" t="s">
        <v>1829</v>
      </c>
    </row>
    <row r="287" spans="1:12" ht="15.75" thickBot="1">
      <c r="A287" s="417"/>
      <c r="B287" s="249" t="s">
        <v>1830</v>
      </c>
      <c r="C287" s="250"/>
      <c r="D287" s="250"/>
      <c r="E287" s="420"/>
      <c r="F287" s="251" t="s">
        <v>1830</v>
      </c>
      <c r="G287" s="417"/>
      <c r="H287" s="249" t="s">
        <v>1830</v>
      </c>
      <c r="I287" s="250"/>
      <c r="J287" s="250"/>
      <c r="K287" s="420"/>
      <c r="L287" s="251" t="s">
        <v>1830</v>
      </c>
    </row>
    <row r="288" spans="1:12" ht="15.75" thickBot="1">
      <c r="A288" s="417"/>
      <c r="B288" s="249" t="s">
        <v>1831</v>
      </c>
      <c r="C288" s="250"/>
      <c r="D288" s="250"/>
      <c r="E288" s="420"/>
      <c r="F288" s="251" t="s">
        <v>1831</v>
      </c>
      <c r="G288" s="417"/>
      <c r="H288" s="249" t="s">
        <v>1831</v>
      </c>
      <c r="I288" s="250"/>
      <c r="J288" s="250"/>
      <c r="K288" s="420"/>
      <c r="L288" s="251" t="s">
        <v>1831</v>
      </c>
    </row>
    <row r="289" spans="1:12" ht="15.75" thickBot="1">
      <c r="A289" s="417"/>
      <c r="B289" s="249" t="s">
        <v>1832</v>
      </c>
      <c r="C289" s="250"/>
      <c r="D289" s="250"/>
      <c r="E289" s="420"/>
      <c r="F289" s="251" t="s">
        <v>1832</v>
      </c>
      <c r="G289" s="417"/>
      <c r="H289" s="249" t="s">
        <v>1832</v>
      </c>
      <c r="I289" s="250"/>
      <c r="J289" s="250"/>
      <c r="K289" s="420"/>
      <c r="L289" s="251" t="s">
        <v>1832</v>
      </c>
    </row>
    <row r="290" spans="1:12" ht="15.75" thickBot="1">
      <c r="A290" s="417"/>
      <c r="B290" s="249" t="s">
        <v>1833</v>
      </c>
      <c r="C290" s="250"/>
      <c r="D290" s="250"/>
      <c r="E290" s="420"/>
      <c r="F290" s="251" t="s">
        <v>1833</v>
      </c>
      <c r="G290" s="417"/>
      <c r="H290" s="249" t="s">
        <v>1833</v>
      </c>
      <c r="I290" s="250"/>
      <c r="J290" s="250"/>
      <c r="K290" s="420"/>
      <c r="L290" s="251" t="s">
        <v>1833</v>
      </c>
    </row>
    <row r="291" spans="1:12" ht="26.25" thickBot="1">
      <c r="A291" s="417"/>
      <c r="B291" s="249" t="s">
        <v>1834</v>
      </c>
      <c r="C291" s="250"/>
      <c r="D291" s="250"/>
      <c r="E291" s="420"/>
      <c r="F291" s="251" t="s">
        <v>1835</v>
      </c>
      <c r="G291" s="417"/>
      <c r="H291" s="249" t="s">
        <v>1834</v>
      </c>
      <c r="I291" s="250"/>
      <c r="J291" s="250"/>
      <c r="K291" s="420"/>
      <c r="L291" s="251" t="s">
        <v>1835</v>
      </c>
    </row>
    <row r="292" spans="1:12" ht="15.75" thickBot="1">
      <c r="A292" s="418"/>
      <c r="B292" s="249" t="s">
        <v>1836</v>
      </c>
      <c r="C292" s="250"/>
      <c r="D292" s="250"/>
      <c r="E292" s="421"/>
      <c r="F292" s="251" t="s">
        <v>1837</v>
      </c>
      <c r="G292" s="418"/>
      <c r="H292" s="249" t="s">
        <v>1836</v>
      </c>
      <c r="I292" s="250"/>
      <c r="J292" s="250"/>
      <c r="K292" s="421"/>
      <c r="L292" s="251" t="s">
        <v>1837</v>
      </c>
    </row>
    <row r="293" spans="1:12" ht="15.75" thickBot="1">
      <c r="A293" s="416" t="s">
        <v>2166</v>
      </c>
      <c r="B293" s="249" t="s">
        <v>1822</v>
      </c>
      <c r="C293" s="250"/>
      <c r="D293" s="250">
        <v>111423</v>
      </c>
      <c r="E293" s="419" t="s">
        <v>2167</v>
      </c>
      <c r="F293" s="251" t="s">
        <v>1822</v>
      </c>
      <c r="G293" s="416" t="s">
        <v>2166</v>
      </c>
      <c r="H293" s="249" t="s">
        <v>1822</v>
      </c>
      <c r="I293" s="250"/>
      <c r="J293" s="250">
        <v>43516</v>
      </c>
      <c r="K293" s="419" t="s">
        <v>2167</v>
      </c>
      <c r="L293" s="251" t="s">
        <v>1822</v>
      </c>
    </row>
    <row r="294" spans="1:12" ht="15.75" thickBot="1">
      <c r="A294" s="417"/>
      <c r="B294" s="249" t="s">
        <v>1824</v>
      </c>
      <c r="C294" s="250"/>
      <c r="D294" s="250"/>
      <c r="E294" s="420"/>
      <c r="F294" s="251" t="s">
        <v>1824</v>
      </c>
      <c r="G294" s="417"/>
      <c r="H294" s="249" t="s">
        <v>1824</v>
      </c>
      <c r="I294" s="250"/>
      <c r="J294" s="250"/>
      <c r="K294" s="420"/>
      <c r="L294" s="251" t="s">
        <v>1824</v>
      </c>
    </row>
    <row r="295" spans="1:12" ht="15.75" thickBot="1">
      <c r="A295" s="417"/>
      <c r="B295" s="249" t="s">
        <v>1825</v>
      </c>
      <c r="C295" s="250"/>
      <c r="D295" s="250"/>
      <c r="E295" s="420"/>
      <c r="F295" s="251" t="s">
        <v>1825</v>
      </c>
      <c r="G295" s="417"/>
      <c r="H295" s="249" t="s">
        <v>1825</v>
      </c>
      <c r="I295" s="250"/>
      <c r="J295" s="250"/>
      <c r="K295" s="420"/>
      <c r="L295" s="251" t="s">
        <v>1825</v>
      </c>
    </row>
    <row r="296" spans="1:12" ht="15.75" thickBot="1">
      <c r="A296" s="417"/>
      <c r="B296" s="249" t="s">
        <v>1826</v>
      </c>
      <c r="C296" s="250"/>
      <c r="D296" s="250"/>
      <c r="E296" s="420"/>
      <c r="F296" s="251" t="s">
        <v>1826</v>
      </c>
      <c r="G296" s="417"/>
      <c r="H296" s="249" t="s">
        <v>1826</v>
      </c>
      <c r="I296" s="250"/>
      <c r="J296" s="250"/>
      <c r="K296" s="420"/>
      <c r="L296" s="251" t="s">
        <v>1826</v>
      </c>
    </row>
    <row r="297" spans="1:12" ht="15.75" thickBot="1">
      <c r="A297" s="417"/>
      <c r="B297" s="249" t="s">
        <v>1827</v>
      </c>
      <c r="C297" s="250"/>
      <c r="D297" s="250"/>
      <c r="E297" s="420"/>
      <c r="F297" s="251" t="s">
        <v>1827</v>
      </c>
      <c r="G297" s="417"/>
      <c r="H297" s="249" t="s">
        <v>1827</v>
      </c>
      <c r="I297" s="250"/>
      <c r="J297" s="250"/>
      <c r="K297" s="420"/>
      <c r="L297" s="251" t="s">
        <v>1827</v>
      </c>
    </row>
    <row r="298" spans="1:12" ht="15.75" thickBot="1">
      <c r="A298" s="417"/>
      <c r="B298" s="249" t="s">
        <v>1828</v>
      </c>
      <c r="C298" s="250"/>
      <c r="D298" s="250"/>
      <c r="E298" s="420"/>
      <c r="F298" s="251" t="s">
        <v>1828</v>
      </c>
      <c r="G298" s="417"/>
      <c r="H298" s="249" t="s">
        <v>1828</v>
      </c>
      <c r="I298" s="250"/>
      <c r="J298" s="250"/>
      <c r="K298" s="420"/>
      <c r="L298" s="251" t="s">
        <v>1828</v>
      </c>
    </row>
    <row r="299" spans="1:12" ht="15.75" thickBot="1">
      <c r="A299" s="417"/>
      <c r="B299" s="249" t="s">
        <v>1829</v>
      </c>
      <c r="C299" s="250"/>
      <c r="D299" s="250"/>
      <c r="E299" s="420"/>
      <c r="F299" s="251" t="s">
        <v>1829</v>
      </c>
      <c r="G299" s="417"/>
      <c r="H299" s="249" t="s">
        <v>1829</v>
      </c>
      <c r="I299" s="250"/>
      <c r="J299" s="250"/>
      <c r="K299" s="420"/>
      <c r="L299" s="251" t="s">
        <v>1829</v>
      </c>
    </row>
    <row r="300" spans="1:12" ht="15.75" thickBot="1">
      <c r="A300" s="417"/>
      <c r="B300" s="249" t="s">
        <v>1830</v>
      </c>
      <c r="C300" s="250"/>
      <c r="D300" s="250"/>
      <c r="E300" s="420"/>
      <c r="F300" s="251" t="s">
        <v>1830</v>
      </c>
      <c r="G300" s="417"/>
      <c r="H300" s="249" t="s">
        <v>1830</v>
      </c>
      <c r="I300" s="250"/>
      <c r="J300" s="250"/>
      <c r="K300" s="420"/>
      <c r="L300" s="251" t="s">
        <v>1830</v>
      </c>
    </row>
    <row r="301" spans="1:12" ht="15.75" thickBot="1">
      <c r="A301" s="417"/>
      <c r="B301" s="249" t="s">
        <v>1831</v>
      </c>
      <c r="C301" s="250"/>
      <c r="D301" s="250"/>
      <c r="E301" s="420"/>
      <c r="F301" s="251" t="s">
        <v>1831</v>
      </c>
      <c r="G301" s="417"/>
      <c r="H301" s="249" t="s">
        <v>1831</v>
      </c>
      <c r="I301" s="250"/>
      <c r="J301" s="250"/>
      <c r="K301" s="420"/>
      <c r="L301" s="251" t="s">
        <v>1831</v>
      </c>
    </row>
    <row r="302" spans="1:12" ht="15.75" thickBot="1">
      <c r="A302" s="417"/>
      <c r="B302" s="249" t="s">
        <v>1832</v>
      </c>
      <c r="C302" s="250"/>
      <c r="D302" s="250"/>
      <c r="E302" s="420"/>
      <c r="F302" s="251" t="s">
        <v>1832</v>
      </c>
      <c r="G302" s="417"/>
      <c r="H302" s="249" t="s">
        <v>1832</v>
      </c>
      <c r="I302" s="250"/>
      <c r="J302" s="250"/>
      <c r="K302" s="420"/>
      <c r="L302" s="251" t="s">
        <v>1832</v>
      </c>
    </row>
    <row r="303" spans="1:12" ht="15.75" thickBot="1">
      <c r="A303" s="417"/>
      <c r="B303" s="249" t="s">
        <v>1833</v>
      </c>
      <c r="C303" s="250"/>
      <c r="D303" s="250"/>
      <c r="E303" s="420"/>
      <c r="F303" s="251" t="s">
        <v>1833</v>
      </c>
      <c r="G303" s="417"/>
      <c r="H303" s="249" t="s">
        <v>1833</v>
      </c>
      <c r="I303" s="250"/>
      <c r="J303" s="250"/>
      <c r="K303" s="420"/>
      <c r="L303" s="251" t="s">
        <v>1833</v>
      </c>
    </row>
    <row r="304" spans="1:12" ht="26.25" thickBot="1">
      <c r="A304" s="417"/>
      <c r="B304" s="249" t="s">
        <v>1834</v>
      </c>
      <c r="C304" s="250"/>
      <c r="D304" s="250"/>
      <c r="E304" s="420"/>
      <c r="F304" s="251" t="s">
        <v>1835</v>
      </c>
      <c r="G304" s="417"/>
      <c r="H304" s="249" t="s">
        <v>1834</v>
      </c>
      <c r="I304" s="250"/>
      <c r="J304" s="250"/>
      <c r="K304" s="420"/>
      <c r="L304" s="251" t="s">
        <v>1835</v>
      </c>
    </row>
    <row r="305" spans="1:12" ht="15.75" thickBot="1">
      <c r="A305" s="418"/>
      <c r="B305" s="249" t="s">
        <v>1836</v>
      </c>
      <c r="C305" s="250"/>
      <c r="D305" s="250">
        <v>111423</v>
      </c>
      <c r="E305" s="421"/>
      <c r="F305" s="251" t="s">
        <v>1837</v>
      </c>
      <c r="G305" s="418"/>
      <c r="H305" s="249" t="s">
        <v>1836</v>
      </c>
      <c r="I305" s="250"/>
      <c r="J305" s="250">
        <v>43516</v>
      </c>
      <c r="K305" s="421"/>
      <c r="L305" s="251" t="s">
        <v>1837</v>
      </c>
    </row>
    <row r="306" spans="1:12" ht="17.25" customHeight="1">
      <c r="A306" s="422" t="s">
        <v>19</v>
      </c>
      <c r="B306" s="422"/>
      <c r="C306" s="422"/>
      <c r="D306" s="422"/>
      <c r="E306" s="422"/>
      <c r="F306" s="422"/>
      <c r="G306" s="423" t="s">
        <v>106</v>
      </c>
      <c r="H306" s="423"/>
      <c r="I306" s="423"/>
      <c r="J306" s="423"/>
      <c r="K306" s="423"/>
      <c r="L306" s="423"/>
    </row>
    <row r="307" spans="1:12" ht="17.25" customHeight="1">
      <c r="A307" s="414" t="s">
        <v>2187</v>
      </c>
      <c r="B307" s="414"/>
      <c r="C307" s="414"/>
      <c r="D307" s="415" t="s">
        <v>2188</v>
      </c>
      <c r="E307" s="415"/>
      <c r="F307" s="415"/>
      <c r="G307" s="414" t="s">
        <v>2187</v>
      </c>
      <c r="H307" s="414"/>
      <c r="I307" s="414"/>
      <c r="J307" s="415" t="s">
        <v>2188</v>
      </c>
      <c r="K307" s="415"/>
      <c r="L307" s="415"/>
    </row>
    <row r="308" spans="1:12">
      <c r="A308" s="412"/>
      <c r="B308" s="412"/>
      <c r="C308" s="413" t="s">
        <v>2189</v>
      </c>
      <c r="D308" s="413"/>
      <c r="E308" s="412"/>
      <c r="F308" s="412"/>
      <c r="G308" s="412"/>
      <c r="H308" s="412"/>
      <c r="I308" s="413" t="s">
        <v>2189</v>
      </c>
      <c r="J308" s="413"/>
      <c r="K308" s="412"/>
      <c r="L308" s="412"/>
    </row>
    <row r="309" spans="1:12" ht="23.25">
      <c r="A309" s="412"/>
      <c r="B309" s="412"/>
      <c r="C309" s="248" t="s">
        <v>2190</v>
      </c>
      <c r="D309" s="248" t="s">
        <v>677</v>
      </c>
      <c r="E309" s="412"/>
      <c r="F309" s="412"/>
      <c r="G309" s="412"/>
      <c r="H309" s="412"/>
      <c r="I309" s="248" t="s">
        <v>2190</v>
      </c>
      <c r="J309" s="248" t="s">
        <v>677</v>
      </c>
      <c r="K309" s="412"/>
      <c r="L309" s="412"/>
    </row>
    <row r="310" spans="1:12" ht="15.75" thickBot="1">
      <c r="A310" s="249" t="s">
        <v>2168</v>
      </c>
      <c r="B310" s="249" t="s">
        <v>1836</v>
      </c>
      <c r="C310" s="250"/>
      <c r="D310" s="250">
        <v>138969</v>
      </c>
      <c r="E310" s="251" t="s">
        <v>2169</v>
      </c>
      <c r="F310" s="251" t="s">
        <v>1837</v>
      </c>
      <c r="G310" s="249" t="s">
        <v>2168</v>
      </c>
      <c r="H310" s="249" t="s">
        <v>1836</v>
      </c>
      <c r="I310" s="250"/>
      <c r="J310" s="250">
        <v>110544</v>
      </c>
      <c r="K310" s="251" t="s">
        <v>2169</v>
      </c>
      <c r="L310" s="251" t="s">
        <v>1837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0E85E95F-5868-4ACE-AFCC-02C741CCF14C}">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B0FBD-4235-4881-A631-E215A79935CC}">
  <dimension ref="A1:C6"/>
  <sheetViews>
    <sheetView showGridLines="0" workbookViewId="0">
      <selection sqref="A1:C1"/>
    </sheetView>
  </sheetViews>
  <sheetFormatPr defaultRowHeight="15"/>
  <cols>
    <col min="1" max="1" width="42.6640625" style="252" bestFit="1" customWidth="1" collapsed="1"/>
    <col min="2" max="2" width="33.33203125" style="252" customWidth="1" collapsed="1"/>
    <col min="3" max="3" width="42.6640625" style="252" bestFit="1" customWidth="1" collapsed="1"/>
    <col min="4" max="16384" width="9.33203125" style="252" collapsed="1"/>
  </cols>
  <sheetData>
    <row r="1" spans="1:3" ht="34.5" customHeight="1">
      <c r="A1" s="424" t="s">
        <v>2191</v>
      </c>
      <c r="B1" s="425"/>
      <c r="C1" s="425"/>
    </row>
    <row r="3" spans="1:3" ht="17.25" customHeight="1">
      <c r="A3" s="253" t="s">
        <v>1744</v>
      </c>
      <c r="B3" s="426" t="s">
        <v>1745</v>
      </c>
      <c r="C3" s="426"/>
    </row>
    <row r="4" spans="1:3">
      <c r="A4" s="254"/>
      <c r="B4" s="255" t="s">
        <v>104</v>
      </c>
    </row>
    <row r="5" spans="1:3" ht="15.75" thickBot="1">
      <c r="A5" s="256" t="s">
        <v>1744</v>
      </c>
      <c r="B5" s="257"/>
      <c r="C5" s="258" t="s">
        <v>1745</v>
      </c>
    </row>
    <row r="6" spans="1:3" ht="75" customHeight="1" thickBot="1">
      <c r="A6" s="259" t="s">
        <v>2192</v>
      </c>
      <c r="B6" s="260" t="s">
        <v>2193</v>
      </c>
      <c r="C6" s="258"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834962B-0B27-4B65-815D-27FE74ED3786}">
      <formula1>0</formula1>
    </dataValidation>
  </dataValidations>
  <pageMargins left="0.15" right="0.15" top="0.15" bottom="0.15" header="0.5" footer="0.5"/>
  <pageSetup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2C942C-E38B-407C-87A3-5E1CE7137E62}">
  <dimension ref="A1:P287"/>
  <sheetViews>
    <sheetView showGridLines="0" tabSelected="1" workbookViewId="0"/>
  </sheetViews>
  <sheetFormatPr defaultRowHeight="15"/>
  <cols>
    <col min="1" max="1" width="42.6640625" style="428" bestFit="1" customWidth="1" collapsed="1"/>
    <col min="2" max="2" width="19" style="428" bestFit="1" customWidth="1" collapsed="1"/>
    <col min="3" max="3" width="42.6640625" style="428" bestFit="1" customWidth="1" collapsed="1"/>
    <col min="4" max="4" width="38.1640625" style="428" bestFit="1" customWidth="1" collapsed="1"/>
    <col min="5" max="5" width="32.1640625" style="428" bestFit="1" customWidth="1" collapsed="1"/>
    <col min="6" max="6" width="37.83203125" style="428" bestFit="1" customWidth="1" collapsed="1"/>
    <col min="7" max="7" width="42.6640625" style="428" bestFit="1" customWidth="1" collapsed="1"/>
    <col min="8" max="8" width="15.6640625" style="428" bestFit="1" customWidth="1" collapsed="1"/>
    <col min="9" max="9" width="42.6640625" style="428" bestFit="1" customWidth="1" collapsed="1"/>
    <col min="10" max="10" width="19" style="428" bestFit="1" customWidth="1" collapsed="1"/>
    <col min="11" max="11" width="42.6640625" style="428" bestFit="1" customWidth="1" collapsed="1"/>
    <col min="12" max="12" width="38.1640625" style="428" bestFit="1" customWidth="1" collapsed="1"/>
    <col min="13" max="13" width="32.1640625" style="428" bestFit="1" customWidth="1" collapsed="1"/>
    <col min="14" max="14" width="37.83203125" style="428" bestFit="1" customWidth="1" collapsed="1"/>
    <col min="15" max="15" width="42.6640625" style="428" bestFit="1" customWidth="1" collapsed="1"/>
    <col min="16" max="16" width="15.6640625" style="428" bestFit="1" customWidth="1" collapsed="1"/>
    <col min="17" max="16384" width="9.33203125" style="428" collapsed="1"/>
  </cols>
  <sheetData>
    <row r="1" spans="1:16" ht="17.25">
      <c r="A1" s="427" t="s">
        <v>2195</v>
      </c>
    </row>
    <row r="3" spans="1:16" ht="17.25" customHeight="1">
      <c r="A3" s="429" t="s">
        <v>19</v>
      </c>
      <c r="B3" s="429"/>
      <c r="C3" s="429"/>
      <c r="D3" s="429"/>
      <c r="E3" s="429"/>
      <c r="F3" s="429"/>
      <c r="G3" s="429"/>
      <c r="H3" s="429"/>
      <c r="I3" s="430" t="s">
        <v>106</v>
      </c>
      <c r="J3" s="430"/>
      <c r="K3" s="430"/>
      <c r="L3" s="430"/>
      <c r="M3" s="430"/>
      <c r="N3" s="430"/>
      <c r="O3" s="430"/>
      <c r="P3" s="430"/>
    </row>
    <row r="4" spans="1:16" ht="17.25" customHeight="1">
      <c r="A4" s="429" t="s">
        <v>2187</v>
      </c>
      <c r="B4" s="429"/>
      <c r="C4" s="429"/>
      <c r="D4" s="429"/>
      <c r="E4" s="430" t="s">
        <v>2188</v>
      </c>
      <c r="F4" s="430"/>
      <c r="G4" s="430"/>
      <c r="H4" s="430"/>
      <c r="I4" s="429" t="s">
        <v>2187</v>
      </c>
      <c r="J4" s="429"/>
      <c r="K4" s="429"/>
      <c r="L4" s="429"/>
      <c r="M4" s="430" t="s">
        <v>2188</v>
      </c>
      <c r="N4" s="430"/>
      <c r="O4" s="430"/>
      <c r="P4" s="430"/>
    </row>
    <row r="5" spans="1:16">
      <c r="A5" s="431"/>
      <c r="B5" s="431"/>
      <c r="C5" s="432" t="s">
        <v>2189</v>
      </c>
      <c r="D5" s="432"/>
      <c r="E5" s="432"/>
      <c r="F5" s="432"/>
      <c r="G5" s="431"/>
      <c r="H5" s="431"/>
      <c r="I5" s="431"/>
      <c r="J5" s="431"/>
      <c r="K5" s="432" t="s">
        <v>2189</v>
      </c>
      <c r="L5" s="432"/>
      <c r="M5" s="432"/>
      <c r="N5" s="432"/>
      <c r="O5" s="431"/>
      <c r="P5" s="431"/>
    </row>
    <row r="6" spans="1:16" ht="23.25">
      <c r="A6" s="431"/>
      <c r="B6" s="431"/>
      <c r="C6" s="433" t="s">
        <v>2190</v>
      </c>
      <c r="D6" s="433" t="s">
        <v>2196</v>
      </c>
      <c r="E6" s="433" t="s">
        <v>2197</v>
      </c>
      <c r="F6" s="433" t="s">
        <v>2198</v>
      </c>
      <c r="G6" s="431"/>
      <c r="H6" s="431"/>
      <c r="I6" s="431"/>
      <c r="J6" s="431"/>
      <c r="K6" s="433" t="s">
        <v>2190</v>
      </c>
      <c r="L6" s="433" t="s">
        <v>2196</v>
      </c>
      <c r="M6" s="433" t="s">
        <v>2197</v>
      </c>
      <c r="N6" s="433" t="s">
        <v>2198</v>
      </c>
      <c r="O6" s="431"/>
      <c r="P6" s="431"/>
    </row>
    <row r="7" spans="1:16" ht="15.75" thickBot="1">
      <c r="A7" s="434" t="s">
        <v>2142</v>
      </c>
      <c r="B7" s="435" t="s">
        <v>1822</v>
      </c>
      <c r="C7" s="436"/>
      <c r="D7" s="437"/>
      <c r="E7" s="437"/>
      <c r="F7" s="437"/>
      <c r="G7" s="438" t="s">
        <v>2142</v>
      </c>
      <c r="H7" s="439" t="s">
        <v>1822</v>
      </c>
      <c r="I7" s="434" t="s">
        <v>2142</v>
      </c>
      <c r="J7" s="435" t="s">
        <v>1822</v>
      </c>
      <c r="K7" s="436"/>
      <c r="L7" s="437"/>
      <c r="M7" s="437"/>
      <c r="N7" s="437"/>
      <c r="O7" s="438" t="s">
        <v>2142</v>
      </c>
      <c r="P7" s="439" t="s">
        <v>1822</v>
      </c>
    </row>
    <row r="8" spans="1:16" ht="15.75" thickBot="1">
      <c r="A8" s="434"/>
      <c r="B8" s="435" t="s">
        <v>1824</v>
      </c>
      <c r="C8" s="436"/>
      <c r="D8" s="437"/>
      <c r="E8" s="437"/>
      <c r="F8" s="437"/>
      <c r="G8" s="438"/>
      <c r="H8" s="439" t="s">
        <v>1824</v>
      </c>
      <c r="I8" s="434"/>
      <c r="J8" s="435" t="s">
        <v>1824</v>
      </c>
      <c r="K8" s="436"/>
      <c r="L8" s="437"/>
      <c r="M8" s="437"/>
      <c r="N8" s="437"/>
      <c r="O8" s="438"/>
      <c r="P8" s="439" t="s">
        <v>1824</v>
      </c>
    </row>
    <row r="9" spans="1:16" ht="15.75" thickBot="1">
      <c r="A9" s="434"/>
      <c r="B9" s="435" t="s">
        <v>1825</v>
      </c>
      <c r="C9" s="436"/>
      <c r="D9" s="437"/>
      <c r="E9" s="437"/>
      <c r="F9" s="437"/>
      <c r="G9" s="438"/>
      <c r="H9" s="439" t="s">
        <v>1825</v>
      </c>
      <c r="I9" s="434"/>
      <c r="J9" s="435" t="s">
        <v>1825</v>
      </c>
      <c r="K9" s="436"/>
      <c r="L9" s="437"/>
      <c r="M9" s="437"/>
      <c r="N9" s="437"/>
      <c r="O9" s="438"/>
      <c r="P9" s="439" t="s">
        <v>1825</v>
      </c>
    </row>
    <row r="10" spans="1:16" ht="15.75" thickBot="1">
      <c r="A10" s="434"/>
      <c r="B10" s="435" t="s">
        <v>1826</v>
      </c>
      <c r="C10" s="436"/>
      <c r="D10" s="437"/>
      <c r="E10" s="437"/>
      <c r="F10" s="437"/>
      <c r="G10" s="438"/>
      <c r="H10" s="439" t="s">
        <v>1826</v>
      </c>
      <c r="I10" s="434"/>
      <c r="J10" s="435" t="s">
        <v>1826</v>
      </c>
      <c r="K10" s="436"/>
      <c r="L10" s="437"/>
      <c r="M10" s="437"/>
      <c r="N10" s="437"/>
      <c r="O10" s="438"/>
      <c r="P10" s="439" t="s">
        <v>1826</v>
      </c>
    </row>
    <row r="11" spans="1:16" ht="15.75" thickBot="1">
      <c r="A11" s="434"/>
      <c r="B11" s="435" t="s">
        <v>1827</v>
      </c>
      <c r="C11" s="436"/>
      <c r="D11" s="437"/>
      <c r="E11" s="437"/>
      <c r="F11" s="437"/>
      <c r="G11" s="438"/>
      <c r="H11" s="439" t="s">
        <v>1827</v>
      </c>
      <c r="I11" s="434"/>
      <c r="J11" s="435" t="s">
        <v>1827</v>
      </c>
      <c r="K11" s="436"/>
      <c r="L11" s="437"/>
      <c r="M11" s="437"/>
      <c r="N11" s="437"/>
      <c r="O11" s="438"/>
      <c r="P11" s="439" t="s">
        <v>1827</v>
      </c>
    </row>
    <row r="12" spans="1:16" ht="15.75" thickBot="1">
      <c r="A12" s="434"/>
      <c r="B12" s="435" t="s">
        <v>1828</v>
      </c>
      <c r="C12" s="436"/>
      <c r="D12" s="437"/>
      <c r="E12" s="437"/>
      <c r="F12" s="437"/>
      <c r="G12" s="438"/>
      <c r="H12" s="439" t="s">
        <v>1828</v>
      </c>
      <c r="I12" s="434"/>
      <c r="J12" s="435" t="s">
        <v>1828</v>
      </c>
      <c r="K12" s="436"/>
      <c r="L12" s="437"/>
      <c r="M12" s="437"/>
      <c r="N12" s="437"/>
      <c r="O12" s="438"/>
      <c r="P12" s="439" t="s">
        <v>1828</v>
      </c>
    </row>
    <row r="13" spans="1:16" ht="15.75" thickBot="1">
      <c r="A13" s="434"/>
      <c r="B13" s="435" t="s">
        <v>1829</v>
      </c>
      <c r="C13" s="436"/>
      <c r="D13" s="437"/>
      <c r="E13" s="437"/>
      <c r="F13" s="437"/>
      <c r="G13" s="438"/>
      <c r="H13" s="439" t="s">
        <v>1829</v>
      </c>
      <c r="I13" s="434"/>
      <c r="J13" s="435" t="s">
        <v>1829</v>
      </c>
      <c r="K13" s="436"/>
      <c r="L13" s="437"/>
      <c r="M13" s="437"/>
      <c r="N13" s="437"/>
      <c r="O13" s="438"/>
      <c r="P13" s="439" t="s">
        <v>1829</v>
      </c>
    </row>
    <row r="14" spans="1:16" ht="15.75" thickBot="1">
      <c r="A14" s="434"/>
      <c r="B14" s="435" t="s">
        <v>1830</v>
      </c>
      <c r="C14" s="436"/>
      <c r="D14" s="437"/>
      <c r="E14" s="437"/>
      <c r="F14" s="437"/>
      <c r="G14" s="438"/>
      <c r="H14" s="439" t="s">
        <v>1830</v>
      </c>
      <c r="I14" s="434"/>
      <c r="J14" s="435" t="s">
        <v>1830</v>
      </c>
      <c r="K14" s="436"/>
      <c r="L14" s="437"/>
      <c r="M14" s="437"/>
      <c r="N14" s="437"/>
      <c r="O14" s="438"/>
      <c r="P14" s="439" t="s">
        <v>1830</v>
      </c>
    </row>
    <row r="15" spans="1:16" ht="15.75" thickBot="1">
      <c r="A15" s="434"/>
      <c r="B15" s="435" t="s">
        <v>1831</v>
      </c>
      <c r="C15" s="436"/>
      <c r="D15" s="437"/>
      <c r="E15" s="437"/>
      <c r="F15" s="437"/>
      <c r="G15" s="438"/>
      <c r="H15" s="439" t="s">
        <v>1831</v>
      </c>
      <c r="I15" s="434"/>
      <c r="J15" s="435" t="s">
        <v>1831</v>
      </c>
      <c r="K15" s="436"/>
      <c r="L15" s="437"/>
      <c r="M15" s="437"/>
      <c r="N15" s="437"/>
      <c r="O15" s="438"/>
      <c r="P15" s="439" t="s">
        <v>1831</v>
      </c>
    </row>
    <row r="16" spans="1:16" ht="15.75" thickBot="1">
      <c r="A16" s="434"/>
      <c r="B16" s="435" t="s">
        <v>1832</v>
      </c>
      <c r="C16" s="436"/>
      <c r="D16" s="437"/>
      <c r="E16" s="437"/>
      <c r="F16" s="437"/>
      <c r="G16" s="438"/>
      <c r="H16" s="439" t="s">
        <v>1832</v>
      </c>
      <c r="I16" s="434"/>
      <c r="J16" s="435" t="s">
        <v>1832</v>
      </c>
      <c r="K16" s="436"/>
      <c r="L16" s="437"/>
      <c r="M16" s="437"/>
      <c r="N16" s="437"/>
      <c r="O16" s="438"/>
      <c r="P16" s="439" t="s">
        <v>1832</v>
      </c>
    </row>
    <row r="17" spans="1:16" ht="15.75" thickBot="1">
      <c r="A17" s="434"/>
      <c r="B17" s="435" t="s">
        <v>1833</v>
      </c>
      <c r="C17" s="436"/>
      <c r="D17" s="437"/>
      <c r="E17" s="437"/>
      <c r="F17" s="437"/>
      <c r="G17" s="438"/>
      <c r="H17" s="439" t="s">
        <v>1833</v>
      </c>
      <c r="I17" s="434"/>
      <c r="J17" s="435" t="s">
        <v>1833</v>
      </c>
      <c r="K17" s="436"/>
      <c r="L17" s="437"/>
      <c r="M17" s="437"/>
      <c r="N17" s="437"/>
      <c r="O17" s="438"/>
      <c r="P17" s="439" t="s">
        <v>1833</v>
      </c>
    </row>
    <row r="18" spans="1:16" ht="26.25" thickBot="1">
      <c r="A18" s="440"/>
      <c r="B18" s="435" t="s">
        <v>1834</v>
      </c>
      <c r="C18" s="436"/>
      <c r="D18" s="437"/>
      <c r="E18" s="437"/>
      <c r="F18" s="437"/>
      <c r="G18" s="441"/>
      <c r="H18" s="439" t="s">
        <v>1835</v>
      </c>
      <c r="I18" s="440"/>
      <c r="J18" s="435" t="s">
        <v>1834</v>
      </c>
      <c r="K18" s="436"/>
      <c r="L18" s="437"/>
      <c r="M18" s="437"/>
      <c r="N18" s="437"/>
      <c r="O18" s="441"/>
      <c r="P18" s="439" t="s">
        <v>1835</v>
      </c>
    </row>
    <row r="19" spans="1:16" ht="15.75" thickBot="1">
      <c r="A19" s="442" t="s">
        <v>2143</v>
      </c>
      <c r="B19" s="435" t="s">
        <v>1822</v>
      </c>
      <c r="C19" s="436"/>
      <c r="D19" s="437"/>
      <c r="E19" s="437"/>
      <c r="F19" s="437"/>
      <c r="G19" s="443" t="s">
        <v>2143</v>
      </c>
      <c r="H19" s="439" t="s">
        <v>1822</v>
      </c>
      <c r="I19" s="442" t="s">
        <v>2143</v>
      </c>
      <c r="J19" s="435" t="s">
        <v>1822</v>
      </c>
      <c r="K19" s="436"/>
      <c r="L19" s="437"/>
      <c r="M19" s="437"/>
      <c r="N19" s="437"/>
      <c r="O19" s="443" t="s">
        <v>2143</v>
      </c>
      <c r="P19" s="439" t="s">
        <v>1822</v>
      </c>
    </row>
    <row r="20" spans="1:16" ht="15.75" thickBot="1">
      <c r="A20" s="434"/>
      <c r="B20" s="435" t="s">
        <v>1824</v>
      </c>
      <c r="C20" s="436"/>
      <c r="D20" s="437"/>
      <c r="E20" s="437"/>
      <c r="F20" s="437"/>
      <c r="G20" s="438"/>
      <c r="H20" s="439" t="s">
        <v>1824</v>
      </c>
      <c r="I20" s="434"/>
      <c r="J20" s="435" t="s">
        <v>1824</v>
      </c>
      <c r="K20" s="436"/>
      <c r="L20" s="437"/>
      <c r="M20" s="437"/>
      <c r="N20" s="437"/>
      <c r="O20" s="438"/>
      <c r="P20" s="439" t="s">
        <v>1824</v>
      </c>
    </row>
    <row r="21" spans="1:16" ht="15.75" thickBot="1">
      <c r="A21" s="434"/>
      <c r="B21" s="435" t="s">
        <v>1825</v>
      </c>
      <c r="C21" s="436"/>
      <c r="D21" s="437"/>
      <c r="E21" s="437"/>
      <c r="F21" s="437"/>
      <c r="G21" s="438"/>
      <c r="H21" s="439" t="s">
        <v>1825</v>
      </c>
      <c r="I21" s="434"/>
      <c r="J21" s="435" t="s">
        <v>1825</v>
      </c>
      <c r="K21" s="436"/>
      <c r="L21" s="437"/>
      <c r="M21" s="437"/>
      <c r="N21" s="437"/>
      <c r="O21" s="438"/>
      <c r="P21" s="439" t="s">
        <v>1825</v>
      </c>
    </row>
    <row r="22" spans="1:16" ht="15.75" thickBot="1">
      <c r="A22" s="434"/>
      <c r="B22" s="435" t="s">
        <v>1826</v>
      </c>
      <c r="C22" s="436"/>
      <c r="D22" s="437"/>
      <c r="E22" s="437"/>
      <c r="F22" s="437"/>
      <c r="G22" s="438"/>
      <c r="H22" s="439" t="s">
        <v>1826</v>
      </c>
      <c r="I22" s="434"/>
      <c r="J22" s="435" t="s">
        <v>1826</v>
      </c>
      <c r="K22" s="436"/>
      <c r="L22" s="437"/>
      <c r="M22" s="437"/>
      <c r="N22" s="437"/>
      <c r="O22" s="438"/>
      <c r="P22" s="439" t="s">
        <v>1826</v>
      </c>
    </row>
    <row r="23" spans="1:16" ht="15.75" thickBot="1">
      <c r="A23" s="434"/>
      <c r="B23" s="435" t="s">
        <v>1827</v>
      </c>
      <c r="C23" s="436"/>
      <c r="D23" s="437"/>
      <c r="E23" s="437"/>
      <c r="F23" s="437"/>
      <c r="G23" s="438"/>
      <c r="H23" s="439" t="s">
        <v>1827</v>
      </c>
      <c r="I23" s="434"/>
      <c r="J23" s="435" t="s">
        <v>1827</v>
      </c>
      <c r="K23" s="436"/>
      <c r="L23" s="437"/>
      <c r="M23" s="437"/>
      <c r="N23" s="437"/>
      <c r="O23" s="438"/>
      <c r="P23" s="439" t="s">
        <v>1827</v>
      </c>
    </row>
    <row r="24" spans="1:16" ht="15.75" thickBot="1">
      <c r="A24" s="434"/>
      <c r="B24" s="435" t="s">
        <v>1828</v>
      </c>
      <c r="C24" s="436"/>
      <c r="D24" s="437"/>
      <c r="E24" s="437"/>
      <c r="F24" s="437"/>
      <c r="G24" s="438"/>
      <c r="H24" s="439" t="s">
        <v>1828</v>
      </c>
      <c r="I24" s="434"/>
      <c r="J24" s="435" t="s">
        <v>1828</v>
      </c>
      <c r="K24" s="436"/>
      <c r="L24" s="437"/>
      <c r="M24" s="437"/>
      <c r="N24" s="437"/>
      <c r="O24" s="438"/>
      <c r="P24" s="439" t="s">
        <v>1828</v>
      </c>
    </row>
    <row r="25" spans="1:16" ht="15.75" thickBot="1">
      <c r="A25" s="434"/>
      <c r="B25" s="435" t="s">
        <v>1829</v>
      </c>
      <c r="C25" s="436"/>
      <c r="D25" s="437"/>
      <c r="E25" s="437"/>
      <c r="F25" s="437"/>
      <c r="G25" s="438"/>
      <c r="H25" s="439" t="s">
        <v>1829</v>
      </c>
      <c r="I25" s="434"/>
      <c r="J25" s="435" t="s">
        <v>1829</v>
      </c>
      <c r="K25" s="436"/>
      <c r="L25" s="437"/>
      <c r="M25" s="437"/>
      <c r="N25" s="437"/>
      <c r="O25" s="438"/>
      <c r="P25" s="439" t="s">
        <v>1829</v>
      </c>
    </row>
    <row r="26" spans="1:16" ht="15.75" thickBot="1">
      <c r="A26" s="434"/>
      <c r="B26" s="435" t="s">
        <v>1830</v>
      </c>
      <c r="C26" s="436"/>
      <c r="D26" s="437"/>
      <c r="E26" s="437"/>
      <c r="F26" s="437"/>
      <c r="G26" s="438"/>
      <c r="H26" s="439" t="s">
        <v>1830</v>
      </c>
      <c r="I26" s="434"/>
      <c r="J26" s="435" t="s">
        <v>1830</v>
      </c>
      <c r="K26" s="436"/>
      <c r="L26" s="437"/>
      <c r="M26" s="437"/>
      <c r="N26" s="437"/>
      <c r="O26" s="438"/>
      <c r="P26" s="439" t="s">
        <v>1830</v>
      </c>
    </row>
    <row r="27" spans="1:16" ht="15.75" thickBot="1">
      <c r="A27" s="434"/>
      <c r="B27" s="435" t="s">
        <v>1831</v>
      </c>
      <c r="C27" s="436"/>
      <c r="D27" s="437"/>
      <c r="E27" s="437"/>
      <c r="F27" s="437"/>
      <c r="G27" s="438"/>
      <c r="H27" s="439" t="s">
        <v>1831</v>
      </c>
      <c r="I27" s="434"/>
      <c r="J27" s="435" t="s">
        <v>1831</v>
      </c>
      <c r="K27" s="436"/>
      <c r="L27" s="437"/>
      <c r="M27" s="437"/>
      <c r="N27" s="437"/>
      <c r="O27" s="438"/>
      <c r="P27" s="439" t="s">
        <v>1831</v>
      </c>
    </row>
    <row r="28" spans="1:16" ht="15.75" thickBot="1">
      <c r="A28" s="434"/>
      <c r="B28" s="435" t="s">
        <v>1832</v>
      </c>
      <c r="C28" s="436"/>
      <c r="D28" s="437"/>
      <c r="E28" s="437"/>
      <c r="F28" s="437"/>
      <c r="G28" s="438"/>
      <c r="H28" s="439" t="s">
        <v>1832</v>
      </c>
      <c r="I28" s="434"/>
      <c r="J28" s="435" t="s">
        <v>1832</v>
      </c>
      <c r="K28" s="436"/>
      <c r="L28" s="437"/>
      <c r="M28" s="437"/>
      <c r="N28" s="437"/>
      <c r="O28" s="438"/>
      <c r="P28" s="439" t="s">
        <v>1832</v>
      </c>
    </row>
    <row r="29" spans="1:16" ht="15.75" thickBot="1">
      <c r="A29" s="434"/>
      <c r="B29" s="435" t="s">
        <v>1833</v>
      </c>
      <c r="C29" s="436"/>
      <c r="D29" s="437"/>
      <c r="E29" s="437"/>
      <c r="F29" s="437"/>
      <c r="G29" s="438"/>
      <c r="H29" s="439" t="s">
        <v>1833</v>
      </c>
      <c r="I29" s="434"/>
      <c r="J29" s="435" t="s">
        <v>1833</v>
      </c>
      <c r="K29" s="436"/>
      <c r="L29" s="437"/>
      <c r="M29" s="437"/>
      <c r="N29" s="437"/>
      <c r="O29" s="438"/>
      <c r="P29" s="439" t="s">
        <v>1833</v>
      </c>
    </row>
    <row r="30" spans="1:16" ht="26.25" thickBot="1">
      <c r="A30" s="440"/>
      <c r="B30" s="435" t="s">
        <v>1834</v>
      </c>
      <c r="C30" s="436"/>
      <c r="D30" s="437"/>
      <c r="E30" s="437"/>
      <c r="F30" s="437"/>
      <c r="G30" s="441"/>
      <c r="H30" s="439" t="s">
        <v>1835</v>
      </c>
      <c r="I30" s="440"/>
      <c r="J30" s="435" t="s">
        <v>1834</v>
      </c>
      <c r="K30" s="436"/>
      <c r="L30" s="437"/>
      <c r="M30" s="437"/>
      <c r="N30" s="437"/>
      <c r="O30" s="441"/>
      <c r="P30" s="439" t="s">
        <v>1835</v>
      </c>
    </row>
    <row r="31" spans="1:16" ht="15.75" thickBot="1">
      <c r="A31" s="442" t="s">
        <v>2144</v>
      </c>
      <c r="B31" s="435" t="s">
        <v>1822</v>
      </c>
      <c r="C31" s="436"/>
      <c r="D31" s="437"/>
      <c r="E31" s="437"/>
      <c r="F31" s="437"/>
      <c r="G31" s="443" t="s">
        <v>2144</v>
      </c>
      <c r="H31" s="439" t="s">
        <v>1822</v>
      </c>
      <c r="I31" s="442" t="s">
        <v>2144</v>
      </c>
      <c r="J31" s="435" t="s">
        <v>1822</v>
      </c>
      <c r="K31" s="436"/>
      <c r="L31" s="437"/>
      <c r="M31" s="437"/>
      <c r="N31" s="437"/>
      <c r="O31" s="443" t="s">
        <v>2144</v>
      </c>
      <c r="P31" s="439" t="s">
        <v>1822</v>
      </c>
    </row>
    <row r="32" spans="1:16" ht="15.75" thickBot="1">
      <c r="A32" s="434"/>
      <c r="B32" s="435" t="s">
        <v>1824</v>
      </c>
      <c r="C32" s="436"/>
      <c r="D32" s="437"/>
      <c r="E32" s="437"/>
      <c r="F32" s="437"/>
      <c r="G32" s="438"/>
      <c r="H32" s="439" t="s">
        <v>1824</v>
      </c>
      <c r="I32" s="434"/>
      <c r="J32" s="435" t="s">
        <v>1824</v>
      </c>
      <c r="K32" s="436"/>
      <c r="L32" s="437"/>
      <c r="M32" s="437"/>
      <c r="N32" s="437"/>
      <c r="O32" s="438"/>
      <c r="P32" s="439" t="s">
        <v>1824</v>
      </c>
    </row>
    <row r="33" spans="1:16" ht="15.75" thickBot="1">
      <c r="A33" s="434"/>
      <c r="B33" s="435" t="s">
        <v>1825</v>
      </c>
      <c r="C33" s="436"/>
      <c r="D33" s="437"/>
      <c r="E33" s="437"/>
      <c r="F33" s="437"/>
      <c r="G33" s="438"/>
      <c r="H33" s="439" t="s">
        <v>1825</v>
      </c>
      <c r="I33" s="434"/>
      <c r="J33" s="435" t="s">
        <v>1825</v>
      </c>
      <c r="K33" s="436"/>
      <c r="L33" s="437"/>
      <c r="M33" s="437"/>
      <c r="N33" s="437"/>
      <c r="O33" s="438"/>
      <c r="P33" s="439" t="s">
        <v>1825</v>
      </c>
    </row>
    <row r="34" spans="1:16" ht="15.75" thickBot="1">
      <c r="A34" s="434"/>
      <c r="B34" s="435" t="s">
        <v>1826</v>
      </c>
      <c r="C34" s="436"/>
      <c r="D34" s="437"/>
      <c r="E34" s="437"/>
      <c r="F34" s="437"/>
      <c r="G34" s="438"/>
      <c r="H34" s="439" t="s">
        <v>1826</v>
      </c>
      <c r="I34" s="434"/>
      <c r="J34" s="435" t="s">
        <v>1826</v>
      </c>
      <c r="K34" s="436"/>
      <c r="L34" s="437"/>
      <c r="M34" s="437"/>
      <c r="N34" s="437"/>
      <c r="O34" s="438"/>
      <c r="P34" s="439" t="s">
        <v>1826</v>
      </c>
    </row>
    <row r="35" spans="1:16" ht="15.75" thickBot="1">
      <c r="A35" s="434"/>
      <c r="B35" s="435" t="s">
        <v>1827</v>
      </c>
      <c r="C35" s="436"/>
      <c r="D35" s="437"/>
      <c r="E35" s="437"/>
      <c r="F35" s="437"/>
      <c r="G35" s="438"/>
      <c r="H35" s="439" t="s">
        <v>1827</v>
      </c>
      <c r="I35" s="434"/>
      <c r="J35" s="435" t="s">
        <v>1827</v>
      </c>
      <c r="K35" s="436"/>
      <c r="L35" s="437"/>
      <c r="M35" s="437"/>
      <c r="N35" s="437"/>
      <c r="O35" s="438"/>
      <c r="P35" s="439" t="s">
        <v>1827</v>
      </c>
    </row>
    <row r="36" spans="1:16" ht="15.75" thickBot="1">
      <c r="A36" s="434"/>
      <c r="B36" s="435" t="s">
        <v>1828</v>
      </c>
      <c r="C36" s="436"/>
      <c r="D36" s="437"/>
      <c r="E36" s="437"/>
      <c r="F36" s="437"/>
      <c r="G36" s="438"/>
      <c r="H36" s="439" t="s">
        <v>1828</v>
      </c>
      <c r="I36" s="434"/>
      <c r="J36" s="435" t="s">
        <v>1828</v>
      </c>
      <c r="K36" s="436"/>
      <c r="L36" s="437"/>
      <c r="M36" s="437"/>
      <c r="N36" s="437"/>
      <c r="O36" s="438"/>
      <c r="P36" s="439" t="s">
        <v>1828</v>
      </c>
    </row>
    <row r="37" spans="1:16" ht="15.75" thickBot="1">
      <c r="A37" s="434"/>
      <c r="B37" s="435" t="s">
        <v>1829</v>
      </c>
      <c r="C37" s="436"/>
      <c r="D37" s="437"/>
      <c r="E37" s="437"/>
      <c r="F37" s="437"/>
      <c r="G37" s="438"/>
      <c r="H37" s="439" t="s">
        <v>1829</v>
      </c>
      <c r="I37" s="434"/>
      <c r="J37" s="435" t="s">
        <v>1829</v>
      </c>
      <c r="K37" s="436"/>
      <c r="L37" s="437"/>
      <c r="M37" s="437"/>
      <c r="N37" s="437"/>
      <c r="O37" s="438"/>
      <c r="P37" s="439" t="s">
        <v>1829</v>
      </c>
    </row>
    <row r="38" spans="1:16" ht="15.75" thickBot="1">
      <c r="A38" s="434"/>
      <c r="B38" s="435" t="s">
        <v>1830</v>
      </c>
      <c r="C38" s="436"/>
      <c r="D38" s="437"/>
      <c r="E38" s="437"/>
      <c r="F38" s="437"/>
      <c r="G38" s="438"/>
      <c r="H38" s="439" t="s">
        <v>1830</v>
      </c>
      <c r="I38" s="434"/>
      <c r="J38" s="435" t="s">
        <v>1830</v>
      </c>
      <c r="K38" s="436"/>
      <c r="L38" s="437"/>
      <c r="M38" s="437"/>
      <c r="N38" s="437"/>
      <c r="O38" s="438"/>
      <c r="P38" s="439" t="s">
        <v>1830</v>
      </c>
    </row>
    <row r="39" spans="1:16" ht="15.75" thickBot="1">
      <c r="A39" s="434"/>
      <c r="B39" s="435" t="s">
        <v>1831</v>
      </c>
      <c r="C39" s="436"/>
      <c r="D39" s="437"/>
      <c r="E39" s="437"/>
      <c r="F39" s="437"/>
      <c r="G39" s="438"/>
      <c r="H39" s="439" t="s">
        <v>1831</v>
      </c>
      <c r="I39" s="434"/>
      <c r="J39" s="435" t="s">
        <v>1831</v>
      </c>
      <c r="K39" s="436"/>
      <c r="L39" s="437"/>
      <c r="M39" s="437"/>
      <c r="N39" s="437"/>
      <c r="O39" s="438"/>
      <c r="P39" s="439" t="s">
        <v>1831</v>
      </c>
    </row>
    <row r="40" spans="1:16" ht="15.75" thickBot="1">
      <c r="A40" s="434"/>
      <c r="B40" s="435" t="s">
        <v>1832</v>
      </c>
      <c r="C40" s="436"/>
      <c r="D40" s="437"/>
      <c r="E40" s="437"/>
      <c r="F40" s="437"/>
      <c r="G40" s="438"/>
      <c r="H40" s="439" t="s">
        <v>1832</v>
      </c>
      <c r="I40" s="434"/>
      <c r="J40" s="435" t="s">
        <v>1832</v>
      </c>
      <c r="K40" s="436"/>
      <c r="L40" s="437"/>
      <c r="M40" s="437"/>
      <c r="N40" s="437"/>
      <c r="O40" s="438"/>
      <c r="P40" s="439" t="s">
        <v>1832</v>
      </c>
    </row>
    <row r="41" spans="1:16" ht="15.75" thickBot="1">
      <c r="A41" s="434"/>
      <c r="B41" s="435" t="s">
        <v>1833</v>
      </c>
      <c r="C41" s="436"/>
      <c r="D41" s="437"/>
      <c r="E41" s="437"/>
      <c r="F41" s="437"/>
      <c r="G41" s="438"/>
      <c r="H41" s="439" t="s">
        <v>1833</v>
      </c>
      <c r="I41" s="434"/>
      <c r="J41" s="435" t="s">
        <v>1833</v>
      </c>
      <c r="K41" s="436"/>
      <c r="L41" s="437"/>
      <c r="M41" s="437"/>
      <c r="N41" s="437"/>
      <c r="O41" s="438"/>
      <c r="P41" s="439" t="s">
        <v>1833</v>
      </c>
    </row>
    <row r="42" spans="1:16" ht="26.25" thickBot="1">
      <c r="A42" s="440"/>
      <c r="B42" s="435" t="s">
        <v>1834</v>
      </c>
      <c r="C42" s="436"/>
      <c r="D42" s="437"/>
      <c r="E42" s="437"/>
      <c r="F42" s="437"/>
      <c r="G42" s="441"/>
      <c r="H42" s="439" t="s">
        <v>1835</v>
      </c>
      <c r="I42" s="440"/>
      <c r="J42" s="435" t="s">
        <v>1834</v>
      </c>
      <c r="K42" s="436"/>
      <c r="L42" s="437"/>
      <c r="M42" s="437"/>
      <c r="N42" s="437"/>
      <c r="O42" s="441"/>
      <c r="P42" s="439" t="s">
        <v>1835</v>
      </c>
    </row>
    <row r="43" spans="1:16" ht="15.75" thickBot="1">
      <c r="A43" s="442" t="s">
        <v>2145</v>
      </c>
      <c r="B43" s="435" t="s">
        <v>1822</v>
      </c>
      <c r="C43" s="436"/>
      <c r="D43" s="437"/>
      <c r="E43" s="437"/>
      <c r="F43" s="437"/>
      <c r="G43" s="443" t="s">
        <v>2145</v>
      </c>
      <c r="H43" s="439" t="s">
        <v>1822</v>
      </c>
      <c r="I43" s="442" t="s">
        <v>2145</v>
      </c>
      <c r="J43" s="435" t="s">
        <v>1822</v>
      </c>
      <c r="K43" s="436"/>
      <c r="L43" s="437"/>
      <c r="M43" s="437"/>
      <c r="N43" s="437"/>
      <c r="O43" s="443" t="s">
        <v>2145</v>
      </c>
      <c r="P43" s="439" t="s">
        <v>1822</v>
      </c>
    </row>
    <row r="44" spans="1:16" ht="15.75" thickBot="1">
      <c r="A44" s="434"/>
      <c r="B44" s="435" t="s">
        <v>1824</v>
      </c>
      <c r="C44" s="436"/>
      <c r="D44" s="437"/>
      <c r="E44" s="437"/>
      <c r="F44" s="437"/>
      <c r="G44" s="438"/>
      <c r="H44" s="439" t="s">
        <v>1824</v>
      </c>
      <c r="I44" s="434"/>
      <c r="J44" s="435" t="s">
        <v>1824</v>
      </c>
      <c r="K44" s="436"/>
      <c r="L44" s="437"/>
      <c r="M44" s="437"/>
      <c r="N44" s="437"/>
      <c r="O44" s="438"/>
      <c r="P44" s="439" t="s">
        <v>1824</v>
      </c>
    </row>
    <row r="45" spans="1:16" ht="15.75" thickBot="1">
      <c r="A45" s="434"/>
      <c r="B45" s="435" t="s">
        <v>1825</v>
      </c>
      <c r="C45" s="436"/>
      <c r="D45" s="437"/>
      <c r="E45" s="437"/>
      <c r="F45" s="437"/>
      <c r="G45" s="438"/>
      <c r="H45" s="439" t="s">
        <v>1825</v>
      </c>
      <c r="I45" s="434"/>
      <c r="J45" s="435" t="s">
        <v>1825</v>
      </c>
      <c r="K45" s="436"/>
      <c r="L45" s="437"/>
      <c r="M45" s="437"/>
      <c r="N45" s="437"/>
      <c r="O45" s="438"/>
      <c r="P45" s="439" t="s">
        <v>1825</v>
      </c>
    </row>
    <row r="46" spans="1:16" ht="15.75" thickBot="1">
      <c r="A46" s="434"/>
      <c r="B46" s="435" t="s">
        <v>1826</v>
      </c>
      <c r="C46" s="436"/>
      <c r="D46" s="437"/>
      <c r="E46" s="437"/>
      <c r="F46" s="437"/>
      <c r="G46" s="438"/>
      <c r="H46" s="439" t="s">
        <v>1826</v>
      </c>
      <c r="I46" s="434"/>
      <c r="J46" s="435" t="s">
        <v>1826</v>
      </c>
      <c r="K46" s="436"/>
      <c r="L46" s="437"/>
      <c r="M46" s="437"/>
      <c r="N46" s="437"/>
      <c r="O46" s="438"/>
      <c r="P46" s="439" t="s">
        <v>1826</v>
      </c>
    </row>
    <row r="47" spans="1:16" ht="15.75" thickBot="1">
      <c r="A47" s="434"/>
      <c r="B47" s="435" t="s">
        <v>1827</v>
      </c>
      <c r="C47" s="436"/>
      <c r="D47" s="437"/>
      <c r="E47" s="437"/>
      <c r="F47" s="437"/>
      <c r="G47" s="438"/>
      <c r="H47" s="439" t="s">
        <v>1827</v>
      </c>
      <c r="I47" s="434"/>
      <c r="J47" s="435" t="s">
        <v>1827</v>
      </c>
      <c r="K47" s="436"/>
      <c r="L47" s="437"/>
      <c r="M47" s="437"/>
      <c r="N47" s="437"/>
      <c r="O47" s="438"/>
      <c r="P47" s="439" t="s">
        <v>1827</v>
      </c>
    </row>
    <row r="48" spans="1:16" ht="15.75" thickBot="1">
      <c r="A48" s="434"/>
      <c r="B48" s="435" t="s">
        <v>1828</v>
      </c>
      <c r="C48" s="436"/>
      <c r="D48" s="437"/>
      <c r="E48" s="437"/>
      <c r="F48" s="437"/>
      <c r="G48" s="438"/>
      <c r="H48" s="439" t="s">
        <v>1828</v>
      </c>
      <c r="I48" s="434"/>
      <c r="J48" s="435" t="s">
        <v>1828</v>
      </c>
      <c r="K48" s="436"/>
      <c r="L48" s="437"/>
      <c r="M48" s="437"/>
      <c r="N48" s="437"/>
      <c r="O48" s="438"/>
      <c r="P48" s="439" t="s">
        <v>1828</v>
      </c>
    </row>
    <row r="49" spans="1:16" ht="15.75" thickBot="1">
      <c r="A49" s="434"/>
      <c r="B49" s="435" t="s">
        <v>1829</v>
      </c>
      <c r="C49" s="436"/>
      <c r="D49" s="437"/>
      <c r="E49" s="437"/>
      <c r="F49" s="437"/>
      <c r="G49" s="438"/>
      <c r="H49" s="439" t="s">
        <v>1829</v>
      </c>
      <c r="I49" s="434"/>
      <c r="J49" s="435" t="s">
        <v>1829</v>
      </c>
      <c r="K49" s="436"/>
      <c r="L49" s="437"/>
      <c r="M49" s="437"/>
      <c r="N49" s="437"/>
      <c r="O49" s="438"/>
      <c r="P49" s="439" t="s">
        <v>1829</v>
      </c>
    </row>
    <row r="50" spans="1:16" ht="15.75" thickBot="1">
      <c r="A50" s="434"/>
      <c r="B50" s="435" t="s">
        <v>1830</v>
      </c>
      <c r="C50" s="436"/>
      <c r="D50" s="437"/>
      <c r="E50" s="437"/>
      <c r="F50" s="437"/>
      <c r="G50" s="438"/>
      <c r="H50" s="439" t="s">
        <v>1830</v>
      </c>
      <c r="I50" s="434"/>
      <c r="J50" s="435" t="s">
        <v>1830</v>
      </c>
      <c r="K50" s="436"/>
      <c r="L50" s="437"/>
      <c r="M50" s="437"/>
      <c r="N50" s="437"/>
      <c r="O50" s="438"/>
      <c r="P50" s="439" t="s">
        <v>1830</v>
      </c>
    </row>
    <row r="51" spans="1:16" ht="15.75" thickBot="1">
      <c r="A51" s="434"/>
      <c r="B51" s="435" t="s">
        <v>1831</v>
      </c>
      <c r="C51" s="436"/>
      <c r="D51" s="437"/>
      <c r="E51" s="437"/>
      <c r="F51" s="437"/>
      <c r="G51" s="438"/>
      <c r="H51" s="439" t="s">
        <v>1831</v>
      </c>
      <c r="I51" s="434"/>
      <c r="J51" s="435" t="s">
        <v>1831</v>
      </c>
      <c r="K51" s="436"/>
      <c r="L51" s="437"/>
      <c r="M51" s="437"/>
      <c r="N51" s="437"/>
      <c r="O51" s="438"/>
      <c r="P51" s="439" t="s">
        <v>1831</v>
      </c>
    </row>
    <row r="52" spans="1:16" ht="15.75" thickBot="1">
      <c r="A52" s="434"/>
      <c r="B52" s="435" t="s">
        <v>1832</v>
      </c>
      <c r="C52" s="436"/>
      <c r="D52" s="437"/>
      <c r="E52" s="437"/>
      <c r="F52" s="437"/>
      <c r="G52" s="438"/>
      <c r="H52" s="439" t="s">
        <v>1832</v>
      </c>
      <c r="I52" s="434"/>
      <c r="J52" s="435" t="s">
        <v>1832</v>
      </c>
      <c r="K52" s="436"/>
      <c r="L52" s="437"/>
      <c r="M52" s="437"/>
      <c r="N52" s="437"/>
      <c r="O52" s="438"/>
      <c r="P52" s="439" t="s">
        <v>1832</v>
      </c>
    </row>
    <row r="53" spans="1:16" ht="15.75" thickBot="1">
      <c r="A53" s="434"/>
      <c r="B53" s="435" t="s">
        <v>1833</v>
      </c>
      <c r="C53" s="436"/>
      <c r="D53" s="437"/>
      <c r="E53" s="437"/>
      <c r="F53" s="437"/>
      <c r="G53" s="438"/>
      <c r="H53" s="439" t="s">
        <v>1833</v>
      </c>
      <c r="I53" s="434"/>
      <c r="J53" s="435" t="s">
        <v>1833</v>
      </c>
      <c r="K53" s="436"/>
      <c r="L53" s="437"/>
      <c r="M53" s="437"/>
      <c r="N53" s="437"/>
      <c r="O53" s="438"/>
      <c r="P53" s="439" t="s">
        <v>1833</v>
      </c>
    </row>
    <row r="54" spans="1:16" ht="26.25" thickBot="1">
      <c r="A54" s="440"/>
      <c r="B54" s="435" t="s">
        <v>1834</v>
      </c>
      <c r="C54" s="436"/>
      <c r="D54" s="437"/>
      <c r="E54" s="437"/>
      <c r="F54" s="437"/>
      <c r="G54" s="441"/>
      <c r="H54" s="439" t="s">
        <v>1835</v>
      </c>
      <c r="I54" s="440"/>
      <c r="J54" s="435" t="s">
        <v>1834</v>
      </c>
      <c r="K54" s="436"/>
      <c r="L54" s="437"/>
      <c r="M54" s="437"/>
      <c r="N54" s="437"/>
      <c r="O54" s="441"/>
      <c r="P54" s="439" t="s">
        <v>1835</v>
      </c>
    </row>
    <row r="55" spans="1:16" ht="15.75" thickBot="1">
      <c r="A55" s="442" t="s">
        <v>2146</v>
      </c>
      <c r="B55" s="435" t="s">
        <v>1822</v>
      </c>
      <c r="C55" s="436"/>
      <c r="D55" s="437"/>
      <c r="E55" s="437"/>
      <c r="F55" s="437"/>
      <c r="G55" s="443" t="s">
        <v>2146</v>
      </c>
      <c r="H55" s="439" t="s">
        <v>1822</v>
      </c>
      <c r="I55" s="442" t="s">
        <v>2146</v>
      </c>
      <c r="J55" s="435" t="s">
        <v>1822</v>
      </c>
      <c r="K55" s="436"/>
      <c r="L55" s="437"/>
      <c r="M55" s="437"/>
      <c r="N55" s="437"/>
      <c r="O55" s="443" t="s">
        <v>2146</v>
      </c>
      <c r="P55" s="439" t="s">
        <v>1822</v>
      </c>
    </row>
    <row r="56" spans="1:16" ht="15.75" thickBot="1">
      <c r="A56" s="434"/>
      <c r="B56" s="435" t="s">
        <v>1824</v>
      </c>
      <c r="C56" s="436"/>
      <c r="D56" s="437"/>
      <c r="E56" s="437"/>
      <c r="F56" s="437"/>
      <c r="G56" s="438"/>
      <c r="H56" s="439" t="s">
        <v>1824</v>
      </c>
      <c r="I56" s="434"/>
      <c r="J56" s="435" t="s">
        <v>1824</v>
      </c>
      <c r="K56" s="436"/>
      <c r="L56" s="437"/>
      <c r="M56" s="437"/>
      <c r="N56" s="437"/>
      <c r="O56" s="438"/>
      <c r="P56" s="439" t="s">
        <v>1824</v>
      </c>
    </row>
    <row r="57" spans="1:16" ht="15.75" thickBot="1">
      <c r="A57" s="434"/>
      <c r="B57" s="435" t="s">
        <v>1825</v>
      </c>
      <c r="C57" s="436"/>
      <c r="D57" s="437"/>
      <c r="E57" s="437"/>
      <c r="F57" s="437"/>
      <c r="G57" s="438"/>
      <c r="H57" s="439" t="s">
        <v>1825</v>
      </c>
      <c r="I57" s="434"/>
      <c r="J57" s="435" t="s">
        <v>1825</v>
      </c>
      <c r="K57" s="436"/>
      <c r="L57" s="437"/>
      <c r="M57" s="437"/>
      <c r="N57" s="437"/>
      <c r="O57" s="438"/>
      <c r="P57" s="439" t="s">
        <v>1825</v>
      </c>
    </row>
    <row r="58" spans="1:16" ht="15.75" thickBot="1">
      <c r="A58" s="434"/>
      <c r="B58" s="435" t="s">
        <v>1826</v>
      </c>
      <c r="C58" s="436"/>
      <c r="D58" s="437"/>
      <c r="E58" s="437"/>
      <c r="F58" s="437"/>
      <c r="G58" s="438"/>
      <c r="H58" s="439" t="s">
        <v>1826</v>
      </c>
      <c r="I58" s="434"/>
      <c r="J58" s="435" t="s">
        <v>1826</v>
      </c>
      <c r="K58" s="436"/>
      <c r="L58" s="437"/>
      <c r="M58" s="437"/>
      <c r="N58" s="437"/>
      <c r="O58" s="438"/>
      <c r="P58" s="439" t="s">
        <v>1826</v>
      </c>
    </row>
    <row r="59" spans="1:16" ht="15.75" thickBot="1">
      <c r="A59" s="434"/>
      <c r="B59" s="435" t="s">
        <v>1827</v>
      </c>
      <c r="C59" s="436"/>
      <c r="D59" s="437"/>
      <c r="E59" s="437"/>
      <c r="F59" s="437"/>
      <c r="G59" s="438"/>
      <c r="H59" s="439" t="s">
        <v>1827</v>
      </c>
      <c r="I59" s="434"/>
      <c r="J59" s="435" t="s">
        <v>1827</v>
      </c>
      <c r="K59" s="436"/>
      <c r="L59" s="437"/>
      <c r="M59" s="437"/>
      <c r="N59" s="437"/>
      <c r="O59" s="438"/>
      <c r="P59" s="439" t="s">
        <v>1827</v>
      </c>
    </row>
    <row r="60" spans="1:16" ht="15.75" thickBot="1">
      <c r="A60" s="434"/>
      <c r="B60" s="435" t="s">
        <v>1828</v>
      </c>
      <c r="C60" s="436"/>
      <c r="D60" s="437"/>
      <c r="E60" s="437"/>
      <c r="F60" s="437"/>
      <c r="G60" s="438"/>
      <c r="H60" s="439" t="s">
        <v>1828</v>
      </c>
      <c r="I60" s="434"/>
      <c r="J60" s="435" t="s">
        <v>1828</v>
      </c>
      <c r="K60" s="436"/>
      <c r="L60" s="437"/>
      <c r="M60" s="437"/>
      <c r="N60" s="437"/>
      <c r="O60" s="438"/>
      <c r="P60" s="439" t="s">
        <v>1828</v>
      </c>
    </row>
    <row r="61" spans="1:16" ht="15.75" thickBot="1">
      <c r="A61" s="434"/>
      <c r="B61" s="435" t="s">
        <v>1829</v>
      </c>
      <c r="C61" s="436"/>
      <c r="D61" s="437"/>
      <c r="E61" s="437"/>
      <c r="F61" s="437"/>
      <c r="G61" s="438"/>
      <c r="H61" s="439" t="s">
        <v>1829</v>
      </c>
      <c r="I61" s="434"/>
      <c r="J61" s="435" t="s">
        <v>1829</v>
      </c>
      <c r="K61" s="436"/>
      <c r="L61" s="437"/>
      <c r="M61" s="437"/>
      <c r="N61" s="437"/>
      <c r="O61" s="438"/>
      <c r="P61" s="439" t="s">
        <v>1829</v>
      </c>
    </row>
    <row r="62" spans="1:16" ht="15.75" thickBot="1">
      <c r="A62" s="434"/>
      <c r="B62" s="435" t="s">
        <v>1830</v>
      </c>
      <c r="C62" s="436"/>
      <c r="D62" s="437"/>
      <c r="E62" s="437"/>
      <c r="F62" s="437"/>
      <c r="G62" s="438"/>
      <c r="H62" s="439" t="s">
        <v>1830</v>
      </c>
      <c r="I62" s="434"/>
      <c r="J62" s="435" t="s">
        <v>1830</v>
      </c>
      <c r="K62" s="436"/>
      <c r="L62" s="437"/>
      <c r="M62" s="437"/>
      <c r="N62" s="437"/>
      <c r="O62" s="438"/>
      <c r="P62" s="439" t="s">
        <v>1830</v>
      </c>
    </row>
    <row r="63" spans="1:16" ht="15.75" thickBot="1">
      <c r="A63" s="434"/>
      <c r="B63" s="435" t="s">
        <v>1831</v>
      </c>
      <c r="C63" s="436"/>
      <c r="D63" s="437"/>
      <c r="E63" s="437"/>
      <c r="F63" s="437"/>
      <c r="G63" s="438"/>
      <c r="H63" s="439" t="s">
        <v>1831</v>
      </c>
      <c r="I63" s="434"/>
      <c r="J63" s="435" t="s">
        <v>1831</v>
      </c>
      <c r="K63" s="436"/>
      <c r="L63" s="437"/>
      <c r="M63" s="437"/>
      <c r="N63" s="437"/>
      <c r="O63" s="438"/>
      <c r="P63" s="439" t="s">
        <v>1831</v>
      </c>
    </row>
    <row r="64" spans="1:16" ht="15.75" thickBot="1">
      <c r="A64" s="434"/>
      <c r="B64" s="435" t="s">
        <v>1832</v>
      </c>
      <c r="C64" s="436"/>
      <c r="D64" s="437"/>
      <c r="E64" s="437"/>
      <c r="F64" s="437"/>
      <c r="G64" s="438"/>
      <c r="H64" s="439" t="s">
        <v>1832</v>
      </c>
      <c r="I64" s="434"/>
      <c r="J64" s="435" t="s">
        <v>1832</v>
      </c>
      <c r="K64" s="436"/>
      <c r="L64" s="437"/>
      <c r="M64" s="437"/>
      <c r="N64" s="437"/>
      <c r="O64" s="438"/>
      <c r="P64" s="439" t="s">
        <v>1832</v>
      </c>
    </row>
    <row r="65" spans="1:16" ht="15.75" thickBot="1">
      <c r="A65" s="434"/>
      <c r="B65" s="435" t="s">
        <v>1833</v>
      </c>
      <c r="C65" s="436"/>
      <c r="D65" s="437"/>
      <c r="E65" s="437"/>
      <c r="F65" s="437"/>
      <c r="G65" s="438"/>
      <c r="H65" s="439" t="s">
        <v>1833</v>
      </c>
      <c r="I65" s="434"/>
      <c r="J65" s="435" t="s">
        <v>1833</v>
      </c>
      <c r="K65" s="436"/>
      <c r="L65" s="437"/>
      <c r="M65" s="437"/>
      <c r="N65" s="437"/>
      <c r="O65" s="438"/>
      <c r="P65" s="439" t="s">
        <v>1833</v>
      </c>
    </row>
    <row r="66" spans="1:16" ht="26.25" thickBot="1">
      <c r="A66" s="440"/>
      <c r="B66" s="435" t="s">
        <v>1834</v>
      </c>
      <c r="C66" s="436"/>
      <c r="D66" s="437"/>
      <c r="E66" s="437"/>
      <c r="F66" s="437"/>
      <c r="G66" s="441"/>
      <c r="H66" s="439" t="s">
        <v>1835</v>
      </c>
      <c r="I66" s="440"/>
      <c r="J66" s="435" t="s">
        <v>1834</v>
      </c>
      <c r="K66" s="436"/>
      <c r="L66" s="437"/>
      <c r="M66" s="437"/>
      <c r="N66" s="437"/>
      <c r="O66" s="441"/>
      <c r="P66" s="439" t="s">
        <v>1835</v>
      </c>
    </row>
    <row r="67" spans="1:16" ht="15.75" thickBot="1">
      <c r="A67" s="442" t="s">
        <v>2147</v>
      </c>
      <c r="B67" s="435" t="s">
        <v>1822</v>
      </c>
      <c r="C67" s="436"/>
      <c r="D67" s="437"/>
      <c r="E67" s="437"/>
      <c r="F67" s="437"/>
      <c r="G67" s="443" t="s">
        <v>2147</v>
      </c>
      <c r="H67" s="439" t="s">
        <v>1822</v>
      </c>
      <c r="I67" s="442" t="s">
        <v>2147</v>
      </c>
      <c r="J67" s="435" t="s">
        <v>1822</v>
      </c>
      <c r="K67" s="436"/>
      <c r="L67" s="437"/>
      <c r="M67" s="437"/>
      <c r="N67" s="437"/>
      <c r="O67" s="443" t="s">
        <v>2147</v>
      </c>
      <c r="P67" s="439" t="s">
        <v>1822</v>
      </c>
    </row>
    <row r="68" spans="1:16" ht="15.75" thickBot="1">
      <c r="A68" s="434"/>
      <c r="B68" s="435" t="s">
        <v>1824</v>
      </c>
      <c r="C68" s="436"/>
      <c r="D68" s="437"/>
      <c r="E68" s="437"/>
      <c r="F68" s="437"/>
      <c r="G68" s="438"/>
      <c r="H68" s="439" t="s">
        <v>1824</v>
      </c>
      <c r="I68" s="434"/>
      <c r="J68" s="435" t="s">
        <v>1824</v>
      </c>
      <c r="K68" s="436"/>
      <c r="L68" s="437"/>
      <c r="M68" s="437"/>
      <c r="N68" s="437"/>
      <c r="O68" s="438"/>
      <c r="P68" s="439" t="s">
        <v>1824</v>
      </c>
    </row>
    <row r="69" spans="1:16" ht="15.75" thickBot="1">
      <c r="A69" s="434"/>
      <c r="B69" s="435" t="s">
        <v>1825</v>
      </c>
      <c r="C69" s="436"/>
      <c r="D69" s="437"/>
      <c r="E69" s="437"/>
      <c r="F69" s="437"/>
      <c r="G69" s="438"/>
      <c r="H69" s="439" t="s">
        <v>1825</v>
      </c>
      <c r="I69" s="434"/>
      <c r="J69" s="435" t="s">
        <v>1825</v>
      </c>
      <c r="K69" s="436"/>
      <c r="L69" s="437"/>
      <c r="M69" s="437"/>
      <c r="N69" s="437"/>
      <c r="O69" s="438"/>
      <c r="P69" s="439" t="s">
        <v>1825</v>
      </c>
    </row>
    <row r="70" spans="1:16" ht="15.75" thickBot="1">
      <c r="A70" s="434"/>
      <c r="B70" s="435" t="s">
        <v>1826</v>
      </c>
      <c r="C70" s="436"/>
      <c r="D70" s="437"/>
      <c r="E70" s="437"/>
      <c r="F70" s="437"/>
      <c r="G70" s="438"/>
      <c r="H70" s="439" t="s">
        <v>1826</v>
      </c>
      <c r="I70" s="434"/>
      <c r="J70" s="435" t="s">
        <v>1826</v>
      </c>
      <c r="K70" s="436"/>
      <c r="L70" s="437"/>
      <c r="M70" s="437"/>
      <c r="N70" s="437"/>
      <c r="O70" s="438"/>
      <c r="P70" s="439" t="s">
        <v>1826</v>
      </c>
    </row>
    <row r="71" spans="1:16" ht="15.75" thickBot="1">
      <c r="A71" s="434"/>
      <c r="B71" s="435" t="s">
        <v>1827</v>
      </c>
      <c r="C71" s="436"/>
      <c r="D71" s="437"/>
      <c r="E71" s="437"/>
      <c r="F71" s="437"/>
      <c r="G71" s="438"/>
      <c r="H71" s="439" t="s">
        <v>1827</v>
      </c>
      <c r="I71" s="434"/>
      <c r="J71" s="435" t="s">
        <v>1827</v>
      </c>
      <c r="K71" s="436"/>
      <c r="L71" s="437"/>
      <c r="M71" s="437"/>
      <c r="N71" s="437"/>
      <c r="O71" s="438"/>
      <c r="P71" s="439" t="s">
        <v>1827</v>
      </c>
    </row>
    <row r="72" spans="1:16" ht="15.75" thickBot="1">
      <c r="A72" s="434"/>
      <c r="B72" s="435" t="s">
        <v>1828</v>
      </c>
      <c r="C72" s="436"/>
      <c r="D72" s="437"/>
      <c r="E72" s="437"/>
      <c r="F72" s="437"/>
      <c r="G72" s="438"/>
      <c r="H72" s="439" t="s">
        <v>1828</v>
      </c>
      <c r="I72" s="434"/>
      <c r="J72" s="435" t="s">
        <v>1828</v>
      </c>
      <c r="K72" s="436"/>
      <c r="L72" s="437"/>
      <c r="M72" s="437"/>
      <c r="N72" s="437"/>
      <c r="O72" s="438"/>
      <c r="P72" s="439" t="s">
        <v>1828</v>
      </c>
    </row>
    <row r="73" spans="1:16" ht="15.75" thickBot="1">
      <c r="A73" s="434"/>
      <c r="B73" s="435" t="s">
        <v>1829</v>
      </c>
      <c r="C73" s="436"/>
      <c r="D73" s="437"/>
      <c r="E73" s="437"/>
      <c r="F73" s="437"/>
      <c r="G73" s="438"/>
      <c r="H73" s="439" t="s">
        <v>1829</v>
      </c>
      <c r="I73" s="434"/>
      <c r="J73" s="435" t="s">
        <v>1829</v>
      </c>
      <c r="K73" s="436"/>
      <c r="L73" s="437"/>
      <c r="M73" s="437"/>
      <c r="N73" s="437"/>
      <c r="O73" s="438"/>
      <c r="P73" s="439" t="s">
        <v>1829</v>
      </c>
    </row>
    <row r="74" spans="1:16" ht="15.75" thickBot="1">
      <c r="A74" s="434"/>
      <c r="B74" s="435" t="s">
        <v>1830</v>
      </c>
      <c r="C74" s="436"/>
      <c r="D74" s="437"/>
      <c r="E74" s="437"/>
      <c r="F74" s="437"/>
      <c r="G74" s="438"/>
      <c r="H74" s="439" t="s">
        <v>1830</v>
      </c>
      <c r="I74" s="434"/>
      <c r="J74" s="435" t="s">
        <v>1830</v>
      </c>
      <c r="K74" s="436"/>
      <c r="L74" s="437"/>
      <c r="M74" s="437"/>
      <c r="N74" s="437"/>
      <c r="O74" s="438"/>
      <c r="P74" s="439" t="s">
        <v>1830</v>
      </c>
    </row>
    <row r="75" spans="1:16" ht="15.75" thickBot="1">
      <c r="A75" s="434"/>
      <c r="B75" s="435" t="s">
        <v>1831</v>
      </c>
      <c r="C75" s="436"/>
      <c r="D75" s="437"/>
      <c r="E75" s="437"/>
      <c r="F75" s="437"/>
      <c r="G75" s="438"/>
      <c r="H75" s="439" t="s">
        <v>1831</v>
      </c>
      <c r="I75" s="434"/>
      <c r="J75" s="435" t="s">
        <v>1831</v>
      </c>
      <c r="K75" s="436"/>
      <c r="L75" s="437"/>
      <c r="M75" s="437"/>
      <c r="N75" s="437"/>
      <c r="O75" s="438"/>
      <c r="P75" s="439" t="s">
        <v>1831</v>
      </c>
    </row>
    <row r="76" spans="1:16" ht="15.75" thickBot="1">
      <c r="A76" s="434"/>
      <c r="B76" s="435" t="s">
        <v>1832</v>
      </c>
      <c r="C76" s="436"/>
      <c r="D76" s="437"/>
      <c r="E76" s="437"/>
      <c r="F76" s="437"/>
      <c r="G76" s="438"/>
      <c r="H76" s="439" t="s">
        <v>1832</v>
      </c>
      <c r="I76" s="434"/>
      <c r="J76" s="435" t="s">
        <v>1832</v>
      </c>
      <c r="K76" s="436"/>
      <c r="L76" s="437"/>
      <c r="M76" s="437"/>
      <c r="N76" s="437"/>
      <c r="O76" s="438"/>
      <c r="P76" s="439" t="s">
        <v>1832</v>
      </c>
    </row>
    <row r="77" spans="1:16" ht="15.75" thickBot="1">
      <c r="A77" s="434"/>
      <c r="B77" s="435" t="s">
        <v>1833</v>
      </c>
      <c r="C77" s="436"/>
      <c r="D77" s="437"/>
      <c r="E77" s="437"/>
      <c r="F77" s="437"/>
      <c r="G77" s="438"/>
      <c r="H77" s="439" t="s">
        <v>1833</v>
      </c>
      <c r="I77" s="434"/>
      <c r="J77" s="435" t="s">
        <v>1833</v>
      </c>
      <c r="K77" s="436"/>
      <c r="L77" s="437"/>
      <c r="M77" s="437"/>
      <c r="N77" s="437"/>
      <c r="O77" s="438"/>
      <c r="P77" s="439" t="s">
        <v>1833</v>
      </c>
    </row>
    <row r="78" spans="1:16" ht="26.25" thickBot="1">
      <c r="A78" s="440"/>
      <c r="B78" s="435" t="s">
        <v>1834</v>
      </c>
      <c r="C78" s="436"/>
      <c r="D78" s="437"/>
      <c r="E78" s="437"/>
      <c r="F78" s="437"/>
      <c r="G78" s="441"/>
      <c r="H78" s="439" t="s">
        <v>1835</v>
      </c>
      <c r="I78" s="440"/>
      <c r="J78" s="435" t="s">
        <v>1834</v>
      </c>
      <c r="K78" s="436"/>
      <c r="L78" s="437"/>
      <c r="M78" s="437"/>
      <c r="N78" s="437"/>
      <c r="O78" s="441"/>
      <c r="P78" s="439" t="s">
        <v>1835</v>
      </c>
    </row>
    <row r="79" spans="1:16" ht="15.75" thickBot="1">
      <c r="A79" s="442" t="s">
        <v>2148</v>
      </c>
      <c r="B79" s="435" t="s">
        <v>1822</v>
      </c>
      <c r="C79" s="436"/>
      <c r="D79" s="437"/>
      <c r="E79" s="437"/>
      <c r="F79" s="437"/>
      <c r="G79" s="443" t="s">
        <v>2148</v>
      </c>
      <c r="H79" s="439" t="s">
        <v>1822</v>
      </c>
      <c r="I79" s="442" t="s">
        <v>2148</v>
      </c>
      <c r="J79" s="435" t="s">
        <v>1822</v>
      </c>
      <c r="K79" s="436"/>
      <c r="L79" s="437"/>
      <c r="M79" s="437"/>
      <c r="N79" s="437"/>
      <c r="O79" s="443" t="s">
        <v>2148</v>
      </c>
      <c r="P79" s="439" t="s">
        <v>1822</v>
      </c>
    </row>
    <row r="80" spans="1:16" ht="15.75" thickBot="1">
      <c r="A80" s="434"/>
      <c r="B80" s="435" t="s">
        <v>1824</v>
      </c>
      <c r="C80" s="436"/>
      <c r="D80" s="437"/>
      <c r="E80" s="437"/>
      <c r="F80" s="437"/>
      <c r="G80" s="438"/>
      <c r="H80" s="439" t="s">
        <v>1824</v>
      </c>
      <c r="I80" s="434"/>
      <c r="J80" s="435" t="s">
        <v>1824</v>
      </c>
      <c r="K80" s="436"/>
      <c r="L80" s="437"/>
      <c r="M80" s="437"/>
      <c r="N80" s="437"/>
      <c r="O80" s="438"/>
      <c r="P80" s="439" t="s">
        <v>1824</v>
      </c>
    </row>
    <row r="81" spans="1:16" ht="15.75" thickBot="1">
      <c r="A81" s="434"/>
      <c r="B81" s="435" t="s">
        <v>1825</v>
      </c>
      <c r="C81" s="436"/>
      <c r="D81" s="437"/>
      <c r="E81" s="437"/>
      <c r="F81" s="437"/>
      <c r="G81" s="438"/>
      <c r="H81" s="439" t="s">
        <v>1825</v>
      </c>
      <c r="I81" s="434"/>
      <c r="J81" s="435" t="s">
        <v>1825</v>
      </c>
      <c r="K81" s="436"/>
      <c r="L81" s="437"/>
      <c r="M81" s="437"/>
      <c r="N81" s="437"/>
      <c r="O81" s="438"/>
      <c r="P81" s="439" t="s">
        <v>1825</v>
      </c>
    </row>
    <row r="82" spans="1:16" ht="15.75" thickBot="1">
      <c r="A82" s="434"/>
      <c r="B82" s="435" t="s">
        <v>1826</v>
      </c>
      <c r="C82" s="436"/>
      <c r="D82" s="437"/>
      <c r="E82" s="437"/>
      <c r="F82" s="437"/>
      <c r="G82" s="438"/>
      <c r="H82" s="439" t="s">
        <v>1826</v>
      </c>
      <c r="I82" s="434"/>
      <c r="J82" s="435" t="s">
        <v>1826</v>
      </c>
      <c r="K82" s="436"/>
      <c r="L82" s="437"/>
      <c r="M82" s="437"/>
      <c r="N82" s="437"/>
      <c r="O82" s="438"/>
      <c r="P82" s="439" t="s">
        <v>1826</v>
      </c>
    </row>
    <row r="83" spans="1:16" ht="15.75" thickBot="1">
      <c r="A83" s="434"/>
      <c r="B83" s="435" t="s">
        <v>1827</v>
      </c>
      <c r="C83" s="436"/>
      <c r="D83" s="437"/>
      <c r="E83" s="437"/>
      <c r="F83" s="437"/>
      <c r="G83" s="438"/>
      <c r="H83" s="439" t="s">
        <v>1827</v>
      </c>
      <c r="I83" s="434"/>
      <c r="J83" s="435" t="s">
        <v>1827</v>
      </c>
      <c r="K83" s="436"/>
      <c r="L83" s="437"/>
      <c r="M83" s="437"/>
      <c r="N83" s="437"/>
      <c r="O83" s="438"/>
      <c r="P83" s="439" t="s">
        <v>1827</v>
      </c>
    </row>
    <row r="84" spans="1:16" ht="15.75" thickBot="1">
      <c r="A84" s="434"/>
      <c r="B84" s="435" t="s">
        <v>1828</v>
      </c>
      <c r="C84" s="436"/>
      <c r="D84" s="437"/>
      <c r="E84" s="437"/>
      <c r="F84" s="437"/>
      <c r="G84" s="438"/>
      <c r="H84" s="439" t="s">
        <v>1828</v>
      </c>
      <c r="I84" s="434"/>
      <c r="J84" s="435" t="s">
        <v>1828</v>
      </c>
      <c r="K84" s="436"/>
      <c r="L84" s="437"/>
      <c r="M84" s="437"/>
      <c r="N84" s="437"/>
      <c r="O84" s="438"/>
      <c r="P84" s="439" t="s">
        <v>1828</v>
      </c>
    </row>
    <row r="85" spans="1:16" ht="15.75" thickBot="1">
      <c r="A85" s="434"/>
      <c r="B85" s="435" t="s">
        <v>1829</v>
      </c>
      <c r="C85" s="436"/>
      <c r="D85" s="437"/>
      <c r="E85" s="437"/>
      <c r="F85" s="437"/>
      <c r="G85" s="438"/>
      <c r="H85" s="439" t="s">
        <v>1829</v>
      </c>
      <c r="I85" s="434"/>
      <c r="J85" s="435" t="s">
        <v>1829</v>
      </c>
      <c r="K85" s="436"/>
      <c r="L85" s="437"/>
      <c r="M85" s="437"/>
      <c r="N85" s="437"/>
      <c r="O85" s="438"/>
      <c r="P85" s="439" t="s">
        <v>1829</v>
      </c>
    </row>
    <row r="86" spans="1:16" ht="15.75" thickBot="1">
      <c r="A86" s="434"/>
      <c r="B86" s="435" t="s">
        <v>1830</v>
      </c>
      <c r="C86" s="436"/>
      <c r="D86" s="437"/>
      <c r="E86" s="437"/>
      <c r="F86" s="437"/>
      <c r="G86" s="438"/>
      <c r="H86" s="439" t="s">
        <v>1830</v>
      </c>
      <c r="I86" s="434"/>
      <c r="J86" s="435" t="s">
        <v>1830</v>
      </c>
      <c r="K86" s="436"/>
      <c r="L86" s="437"/>
      <c r="M86" s="437"/>
      <c r="N86" s="437"/>
      <c r="O86" s="438"/>
      <c r="P86" s="439" t="s">
        <v>1830</v>
      </c>
    </row>
    <row r="87" spans="1:16" ht="15.75" thickBot="1">
      <c r="A87" s="434"/>
      <c r="B87" s="435" t="s">
        <v>1831</v>
      </c>
      <c r="C87" s="436"/>
      <c r="D87" s="437"/>
      <c r="E87" s="437"/>
      <c r="F87" s="437"/>
      <c r="G87" s="438"/>
      <c r="H87" s="439" t="s">
        <v>1831</v>
      </c>
      <c r="I87" s="434"/>
      <c r="J87" s="435" t="s">
        <v>1831</v>
      </c>
      <c r="K87" s="436"/>
      <c r="L87" s="437"/>
      <c r="M87" s="437"/>
      <c r="N87" s="437"/>
      <c r="O87" s="438"/>
      <c r="P87" s="439" t="s">
        <v>1831</v>
      </c>
    </row>
    <row r="88" spans="1:16" ht="15.75" thickBot="1">
      <c r="A88" s="434"/>
      <c r="B88" s="435" t="s">
        <v>1832</v>
      </c>
      <c r="C88" s="436"/>
      <c r="D88" s="437"/>
      <c r="E88" s="437"/>
      <c r="F88" s="437"/>
      <c r="G88" s="438"/>
      <c r="H88" s="439" t="s">
        <v>1832</v>
      </c>
      <c r="I88" s="434"/>
      <c r="J88" s="435" t="s">
        <v>1832</v>
      </c>
      <c r="K88" s="436"/>
      <c r="L88" s="437"/>
      <c r="M88" s="437"/>
      <c r="N88" s="437"/>
      <c r="O88" s="438"/>
      <c r="P88" s="439" t="s">
        <v>1832</v>
      </c>
    </row>
    <row r="89" spans="1:16" ht="15.75" thickBot="1">
      <c r="A89" s="434"/>
      <c r="B89" s="435" t="s">
        <v>1833</v>
      </c>
      <c r="C89" s="436"/>
      <c r="D89" s="437"/>
      <c r="E89" s="437"/>
      <c r="F89" s="437"/>
      <c r="G89" s="438"/>
      <c r="H89" s="439" t="s">
        <v>1833</v>
      </c>
      <c r="I89" s="434"/>
      <c r="J89" s="435" t="s">
        <v>1833</v>
      </c>
      <c r="K89" s="436"/>
      <c r="L89" s="437"/>
      <c r="M89" s="437"/>
      <c r="N89" s="437"/>
      <c r="O89" s="438"/>
      <c r="P89" s="439" t="s">
        <v>1833</v>
      </c>
    </row>
    <row r="90" spans="1:16" ht="26.25" thickBot="1">
      <c r="A90" s="440"/>
      <c r="B90" s="435" t="s">
        <v>1834</v>
      </c>
      <c r="C90" s="436"/>
      <c r="D90" s="437"/>
      <c r="E90" s="437"/>
      <c r="F90" s="437"/>
      <c r="G90" s="441"/>
      <c r="H90" s="439" t="s">
        <v>1835</v>
      </c>
      <c r="I90" s="440"/>
      <c r="J90" s="435" t="s">
        <v>1834</v>
      </c>
      <c r="K90" s="436"/>
      <c r="L90" s="437"/>
      <c r="M90" s="437"/>
      <c r="N90" s="437"/>
      <c r="O90" s="441"/>
      <c r="P90" s="439" t="s">
        <v>1835</v>
      </c>
    </row>
    <row r="91" spans="1:16" ht="15.75" thickBot="1">
      <c r="A91" s="442" t="s">
        <v>2149</v>
      </c>
      <c r="B91" s="435" t="s">
        <v>1822</v>
      </c>
      <c r="C91" s="436"/>
      <c r="D91" s="437"/>
      <c r="E91" s="437"/>
      <c r="F91" s="437"/>
      <c r="G91" s="443" t="s">
        <v>2149</v>
      </c>
      <c r="H91" s="439" t="s">
        <v>1822</v>
      </c>
      <c r="I91" s="442" t="s">
        <v>2149</v>
      </c>
      <c r="J91" s="435" t="s">
        <v>1822</v>
      </c>
      <c r="K91" s="436"/>
      <c r="L91" s="437"/>
      <c r="M91" s="437"/>
      <c r="N91" s="437"/>
      <c r="O91" s="443" t="s">
        <v>2149</v>
      </c>
      <c r="P91" s="439" t="s">
        <v>1822</v>
      </c>
    </row>
    <row r="92" spans="1:16" ht="15.75" thickBot="1">
      <c r="A92" s="434"/>
      <c r="B92" s="435" t="s">
        <v>1824</v>
      </c>
      <c r="C92" s="436"/>
      <c r="D92" s="437"/>
      <c r="E92" s="437"/>
      <c r="F92" s="437"/>
      <c r="G92" s="438"/>
      <c r="H92" s="439" t="s">
        <v>1824</v>
      </c>
      <c r="I92" s="434"/>
      <c r="J92" s="435" t="s">
        <v>1824</v>
      </c>
      <c r="K92" s="436"/>
      <c r="L92" s="437"/>
      <c r="M92" s="437"/>
      <c r="N92" s="437"/>
      <c r="O92" s="438"/>
      <c r="P92" s="439" t="s">
        <v>1824</v>
      </c>
    </row>
    <row r="93" spans="1:16" ht="15.75" thickBot="1">
      <c r="A93" s="434"/>
      <c r="B93" s="435" t="s">
        <v>1825</v>
      </c>
      <c r="C93" s="436"/>
      <c r="D93" s="437"/>
      <c r="E93" s="437"/>
      <c r="F93" s="437"/>
      <c r="G93" s="438"/>
      <c r="H93" s="439" t="s">
        <v>1825</v>
      </c>
      <c r="I93" s="434"/>
      <c r="J93" s="435" t="s">
        <v>1825</v>
      </c>
      <c r="K93" s="436"/>
      <c r="L93" s="437"/>
      <c r="M93" s="437"/>
      <c r="N93" s="437"/>
      <c r="O93" s="438"/>
      <c r="P93" s="439" t="s">
        <v>1825</v>
      </c>
    </row>
    <row r="94" spans="1:16" ht="15.75" thickBot="1">
      <c r="A94" s="434"/>
      <c r="B94" s="435" t="s">
        <v>1826</v>
      </c>
      <c r="C94" s="436"/>
      <c r="D94" s="437"/>
      <c r="E94" s="437"/>
      <c r="F94" s="437"/>
      <c r="G94" s="438"/>
      <c r="H94" s="439" t="s">
        <v>1826</v>
      </c>
      <c r="I94" s="434"/>
      <c r="J94" s="435" t="s">
        <v>1826</v>
      </c>
      <c r="K94" s="436"/>
      <c r="L94" s="437"/>
      <c r="M94" s="437"/>
      <c r="N94" s="437"/>
      <c r="O94" s="438"/>
      <c r="P94" s="439" t="s">
        <v>1826</v>
      </c>
    </row>
    <row r="95" spans="1:16" ht="15.75" thickBot="1">
      <c r="A95" s="434"/>
      <c r="B95" s="435" t="s">
        <v>1827</v>
      </c>
      <c r="C95" s="436"/>
      <c r="D95" s="437"/>
      <c r="E95" s="437"/>
      <c r="F95" s="437"/>
      <c r="G95" s="438"/>
      <c r="H95" s="439" t="s">
        <v>1827</v>
      </c>
      <c r="I95" s="434"/>
      <c r="J95" s="435" t="s">
        <v>1827</v>
      </c>
      <c r="K95" s="436"/>
      <c r="L95" s="437"/>
      <c r="M95" s="437"/>
      <c r="N95" s="437"/>
      <c r="O95" s="438"/>
      <c r="P95" s="439" t="s">
        <v>1827</v>
      </c>
    </row>
    <row r="96" spans="1:16" ht="15.75" thickBot="1">
      <c r="A96" s="434"/>
      <c r="B96" s="435" t="s">
        <v>1828</v>
      </c>
      <c r="C96" s="436"/>
      <c r="D96" s="437"/>
      <c r="E96" s="437"/>
      <c r="F96" s="437"/>
      <c r="G96" s="438"/>
      <c r="H96" s="439" t="s">
        <v>1828</v>
      </c>
      <c r="I96" s="434"/>
      <c r="J96" s="435" t="s">
        <v>1828</v>
      </c>
      <c r="K96" s="436"/>
      <c r="L96" s="437"/>
      <c r="M96" s="437"/>
      <c r="N96" s="437"/>
      <c r="O96" s="438"/>
      <c r="P96" s="439" t="s">
        <v>1828</v>
      </c>
    </row>
    <row r="97" spans="1:16" ht="15.75" thickBot="1">
      <c r="A97" s="434"/>
      <c r="B97" s="435" t="s">
        <v>1829</v>
      </c>
      <c r="C97" s="436"/>
      <c r="D97" s="437"/>
      <c r="E97" s="437"/>
      <c r="F97" s="437"/>
      <c r="G97" s="438"/>
      <c r="H97" s="439" t="s">
        <v>1829</v>
      </c>
      <c r="I97" s="434"/>
      <c r="J97" s="435" t="s">
        <v>1829</v>
      </c>
      <c r="K97" s="436"/>
      <c r="L97" s="437"/>
      <c r="M97" s="437"/>
      <c r="N97" s="437"/>
      <c r="O97" s="438"/>
      <c r="P97" s="439" t="s">
        <v>1829</v>
      </c>
    </row>
    <row r="98" spans="1:16" ht="15.75" thickBot="1">
      <c r="A98" s="434"/>
      <c r="B98" s="435" t="s">
        <v>1830</v>
      </c>
      <c r="C98" s="436"/>
      <c r="D98" s="437"/>
      <c r="E98" s="437"/>
      <c r="F98" s="437"/>
      <c r="G98" s="438"/>
      <c r="H98" s="439" t="s">
        <v>1830</v>
      </c>
      <c r="I98" s="434"/>
      <c r="J98" s="435" t="s">
        <v>1830</v>
      </c>
      <c r="K98" s="436"/>
      <c r="L98" s="437"/>
      <c r="M98" s="437"/>
      <c r="N98" s="437"/>
      <c r="O98" s="438"/>
      <c r="P98" s="439" t="s">
        <v>1830</v>
      </c>
    </row>
    <row r="99" spans="1:16" ht="15.75" thickBot="1">
      <c r="A99" s="434"/>
      <c r="B99" s="435" t="s">
        <v>1831</v>
      </c>
      <c r="C99" s="436"/>
      <c r="D99" s="437"/>
      <c r="E99" s="437"/>
      <c r="F99" s="437"/>
      <c r="G99" s="438"/>
      <c r="H99" s="439" t="s">
        <v>1831</v>
      </c>
      <c r="I99" s="434"/>
      <c r="J99" s="435" t="s">
        <v>1831</v>
      </c>
      <c r="K99" s="436"/>
      <c r="L99" s="437"/>
      <c r="M99" s="437"/>
      <c r="N99" s="437"/>
      <c r="O99" s="438"/>
      <c r="P99" s="439" t="s">
        <v>1831</v>
      </c>
    </row>
    <row r="100" spans="1:16" ht="15.75" thickBot="1">
      <c r="A100" s="434"/>
      <c r="B100" s="435" t="s">
        <v>1832</v>
      </c>
      <c r="C100" s="436"/>
      <c r="D100" s="437"/>
      <c r="E100" s="437"/>
      <c r="F100" s="437"/>
      <c r="G100" s="438"/>
      <c r="H100" s="439" t="s">
        <v>1832</v>
      </c>
      <c r="I100" s="434"/>
      <c r="J100" s="435" t="s">
        <v>1832</v>
      </c>
      <c r="K100" s="436"/>
      <c r="L100" s="437"/>
      <c r="M100" s="437"/>
      <c r="N100" s="437"/>
      <c r="O100" s="438"/>
      <c r="P100" s="439" t="s">
        <v>1832</v>
      </c>
    </row>
    <row r="101" spans="1:16" ht="15.75" thickBot="1">
      <c r="A101" s="434"/>
      <c r="B101" s="435" t="s">
        <v>1833</v>
      </c>
      <c r="C101" s="436"/>
      <c r="D101" s="437"/>
      <c r="E101" s="437"/>
      <c r="F101" s="437"/>
      <c r="G101" s="438"/>
      <c r="H101" s="439" t="s">
        <v>1833</v>
      </c>
      <c r="I101" s="434"/>
      <c r="J101" s="435" t="s">
        <v>1833</v>
      </c>
      <c r="K101" s="436"/>
      <c r="L101" s="437"/>
      <c r="M101" s="437"/>
      <c r="N101" s="437"/>
      <c r="O101" s="438"/>
      <c r="P101" s="439" t="s">
        <v>1833</v>
      </c>
    </row>
    <row r="102" spans="1:16" ht="26.25" thickBot="1">
      <c r="A102" s="440"/>
      <c r="B102" s="435" t="s">
        <v>1834</v>
      </c>
      <c r="C102" s="436"/>
      <c r="D102" s="437"/>
      <c r="E102" s="437"/>
      <c r="F102" s="437"/>
      <c r="G102" s="441"/>
      <c r="H102" s="439" t="s">
        <v>1835</v>
      </c>
      <c r="I102" s="440"/>
      <c r="J102" s="435" t="s">
        <v>1834</v>
      </c>
      <c r="K102" s="436"/>
      <c r="L102" s="437"/>
      <c r="M102" s="437"/>
      <c r="N102" s="437"/>
      <c r="O102" s="441"/>
      <c r="P102" s="439" t="s">
        <v>1835</v>
      </c>
    </row>
    <row r="103" spans="1:16" ht="15.75" thickBot="1">
      <c r="A103" s="442" t="s">
        <v>2150</v>
      </c>
      <c r="B103" s="435" t="s">
        <v>1822</v>
      </c>
      <c r="C103" s="436">
        <v>27546</v>
      </c>
      <c r="D103" s="437" t="s">
        <v>2199</v>
      </c>
      <c r="E103" s="437" t="s">
        <v>2200</v>
      </c>
      <c r="F103" s="437" t="s">
        <v>2185</v>
      </c>
      <c r="G103" s="443" t="s">
        <v>2150</v>
      </c>
      <c r="H103" s="439" t="s">
        <v>1822</v>
      </c>
      <c r="I103" s="442" t="s">
        <v>2150</v>
      </c>
      <c r="J103" s="435" t="s">
        <v>1822</v>
      </c>
      <c r="K103" s="436">
        <v>67028</v>
      </c>
      <c r="L103" s="437" t="s">
        <v>2201</v>
      </c>
      <c r="M103" s="437" t="s">
        <v>2202</v>
      </c>
      <c r="N103" s="437" t="s">
        <v>2185</v>
      </c>
      <c r="O103" s="443" t="s">
        <v>2150</v>
      </c>
      <c r="P103" s="439" t="s">
        <v>1822</v>
      </c>
    </row>
    <row r="104" spans="1:16" ht="15.75" thickBot="1">
      <c r="A104" s="434"/>
      <c r="B104" s="435" t="s">
        <v>1824</v>
      </c>
      <c r="C104" s="436"/>
      <c r="D104" s="437"/>
      <c r="E104" s="437"/>
      <c r="F104" s="437"/>
      <c r="G104" s="438"/>
      <c r="H104" s="439" t="s">
        <v>1824</v>
      </c>
      <c r="I104" s="434"/>
      <c r="J104" s="435" t="s">
        <v>1824</v>
      </c>
      <c r="K104" s="436"/>
      <c r="L104" s="437"/>
      <c r="M104" s="437"/>
      <c r="N104" s="437"/>
      <c r="O104" s="438"/>
      <c r="P104" s="439" t="s">
        <v>1824</v>
      </c>
    </row>
    <row r="105" spans="1:16" ht="15.75" thickBot="1">
      <c r="A105" s="434"/>
      <c r="B105" s="435" t="s">
        <v>1825</v>
      </c>
      <c r="C105" s="436"/>
      <c r="D105" s="437"/>
      <c r="E105" s="437"/>
      <c r="F105" s="437"/>
      <c r="G105" s="438"/>
      <c r="H105" s="439" t="s">
        <v>1825</v>
      </c>
      <c r="I105" s="434"/>
      <c r="J105" s="435" t="s">
        <v>1825</v>
      </c>
      <c r="K105" s="436"/>
      <c r="L105" s="437"/>
      <c r="M105" s="437"/>
      <c r="N105" s="437"/>
      <c r="O105" s="438"/>
      <c r="P105" s="439" t="s">
        <v>1825</v>
      </c>
    </row>
    <row r="106" spans="1:16" ht="15.75" thickBot="1">
      <c r="A106" s="434"/>
      <c r="B106" s="435" t="s">
        <v>1826</v>
      </c>
      <c r="C106" s="436"/>
      <c r="D106" s="437"/>
      <c r="E106" s="437"/>
      <c r="F106" s="437"/>
      <c r="G106" s="438"/>
      <c r="H106" s="439" t="s">
        <v>1826</v>
      </c>
      <c r="I106" s="434"/>
      <c r="J106" s="435" t="s">
        <v>1826</v>
      </c>
      <c r="K106" s="436"/>
      <c r="L106" s="437"/>
      <c r="M106" s="437"/>
      <c r="N106" s="437"/>
      <c r="O106" s="438"/>
      <c r="P106" s="439" t="s">
        <v>1826</v>
      </c>
    </row>
    <row r="107" spans="1:16" ht="15.75" thickBot="1">
      <c r="A107" s="434"/>
      <c r="B107" s="435" t="s">
        <v>1827</v>
      </c>
      <c r="C107" s="436"/>
      <c r="D107" s="437"/>
      <c r="E107" s="437"/>
      <c r="F107" s="437"/>
      <c r="G107" s="438"/>
      <c r="H107" s="439" t="s">
        <v>1827</v>
      </c>
      <c r="I107" s="434"/>
      <c r="J107" s="435" t="s">
        <v>1827</v>
      </c>
      <c r="K107" s="436"/>
      <c r="L107" s="437"/>
      <c r="M107" s="437"/>
      <c r="N107" s="437"/>
      <c r="O107" s="438"/>
      <c r="P107" s="439" t="s">
        <v>1827</v>
      </c>
    </row>
    <row r="108" spans="1:16" ht="15.75" thickBot="1">
      <c r="A108" s="434"/>
      <c r="B108" s="435" t="s">
        <v>1828</v>
      </c>
      <c r="C108" s="436"/>
      <c r="D108" s="437"/>
      <c r="E108" s="437"/>
      <c r="F108" s="437"/>
      <c r="G108" s="438"/>
      <c r="H108" s="439" t="s">
        <v>1828</v>
      </c>
      <c r="I108" s="434"/>
      <c r="J108" s="435" t="s">
        <v>1828</v>
      </c>
      <c r="K108" s="436"/>
      <c r="L108" s="437"/>
      <c r="M108" s="437"/>
      <c r="N108" s="437"/>
      <c r="O108" s="438"/>
      <c r="P108" s="439" t="s">
        <v>1828</v>
      </c>
    </row>
    <row r="109" spans="1:16" ht="15.75" thickBot="1">
      <c r="A109" s="434"/>
      <c r="B109" s="435" t="s">
        <v>1829</v>
      </c>
      <c r="C109" s="436"/>
      <c r="D109" s="437"/>
      <c r="E109" s="437"/>
      <c r="F109" s="437"/>
      <c r="G109" s="438"/>
      <c r="H109" s="439" t="s">
        <v>1829</v>
      </c>
      <c r="I109" s="434"/>
      <c r="J109" s="435" t="s">
        <v>1829</v>
      </c>
      <c r="K109" s="436"/>
      <c r="L109" s="437"/>
      <c r="M109" s="437"/>
      <c r="N109" s="437"/>
      <c r="O109" s="438"/>
      <c r="P109" s="439" t="s">
        <v>1829</v>
      </c>
    </row>
    <row r="110" spans="1:16" ht="15.75" thickBot="1">
      <c r="A110" s="434"/>
      <c r="B110" s="435" t="s">
        <v>1830</v>
      </c>
      <c r="C110" s="436"/>
      <c r="D110" s="437"/>
      <c r="E110" s="437"/>
      <c r="F110" s="437"/>
      <c r="G110" s="438"/>
      <c r="H110" s="439" t="s">
        <v>1830</v>
      </c>
      <c r="I110" s="434"/>
      <c r="J110" s="435" t="s">
        <v>1830</v>
      </c>
      <c r="K110" s="436"/>
      <c r="L110" s="437"/>
      <c r="M110" s="437"/>
      <c r="N110" s="437"/>
      <c r="O110" s="438"/>
      <c r="P110" s="439" t="s">
        <v>1830</v>
      </c>
    </row>
    <row r="111" spans="1:16" ht="15.75" thickBot="1">
      <c r="A111" s="434"/>
      <c r="B111" s="435" t="s">
        <v>1831</v>
      </c>
      <c r="C111" s="436"/>
      <c r="D111" s="437"/>
      <c r="E111" s="437"/>
      <c r="F111" s="437"/>
      <c r="G111" s="438"/>
      <c r="H111" s="439" t="s">
        <v>1831</v>
      </c>
      <c r="I111" s="434"/>
      <c r="J111" s="435" t="s">
        <v>1831</v>
      </c>
      <c r="K111" s="436"/>
      <c r="L111" s="437"/>
      <c r="M111" s="437"/>
      <c r="N111" s="437"/>
      <c r="O111" s="438"/>
      <c r="P111" s="439" t="s">
        <v>1831</v>
      </c>
    </row>
    <row r="112" spans="1:16" ht="15.75" thickBot="1">
      <c r="A112" s="434"/>
      <c r="B112" s="435" t="s">
        <v>1832</v>
      </c>
      <c r="C112" s="436"/>
      <c r="D112" s="437"/>
      <c r="E112" s="437"/>
      <c r="F112" s="437"/>
      <c r="G112" s="438"/>
      <c r="H112" s="439" t="s">
        <v>1832</v>
      </c>
      <c r="I112" s="434"/>
      <c r="J112" s="435" t="s">
        <v>1832</v>
      </c>
      <c r="K112" s="436"/>
      <c r="L112" s="437"/>
      <c r="M112" s="437"/>
      <c r="N112" s="437"/>
      <c r="O112" s="438"/>
      <c r="P112" s="439" t="s">
        <v>1832</v>
      </c>
    </row>
    <row r="113" spans="1:16" ht="15.75" thickBot="1">
      <c r="A113" s="434"/>
      <c r="B113" s="435" t="s">
        <v>1833</v>
      </c>
      <c r="C113" s="436"/>
      <c r="D113" s="437"/>
      <c r="E113" s="437"/>
      <c r="F113" s="437"/>
      <c r="G113" s="438"/>
      <c r="H113" s="439" t="s">
        <v>1833</v>
      </c>
      <c r="I113" s="434"/>
      <c r="J113" s="435" t="s">
        <v>1833</v>
      </c>
      <c r="K113" s="436"/>
      <c r="L113" s="437"/>
      <c r="M113" s="437"/>
      <c r="N113" s="437"/>
      <c r="O113" s="438"/>
      <c r="P113" s="439" t="s">
        <v>1833</v>
      </c>
    </row>
    <row r="114" spans="1:16" ht="26.25" thickBot="1">
      <c r="A114" s="440"/>
      <c r="B114" s="435" t="s">
        <v>1834</v>
      </c>
      <c r="C114" s="436"/>
      <c r="D114" s="437"/>
      <c r="E114" s="437"/>
      <c r="F114" s="437"/>
      <c r="G114" s="441"/>
      <c r="H114" s="439" t="s">
        <v>1835</v>
      </c>
      <c r="I114" s="440"/>
      <c r="J114" s="435" t="s">
        <v>1834</v>
      </c>
      <c r="K114" s="436"/>
      <c r="L114" s="437"/>
      <c r="M114" s="437"/>
      <c r="N114" s="437"/>
      <c r="O114" s="441"/>
      <c r="P114" s="439" t="s">
        <v>1835</v>
      </c>
    </row>
    <row r="115" spans="1:16" ht="15.75" thickBot="1">
      <c r="A115" s="442" t="s">
        <v>2151</v>
      </c>
      <c r="B115" s="435" t="s">
        <v>1822</v>
      </c>
      <c r="C115" s="436"/>
      <c r="D115" s="437"/>
      <c r="E115" s="437"/>
      <c r="F115" s="437"/>
      <c r="G115" s="443" t="s">
        <v>2151</v>
      </c>
      <c r="H115" s="439" t="s">
        <v>1822</v>
      </c>
      <c r="I115" s="442" t="s">
        <v>2151</v>
      </c>
      <c r="J115" s="435" t="s">
        <v>1822</v>
      </c>
      <c r="K115" s="436"/>
      <c r="L115" s="437"/>
      <c r="M115" s="437"/>
      <c r="N115" s="437"/>
      <c r="O115" s="443" t="s">
        <v>2151</v>
      </c>
      <c r="P115" s="439" t="s">
        <v>1822</v>
      </c>
    </row>
    <row r="116" spans="1:16" ht="15.75" thickBot="1">
      <c r="A116" s="434"/>
      <c r="B116" s="435" t="s">
        <v>1824</v>
      </c>
      <c r="C116" s="436"/>
      <c r="D116" s="437"/>
      <c r="E116" s="437"/>
      <c r="F116" s="437"/>
      <c r="G116" s="438"/>
      <c r="H116" s="439" t="s">
        <v>1824</v>
      </c>
      <c r="I116" s="434"/>
      <c r="J116" s="435" t="s">
        <v>1824</v>
      </c>
      <c r="K116" s="436"/>
      <c r="L116" s="437"/>
      <c r="M116" s="437"/>
      <c r="N116" s="437"/>
      <c r="O116" s="438"/>
      <c r="P116" s="439" t="s">
        <v>1824</v>
      </c>
    </row>
    <row r="117" spans="1:16" ht="15.75" thickBot="1">
      <c r="A117" s="434"/>
      <c r="B117" s="435" t="s">
        <v>1825</v>
      </c>
      <c r="C117" s="436"/>
      <c r="D117" s="437"/>
      <c r="E117" s="437"/>
      <c r="F117" s="437"/>
      <c r="G117" s="438"/>
      <c r="H117" s="439" t="s">
        <v>1825</v>
      </c>
      <c r="I117" s="434"/>
      <c r="J117" s="435" t="s">
        <v>1825</v>
      </c>
      <c r="K117" s="436"/>
      <c r="L117" s="437"/>
      <c r="M117" s="437"/>
      <c r="N117" s="437"/>
      <c r="O117" s="438"/>
      <c r="P117" s="439" t="s">
        <v>1825</v>
      </c>
    </row>
    <row r="118" spans="1:16" ht="15.75" thickBot="1">
      <c r="A118" s="434"/>
      <c r="B118" s="435" t="s">
        <v>1826</v>
      </c>
      <c r="C118" s="436"/>
      <c r="D118" s="437"/>
      <c r="E118" s="437"/>
      <c r="F118" s="437"/>
      <c r="G118" s="438"/>
      <c r="H118" s="439" t="s">
        <v>1826</v>
      </c>
      <c r="I118" s="434"/>
      <c r="J118" s="435" t="s">
        <v>1826</v>
      </c>
      <c r="K118" s="436"/>
      <c r="L118" s="437"/>
      <c r="M118" s="437"/>
      <c r="N118" s="437"/>
      <c r="O118" s="438"/>
      <c r="P118" s="439" t="s">
        <v>1826</v>
      </c>
    </row>
    <row r="119" spans="1:16" ht="15.75" thickBot="1">
      <c r="A119" s="434"/>
      <c r="B119" s="435" t="s">
        <v>1827</v>
      </c>
      <c r="C119" s="436"/>
      <c r="D119" s="437"/>
      <c r="E119" s="437"/>
      <c r="F119" s="437"/>
      <c r="G119" s="438"/>
      <c r="H119" s="439" t="s">
        <v>1827</v>
      </c>
      <c r="I119" s="434"/>
      <c r="J119" s="435" t="s">
        <v>1827</v>
      </c>
      <c r="K119" s="436"/>
      <c r="L119" s="437"/>
      <c r="M119" s="437"/>
      <c r="N119" s="437"/>
      <c r="O119" s="438"/>
      <c r="P119" s="439" t="s">
        <v>1827</v>
      </c>
    </row>
    <row r="120" spans="1:16" ht="15.75" thickBot="1">
      <c r="A120" s="434"/>
      <c r="B120" s="435" t="s">
        <v>1828</v>
      </c>
      <c r="C120" s="436"/>
      <c r="D120" s="437"/>
      <c r="E120" s="437"/>
      <c r="F120" s="437"/>
      <c r="G120" s="438"/>
      <c r="H120" s="439" t="s">
        <v>1828</v>
      </c>
      <c r="I120" s="434"/>
      <c r="J120" s="435" t="s">
        <v>1828</v>
      </c>
      <c r="K120" s="436"/>
      <c r="L120" s="437"/>
      <c r="M120" s="437"/>
      <c r="N120" s="437"/>
      <c r="O120" s="438"/>
      <c r="P120" s="439" t="s">
        <v>1828</v>
      </c>
    </row>
    <row r="121" spans="1:16" ht="15.75" thickBot="1">
      <c r="A121" s="434"/>
      <c r="B121" s="435" t="s">
        <v>1829</v>
      </c>
      <c r="C121" s="436"/>
      <c r="D121" s="437"/>
      <c r="E121" s="437"/>
      <c r="F121" s="437"/>
      <c r="G121" s="438"/>
      <c r="H121" s="439" t="s">
        <v>1829</v>
      </c>
      <c r="I121" s="434"/>
      <c r="J121" s="435" t="s">
        <v>1829</v>
      </c>
      <c r="K121" s="436"/>
      <c r="L121" s="437"/>
      <c r="M121" s="437"/>
      <c r="N121" s="437"/>
      <c r="O121" s="438"/>
      <c r="P121" s="439" t="s">
        <v>1829</v>
      </c>
    </row>
    <row r="122" spans="1:16" ht="15.75" thickBot="1">
      <c r="A122" s="434"/>
      <c r="B122" s="435" t="s">
        <v>1830</v>
      </c>
      <c r="C122" s="436"/>
      <c r="D122" s="437"/>
      <c r="E122" s="437"/>
      <c r="F122" s="437"/>
      <c r="G122" s="438"/>
      <c r="H122" s="439" t="s">
        <v>1830</v>
      </c>
      <c r="I122" s="434"/>
      <c r="J122" s="435" t="s">
        <v>1830</v>
      </c>
      <c r="K122" s="436"/>
      <c r="L122" s="437"/>
      <c r="M122" s="437"/>
      <c r="N122" s="437"/>
      <c r="O122" s="438"/>
      <c r="P122" s="439" t="s">
        <v>1830</v>
      </c>
    </row>
    <row r="123" spans="1:16" ht="15.75" thickBot="1">
      <c r="A123" s="434"/>
      <c r="B123" s="435" t="s">
        <v>1831</v>
      </c>
      <c r="C123" s="436"/>
      <c r="D123" s="437"/>
      <c r="E123" s="437"/>
      <c r="F123" s="437"/>
      <c r="G123" s="438"/>
      <c r="H123" s="439" t="s">
        <v>1831</v>
      </c>
      <c r="I123" s="434"/>
      <c r="J123" s="435" t="s">
        <v>1831</v>
      </c>
      <c r="K123" s="436"/>
      <c r="L123" s="437"/>
      <c r="M123" s="437"/>
      <c r="N123" s="437"/>
      <c r="O123" s="438"/>
      <c r="P123" s="439" t="s">
        <v>1831</v>
      </c>
    </row>
    <row r="124" spans="1:16" ht="15.75" thickBot="1">
      <c r="A124" s="434"/>
      <c r="B124" s="435" t="s">
        <v>1832</v>
      </c>
      <c r="C124" s="436"/>
      <c r="D124" s="437"/>
      <c r="E124" s="437"/>
      <c r="F124" s="437"/>
      <c r="G124" s="438"/>
      <c r="H124" s="439" t="s">
        <v>1832</v>
      </c>
      <c r="I124" s="434"/>
      <c r="J124" s="435" t="s">
        <v>1832</v>
      </c>
      <c r="K124" s="436"/>
      <c r="L124" s="437"/>
      <c r="M124" s="437"/>
      <c r="N124" s="437"/>
      <c r="O124" s="438"/>
      <c r="P124" s="439" t="s">
        <v>1832</v>
      </c>
    </row>
    <row r="125" spans="1:16" ht="15.75" thickBot="1">
      <c r="A125" s="434"/>
      <c r="B125" s="435" t="s">
        <v>1833</v>
      </c>
      <c r="C125" s="436"/>
      <c r="D125" s="437"/>
      <c r="E125" s="437"/>
      <c r="F125" s="437"/>
      <c r="G125" s="438"/>
      <c r="H125" s="439" t="s">
        <v>1833</v>
      </c>
      <c r="I125" s="434"/>
      <c r="J125" s="435" t="s">
        <v>1833</v>
      </c>
      <c r="K125" s="436"/>
      <c r="L125" s="437"/>
      <c r="M125" s="437"/>
      <c r="N125" s="437"/>
      <c r="O125" s="438"/>
      <c r="P125" s="439" t="s">
        <v>1833</v>
      </c>
    </row>
    <row r="126" spans="1:16" ht="26.25" thickBot="1">
      <c r="A126" s="440"/>
      <c r="B126" s="435" t="s">
        <v>1834</v>
      </c>
      <c r="C126" s="436"/>
      <c r="D126" s="437"/>
      <c r="E126" s="437"/>
      <c r="F126" s="437"/>
      <c r="G126" s="441"/>
      <c r="H126" s="439" t="s">
        <v>1835</v>
      </c>
      <c r="I126" s="440"/>
      <c r="J126" s="435" t="s">
        <v>1834</v>
      </c>
      <c r="K126" s="436"/>
      <c r="L126" s="437"/>
      <c r="M126" s="437"/>
      <c r="N126" s="437"/>
      <c r="O126" s="441"/>
      <c r="P126" s="439" t="s">
        <v>1835</v>
      </c>
    </row>
    <row r="127" spans="1:16" ht="15.75" thickBot="1">
      <c r="A127" s="442" t="s">
        <v>2152</v>
      </c>
      <c r="B127" s="435" t="s">
        <v>1822</v>
      </c>
      <c r="C127" s="436"/>
      <c r="D127" s="437"/>
      <c r="E127" s="437"/>
      <c r="F127" s="437"/>
      <c r="G127" s="443" t="s">
        <v>2152</v>
      </c>
      <c r="H127" s="439" t="s">
        <v>1822</v>
      </c>
      <c r="I127" s="442" t="s">
        <v>2152</v>
      </c>
      <c r="J127" s="435" t="s">
        <v>1822</v>
      </c>
      <c r="K127" s="436"/>
      <c r="L127" s="437"/>
      <c r="M127" s="437"/>
      <c r="N127" s="437"/>
      <c r="O127" s="443" t="s">
        <v>2152</v>
      </c>
      <c r="P127" s="439" t="s">
        <v>1822</v>
      </c>
    </row>
    <row r="128" spans="1:16" ht="15.75" thickBot="1">
      <c r="A128" s="434"/>
      <c r="B128" s="435" t="s">
        <v>1824</v>
      </c>
      <c r="C128" s="436"/>
      <c r="D128" s="437"/>
      <c r="E128" s="437"/>
      <c r="F128" s="437"/>
      <c r="G128" s="438"/>
      <c r="H128" s="439" t="s">
        <v>1824</v>
      </c>
      <c r="I128" s="434"/>
      <c r="J128" s="435" t="s">
        <v>1824</v>
      </c>
      <c r="K128" s="436"/>
      <c r="L128" s="437"/>
      <c r="M128" s="437"/>
      <c r="N128" s="437"/>
      <c r="O128" s="438"/>
      <c r="P128" s="439" t="s">
        <v>1824</v>
      </c>
    </row>
    <row r="129" spans="1:16" ht="15.75" thickBot="1">
      <c r="A129" s="434"/>
      <c r="B129" s="435" t="s">
        <v>1825</v>
      </c>
      <c r="C129" s="436"/>
      <c r="D129" s="437"/>
      <c r="E129" s="437"/>
      <c r="F129" s="437"/>
      <c r="G129" s="438"/>
      <c r="H129" s="439" t="s">
        <v>1825</v>
      </c>
      <c r="I129" s="434"/>
      <c r="J129" s="435" t="s">
        <v>1825</v>
      </c>
      <c r="K129" s="436"/>
      <c r="L129" s="437"/>
      <c r="M129" s="437"/>
      <c r="N129" s="437"/>
      <c r="O129" s="438"/>
      <c r="P129" s="439" t="s">
        <v>1825</v>
      </c>
    </row>
    <row r="130" spans="1:16" ht="15.75" thickBot="1">
      <c r="A130" s="434"/>
      <c r="B130" s="435" t="s">
        <v>1826</v>
      </c>
      <c r="C130" s="436"/>
      <c r="D130" s="437"/>
      <c r="E130" s="437"/>
      <c r="F130" s="437"/>
      <c r="G130" s="438"/>
      <c r="H130" s="439" t="s">
        <v>1826</v>
      </c>
      <c r="I130" s="434"/>
      <c r="J130" s="435" t="s">
        <v>1826</v>
      </c>
      <c r="K130" s="436"/>
      <c r="L130" s="437"/>
      <c r="M130" s="437"/>
      <c r="N130" s="437"/>
      <c r="O130" s="438"/>
      <c r="P130" s="439" t="s">
        <v>1826</v>
      </c>
    </row>
    <row r="131" spans="1:16" ht="15.75" thickBot="1">
      <c r="A131" s="434"/>
      <c r="B131" s="435" t="s">
        <v>1827</v>
      </c>
      <c r="C131" s="436"/>
      <c r="D131" s="437"/>
      <c r="E131" s="437"/>
      <c r="F131" s="437"/>
      <c r="G131" s="438"/>
      <c r="H131" s="439" t="s">
        <v>1827</v>
      </c>
      <c r="I131" s="434"/>
      <c r="J131" s="435" t="s">
        <v>1827</v>
      </c>
      <c r="K131" s="436"/>
      <c r="L131" s="437"/>
      <c r="M131" s="437"/>
      <c r="N131" s="437"/>
      <c r="O131" s="438"/>
      <c r="P131" s="439" t="s">
        <v>1827</v>
      </c>
    </row>
    <row r="132" spans="1:16" ht="15.75" thickBot="1">
      <c r="A132" s="434"/>
      <c r="B132" s="435" t="s">
        <v>1828</v>
      </c>
      <c r="C132" s="436"/>
      <c r="D132" s="437"/>
      <c r="E132" s="437"/>
      <c r="F132" s="437"/>
      <c r="G132" s="438"/>
      <c r="H132" s="439" t="s">
        <v>1828</v>
      </c>
      <c r="I132" s="434"/>
      <c r="J132" s="435" t="s">
        <v>1828</v>
      </c>
      <c r="K132" s="436"/>
      <c r="L132" s="437"/>
      <c r="M132" s="437"/>
      <c r="N132" s="437"/>
      <c r="O132" s="438"/>
      <c r="P132" s="439" t="s">
        <v>1828</v>
      </c>
    </row>
    <row r="133" spans="1:16" ht="15.75" thickBot="1">
      <c r="A133" s="434"/>
      <c r="B133" s="435" t="s">
        <v>1829</v>
      </c>
      <c r="C133" s="436"/>
      <c r="D133" s="437"/>
      <c r="E133" s="437"/>
      <c r="F133" s="437"/>
      <c r="G133" s="438"/>
      <c r="H133" s="439" t="s">
        <v>1829</v>
      </c>
      <c r="I133" s="434"/>
      <c r="J133" s="435" t="s">
        <v>1829</v>
      </c>
      <c r="K133" s="436"/>
      <c r="L133" s="437"/>
      <c r="M133" s="437"/>
      <c r="N133" s="437"/>
      <c r="O133" s="438"/>
      <c r="P133" s="439" t="s">
        <v>1829</v>
      </c>
    </row>
    <row r="134" spans="1:16" ht="15.75" thickBot="1">
      <c r="A134" s="434"/>
      <c r="B134" s="435" t="s">
        <v>1830</v>
      </c>
      <c r="C134" s="436"/>
      <c r="D134" s="437"/>
      <c r="E134" s="437"/>
      <c r="F134" s="437"/>
      <c r="G134" s="438"/>
      <c r="H134" s="439" t="s">
        <v>1830</v>
      </c>
      <c r="I134" s="434"/>
      <c r="J134" s="435" t="s">
        <v>1830</v>
      </c>
      <c r="K134" s="436"/>
      <c r="L134" s="437"/>
      <c r="M134" s="437"/>
      <c r="N134" s="437"/>
      <c r="O134" s="438"/>
      <c r="P134" s="439" t="s">
        <v>1830</v>
      </c>
    </row>
    <row r="135" spans="1:16" ht="15.75" thickBot="1">
      <c r="A135" s="434"/>
      <c r="B135" s="435" t="s">
        <v>1831</v>
      </c>
      <c r="C135" s="436"/>
      <c r="D135" s="437"/>
      <c r="E135" s="437"/>
      <c r="F135" s="437"/>
      <c r="G135" s="438"/>
      <c r="H135" s="439" t="s">
        <v>1831</v>
      </c>
      <c r="I135" s="434"/>
      <c r="J135" s="435" t="s">
        <v>1831</v>
      </c>
      <c r="K135" s="436"/>
      <c r="L135" s="437"/>
      <c r="M135" s="437"/>
      <c r="N135" s="437"/>
      <c r="O135" s="438"/>
      <c r="P135" s="439" t="s">
        <v>1831</v>
      </c>
    </row>
    <row r="136" spans="1:16" ht="15.75" thickBot="1">
      <c r="A136" s="434"/>
      <c r="B136" s="435" t="s">
        <v>1832</v>
      </c>
      <c r="C136" s="436"/>
      <c r="D136" s="437"/>
      <c r="E136" s="437"/>
      <c r="F136" s="437"/>
      <c r="G136" s="438"/>
      <c r="H136" s="439" t="s">
        <v>1832</v>
      </c>
      <c r="I136" s="434"/>
      <c r="J136" s="435" t="s">
        <v>1832</v>
      </c>
      <c r="K136" s="436"/>
      <c r="L136" s="437"/>
      <c r="M136" s="437"/>
      <c r="N136" s="437"/>
      <c r="O136" s="438"/>
      <c r="P136" s="439" t="s">
        <v>1832</v>
      </c>
    </row>
    <row r="137" spans="1:16" ht="15.75" thickBot="1">
      <c r="A137" s="434"/>
      <c r="B137" s="435" t="s">
        <v>1833</v>
      </c>
      <c r="C137" s="436"/>
      <c r="D137" s="437"/>
      <c r="E137" s="437"/>
      <c r="F137" s="437"/>
      <c r="G137" s="438"/>
      <c r="H137" s="439" t="s">
        <v>1833</v>
      </c>
      <c r="I137" s="434"/>
      <c r="J137" s="435" t="s">
        <v>1833</v>
      </c>
      <c r="K137" s="436"/>
      <c r="L137" s="437"/>
      <c r="M137" s="437"/>
      <c r="N137" s="437"/>
      <c r="O137" s="438"/>
      <c r="P137" s="439" t="s">
        <v>1833</v>
      </c>
    </row>
    <row r="138" spans="1:16" ht="26.25" thickBot="1">
      <c r="A138" s="440"/>
      <c r="B138" s="435" t="s">
        <v>1834</v>
      </c>
      <c r="C138" s="436"/>
      <c r="D138" s="437"/>
      <c r="E138" s="437"/>
      <c r="F138" s="437"/>
      <c r="G138" s="441"/>
      <c r="H138" s="439" t="s">
        <v>1835</v>
      </c>
      <c r="I138" s="440"/>
      <c r="J138" s="435" t="s">
        <v>1834</v>
      </c>
      <c r="K138" s="436"/>
      <c r="L138" s="437"/>
      <c r="M138" s="437"/>
      <c r="N138" s="437"/>
      <c r="O138" s="441"/>
      <c r="P138" s="439" t="s">
        <v>1835</v>
      </c>
    </row>
    <row r="139" spans="1:16" ht="15.75" thickBot="1">
      <c r="A139" s="442" t="s">
        <v>2153</v>
      </c>
      <c r="B139" s="435" t="s">
        <v>1822</v>
      </c>
      <c r="C139" s="436"/>
      <c r="D139" s="437"/>
      <c r="E139" s="437"/>
      <c r="F139" s="437"/>
      <c r="G139" s="443" t="s">
        <v>2153</v>
      </c>
      <c r="H139" s="439" t="s">
        <v>1822</v>
      </c>
      <c r="I139" s="442" t="s">
        <v>2153</v>
      </c>
      <c r="J139" s="435" t="s">
        <v>1822</v>
      </c>
      <c r="K139" s="436"/>
      <c r="L139" s="437"/>
      <c r="M139" s="437"/>
      <c r="N139" s="437"/>
      <c r="O139" s="443" t="s">
        <v>2153</v>
      </c>
      <c r="P139" s="439" t="s">
        <v>1822</v>
      </c>
    </row>
    <row r="140" spans="1:16" ht="15.75" thickBot="1">
      <c r="A140" s="434"/>
      <c r="B140" s="435" t="s">
        <v>1824</v>
      </c>
      <c r="C140" s="436"/>
      <c r="D140" s="437"/>
      <c r="E140" s="437"/>
      <c r="F140" s="437"/>
      <c r="G140" s="438"/>
      <c r="H140" s="439" t="s">
        <v>1824</v>
      </c>
      <c r="I140" s="434"/>
      <c r="J140" s="435" t="s">
        <v>1824</v>
      </c>
      <c r="K140" s="436"/>
      <c r="L140" s="437"/>
      <c r="M140" s="437"/>
      <c r="N140" s="437"/>
      <c r="O140" s="438"/>
      <c r="P140" s="439" t="s">
        <v>1824</v>
      </c>
    </row>
    <row r="141" spans="1:16" ht="15.75" thickBot="1">
      <c r="A141" s="434"/>
      <c r="B141" s="435" t="s">
        <v>1825</v>
      </c>
      <c r="C141" s="436"/>
      <c r="D141" s="437"/>
      <c r="E141" s="437"/>
      <c r="F141" s="437"/>
      <c r="G141" s="438"/>
      <c r="H141" s="439" t="s">
        <v>1825</v>
      </c>
      <c r="I141" s="434"/>
      <c r="J141" s="435" t="s">
        <v>1825</v>
      </c>
      <c r="K141" s="436"/>
      <c r="L141" s="437"/>
      <c r="M141" s="437"/>
      <c r="N141" s="437"/>
      <c r="O141" s="438"/>
      <c r="P141" s="439" t="s">
        <v>1825</v>
      </c>
    </row>
    <row r="142" spans="1:16" ht="15.75" thickBot="1">
      <c r="A142" s="434"/>
      <c r="B142" s="435" t="s">
        <v>1826</v>
      </c>
      <c r="C142" s="436"/>
      <c r="D142" s="437"/>
      <c r="E142" s="437"/>
      <c r="F142" s="437"/>
      <c r="G142" s="438"/>
      <c r="H142" s="439" t="s">
        <v>1826</v>
      </c>
      <c r="I142" s="434"/>
      <c r="J142" s="435" t="s">
        <v>1826</v>
      </c>
      <c r="K142" s="436"/>
      <c r="L142" s="437"/>
      <c r="M142" s="437"/>
      <c r="N142" s="437"/>
      <c r="O142" s="438"/>
      <c r="P142" s="439" t="s">
        <v>1826</v>
      </c>
    </row>
    <row r="143" spans="1:16" ht="15.75" thickBot="1">
      <c r="A143" s="434"/>
      <c r="B143" s="435" t="s">
        <v>1827</v>
      </c>
      <c r="C143" s="436"/>
      <c r="D143" s="437"/>
      <c r="E143" s="437"/>
      <c r="F143" s="437"/>
      <c r="G143" s="438"/>
      <c r="H143" s="439" t="s">
        <v>1827</v>
      </c>
      <c r="I143" s="434"/>
      <c r="J143" s="435" t="s">
        <v>1827</v>
      </c>
      <c r="K143" s="436"/>
      <c r="L143" s="437"/>
      <c r="M143" s="437"/>
      <c r="N143" s="437"/>
      <c r="O143" s="438"/>
      <c r="P143" s="439" t="s">
        <v>1827</v>
      </c>
    </row>
    <row r="144" spans="1:16" ht="15.75" thickBot="1">
      <c r="A144" s="434"/>
      <c r="B144" s="435" t="s">
        <v>1828</v>
      </c>
      <c r="C144" s="436"/>
      <c r="D144" s="437"/>
      <c r="E144" s="437"/>
      <c r="F144" s="437"/>
      <c r="G144" s="438"/>
      <c r="H144" s="439" t="s">
        <v>1828</v>
      </c>
      <c r="I144" s="434"/>
      <c r="J144" s="435" t="s">
        <v>1828</v>
      </c>
      <c r="K144" s="436"/>
      <c r="L144" s="437"/>
      <c r="M144" s="437"/>
      <c r="N144" s="437"/>
      <c r="O144" s="438"/>
      <c r="P144" s="439" t="s">
        <v>1828</v>
      </c>
    </row>
    <row r="145" spans="1:16" ht="15.75" thickBot="1">
      <c r="A145" s="434"/>
      <c r="B145" s="435" t="s">
        <v>1829</v>
      </c>
      <c r="C145" s="436"/>
      <c r="D145" s="437"/>
      <c r="E145" s="437"/>
      <c r="F145" s="437"/>
      <c r="G145" s="438"/>
      <c r="H145" s="439" t="s">
        <v>1829</v>
      </c>
      <c r="I145" s="434"/>
      <c r="J145" s="435" t="s">
        <v>1829</v>
      </c>
      <c r="K145" s="436"/>
      <c r="L145" s="437"/>
      <c r="M145" s="437"/>
      <c r="N145" s="437"/>
      <c r="O145" s="438"/>
      <c r="P145" s="439" t="s">
        <v>1829</v>
      </c>
    </row>
    <row r="146" spans="1:16" ht="15.75" thickBot="1">
      <c r="A146" s="434"/>
      <c r="B146" s="435" t="s">
        <v>1830</v>
      </c>
      <c r="C146" s="436"/>
      <c r="D146" s="437"/>
      <c r="E146" s="437"/>
      <c r="F146" s="437"/>
      <c r="G146" s="438"/>
      <c r="H146" s="439" t="s">
        <v>1830</v>
      </c>
      <c r="I146" s="434"/>
      <c r="J146" s="435" t="s">
        <v>1830</v>
      </c>
      <c r="K146" s="436"/>
      <c r="L146" s="437"/>
      <c r="M146" s="437"/>
      <c r="N146" s="437"/>
      <c r="O146" s="438"/>
      <c r="P146" s="439" t="s">
        <v>1830</v>
      </c>
    </row>
    <row r="147" spans="1:16" ht="15.75" thickBot="1">
      <c r="A147" s="434"/>
      <c r="B147" s="435" t="s">
        <v>1831</v>
      </c>
      <c r="C147" s="436"/>
      <c r="D147" s="437"/>
      <c r="E147" s="437"/>
      <c r="F147" s="437"/>
      <c r="G147" s="438"/>
      <c r="H147" s="439" t="s">
        <v>1831</v>
      </c>
      <c r="I147" s="434"/>
      <c r="J147" s="435" t="s">
        <v>1831</v>
      </c>
      <c r="K147" s="436"/>
      <c r="L147" s="437"/>
      <c r="M147" s="437"/>
      <c r="N147" s="437"/>
      <c r="O147" s="438"/>
      <c r="P147" s="439" t="s">
        <v>1831</v>
      </c>
    </row>
    <row r="148" spans="1:16" ht="15.75" thickBot="1">
      <c r="A148" s="434"/>
      <c r="B148" s="435" t="s">
        <v>1832</v>
      </c>
      <c r="C148" s="436"/>
      <c r="D148" s="437"/>
      <c r="E148" s="437"/>
      <c r="F148" s="437"/>
      <c r="G148" s="438"/>
      <c r="H148" s="439" t="s">
        <v>1832</v>
      </c>
      <c r="I148" s="434"/>
      <c r="J148" s="435" t="s">
        <v>1832</v>
      </c>
      <c r="K148" s="436"/>
      <c r="L148" s="437"/>
      <c r="M148" s="437"/>
      <c r="N148" s="437"/>
      <c r="O148" s="438"/>
      <c r="P148" s="439" t="s">
        <v>1832</v>
      </c>
    </row>
    <row r="149" spans="1:16" ht="15.75" thickBot="1">
      <c r="A149" s="434"/>
      <c r="B149" s="435" t="s">
        <v>1833</v>
      </c>
      <c r="C149" s="436"/>
      <c r="D149" s="437"/>
      <c r="E149" s="437"/>
      <c r="F149" s="437"/>
      <c r="G149" s="438"/>
      <c r="H149" s="439" t="s">
        <v>1833</v>
      </c>
      <c r="I149" s="434"/>
      <c r="J149" s="435" t="s">
        <v>1833</v>
      </c>
      <c r="K149" s="436"/>
      <c r="L149" s="437"/>
      <c r="M149" s="437"/>
      <c r="N149" s="437"/>
      <c r="O149" s="438"/>
      <c r="P149" s="439" t="s">
        <v>1833</v>
      </c>
    </row>
    <row r="150" spans="1:16" ht="26.25" thickBot="1">
      <c r="A150" s="440"/>
      <c r="B150" s="435" t="s">
        <v>1834</v>
      </c>
      <c r="C150" s="436"/>
      <c r="D150" s="437"/>
      <c r="E150" s="437"/>
      <c r="F150" s="437"/>
      <c r="G150" s="441"/>
      <c r="H150" s="439" t="s">
        <v>1835</v>
      </c>
      <c r="I150" s="440"/>
      <c r="J150" s="435" t="s">
        <v>1834</v>
      </c>
      <c r="K150" s="436"/>
      <c r="L150" s="437"/>
      <c r="M150" s="437"/>
      <c r="N150" s="437"/>
      <c r="O150" s="441"/>
      <c r="P150" s="439" t="s">
        <v>1835</v>
      </c>
    </row>
    <row r="151" spans="1:16" ht="15.75" thickBot="1">
      <c r="A151" s="442" t="s">
        <v>2154</v>
      </c>
      <c r="B151" s="435" t="s">
        <v>1822</v>
      </c>
      <c r="C151" s="436"/>
      <c r="D151" s="437"/>
      <c r="E151" s="437"/>
      <c r="F151" s="437"/>
      <c r="G151" s="443" t="s">
        <v>2154</v>
      </c>
      <c r="H151" s="439" t="s">
        <v>1822</v>
      </c>
      <c r="I151" s="442" t="s">
        <v>2154</v>
      </c>
      <c r="J151" s="435" t="s">
        <v>1822</v>
      </c>
      <c r="K151" s="436"/>
      <c r="L151" s="437"/>
      <c r="M151" s="437"/>
      <c r="N151" s="437"/>
      <c r="O151" s="443" t="s">
        <v>2154</v>
      </c>
      <c r="P151" s="439" t="s">
        <v>1822</v>
      </c>
    </row>
    <row r="152" spans="1:16" ht="15.75" thickBot="1">
      <c r="A152" s="434"/>
      <c r="B152" s="435" t="s">
        <v>1824</v>
      </c>
      <c r="C152" s="436"/>
      <c r="D152" s="437"/>
      <c r="E152" s="437"/>
      <c r="F152" s="437"/>
      <c r="G152" s="438"/>
      <c r="H152" s="439" t="s">
        <v>1824</v>
      </c>
      <c r="I152" s="434"/>
      <c r="J152" s="435" t="s">
        <v>1824</v>
      </c>
      <c r="K152" s="436"/>
      <c r="L152" s="437"/>
      <c r="M152" s="437"/>
      <c r="N152" s="437"/>
      <c r="O152" s="438"/>
      <c r="P152" s="439" t="s">
        <v>1824</v>
      </c>
    </row>
    <row r="153" spans="1:16" ht="15.75" thickBot="1">
      <c r="A153" s="434"/>
      <c r="B153" s="435" t="s">
        <v>1825</v>
      </c>
      <c r="C153" s="436"/>
      <c r="D153" s="437"/>
      <c r="E153" s="437"/>
      <c r="F153" s="437"/>
      <c r="G153" s="438"/>
      <c r="H153" s="439" t="s">
        <v>1825</v>
      </c>
      <c r="I153" s="434"/>
      <c r="J153" s="435" t="s">
        <v>1825</v>
      </c>
      <c r="K153" s="436"/>
      <c r="L153" s="437"/>
      <c r="M153" s="437"/>
      <c r="N153" s="437"/>
      <c r="O153" s="438"/>
      <c r="P153" s="439" t="s">
        <v>1825</v>
      </c>
    </row>
    <row r="154" spans="1:16" ht="15.75" thickBot="1">
      <c r="A154" s="434"/>
      <c r="B154" s="435" t="s">
        <v>1826</v>
      </c>
      <c r="C154" s="436"/>
      <c r="D154" s="437"/>
      <c r="E154" s="437"/>
      <c r="F154" s="437"/>
      <c r="G154" s="438"/>
      <c r="H154" s="439" t="s">
        <v>1826</v>
      </c>
      <c r="I154" s="434"/>
      <c r="J154" s="435" t="s">
        <v>1826</v>
      </c>
      <c r="K154" s="436"/>
      <c r="L154" s="437"/>
      <c r="M154" s="437"/>
      <c r="N154" s="437"/>
      <c r="O154" s="438"/>
      <c r="P154" s="439" t="s">
        <v>1826</v>
      </c>
    </row>
    <row r="155" spans="1:16" ht="15.75" thickBot="1">
      <c r="A155" s="434"/>
      <c r="B155" s="435" t="s">
        <v>1827</v>
      </c>
      <c r="C155" s="436"/>
      <c r="D155" s="437"/>
      <c r="E155" s="437"/>
      <c r="F155" s="437"/>
      <c r="G155" s="438"/>
      <c r="H155" s="439" t="s">
        <v>1827</v>
      </c>
      <c r="I155" s="434"/>
      <c r="J155" s="435" t="s">
        <v>1827</v>
      </c>
      <c r="K155" s="436"/>
      <c r="L155" s="437"/>
      <c r="M155" s="437"/>
      <c r="N155" s="437"/>
      <c r="O155" s="438"/>
      <c r="P155" s="439" t="s">
        <v>1827</v>
      </c>
    </row>
    <row r="156" spans="1:16" ht="15.75" thickBot="1">
      <c r="A156" s="434"/>
      <c r="B156" s="435" t="s">
        <v>1828</v>
      </c>
      <c r="C156" s="436"/>
      <c r="D156" s="437"/>
      <c r="E156" s="437"/>
      <c r="F156" s="437"/>
      <c r="G156" s="438"/>
      <c r="H156" s="439" t="s">
        <v>1828</v>
      </c>
      <c r="I156" s="434"/>
      <c r="J156" s="435" t="s">
        <v>1828</v>
      </c>
      <c r="K156" s="436"/>
      <c r="L156" s="437"/>
      <c r="M156" s="437"/>
      <c r="N156" s="437"/>
      <c r="O156" s="438"/>
      <c r="P156" s="439" t="s">
        <v>1828</v>
      </c>
    </row>
    <row r="157" spans="1:16" ht="15.75" thickBot="1">
      <c r="A157" s="434"/>
      <c r="B157" s="435" t="s">
        <v>1829</v>
      </c>
      <c r="C157" s="436"/>
      <c r="D157" s="437"/>
      <c r="E157" s="437"/>
      <c r="F157" s="437"/>
      <c r="G157" s="438"/>
      <c r="H157" s="439" t="s">
        <v>1829</v>
      </c>
      <c r="I157" s="434"/>
      <c r="J157" s="435" t="s">
        <v>1829</v>
      </c>
      <c r="K157" s="436"/>
      <c r="L157" s="437"/>
      <c r="M157" s="437"/>
      <c r="N157" s="437"/>
      <c r="O157" s="438"/>
      <c r="P157" s="439" t="s">
        <v>1829</v>
      </c>
    </row>
    <row r="158" spans="1:16" ht="15.75" thickBot="1">
      <c r="A158" s="434"/>
      <c r="B158" s="435" t="s">
        <v>1830</v>
      </c>
      <c r="C158" s="436"/>
      <c r="D158" s="437"/>
      <c r="E158" s="437"/>
      <c r="F158" s="437"/>
      <c r="G158" s="438"/>
      <c r="H158" s="439" t="s">
        <v>1830</v>
      </c>
      <c r="I158" s="434"/>
      <c r="J158" s="435" t="s">
        <v>1830</v>
      </c>
      <c r="K158" s="436"/>
      <c r="L158" s="437"/>
      <c r="M158" s="437"/>
      <c r="N158" s="437"/>
      <c r="O158" s="438"/>
      <c r="P158" s="439" t="s">
        <v>1830</v>
      </c>
    </row>
    <row r="159" spans="1:16" ht="15.75" thickBot="1">
      <c r="A159" s="434"/>
      <c r="B159" s="435" t="s">
        <v>1831</v>
      </c>
      <c r="C159" s="436"/>
      <c r="D159" s="437"/>
      <c r="E159" s="437"/>
      <c r="F159" s="437"/>
      <c r="G159" s="438"/>
      <c r="H159" s="439" t="s">
        <v>1831</v>
      </c>
      <c r="I159" s="434"/>
      <c r="J159" s="435" t="s">
        <v>1831</v>
      </c>
      <c r="K159" s="436"/>
      <c r="L159" s="437"/>
      <c r="M159" s="437"/>
      <c r="N159" s="437"/>
      <c r="O159" s="438"/>
      <c r="P159" s="439" t="s">
        <v>1831</v>
      </c>
    </row>
    <row r="160" spans="1:16" ht="15.75" thickBot="1">
      <c r="A160" s="434"/>
      <c r="B160" s="435" t="s">
        <v>1832</v>
      </c>
      <c r="C160" s="436"/>
      <c r="D160" s="437"/>
      <c r="E160" s="437"/>
      <c r="F160" s="437"/>
      <c r="G160" s="438"/>
      <c r="H160" s="439" t="s">
        <v>1832</v>
      </c>
      <c r="I160" s="434"/>
      <c r="J160" s="435" t="s">
        <v>1832</v>
      </c>
      <c r="K160" s="436"/>
      <c r="L160" s="437"/>
      <c r="M160" s="437"/>
      <c r="N160" s="437"/>
      <c r="O160" s="438"/>
      <c r="P160" s="439" t="s">
        <v>1832</v>
      </c>
    </row>
    <row r="161" spans="1:16" ht="15.75" thickBot="1">
      <c r="A161" s="434"/>
      <c r="B161" s="435" t="s">
        <v>1833</v>
      </c>
      <c r="C161" s="436"/>
      <c r="D161" s="437"/>
      <c r="E161" s="437"/>
      <c r="F161" s="437"/>
      <c r="G161" s="438"/>
      <c r="H161" s="439" t="s">
        <v>1833</v>
      </c>
      <c r="I161" s="434"/>
      <c r="J161" s="435" t="s">
        <v>1833</v>
      </c>
      <c r="K161" s="436"/>
      <c r="L161" s="437"/>
      <c r="M161" s="437"/>
      <c r="N161" s="437"/>
      <c r="O161" s="438"/>
      <c r="P161" s="439" t="s">
        <v>1833</v>
      </c>
    </row>
    <row r="162" spans="1:16" ht="26.25" thickBot="1">
      <c r="A162" s="440"/>
      <c r="B162" s="435" t="s">
        <v>1834</v>
      </c>
      <c r="C162" s="436"/>
      <c r="D162" s="437"/>
      <c r="E162" s="437"/>
      <c r="F162" s="437"/>
      <c r="G162" s="441"/>
      <c r="H162" s="439" t="s">
        <v>1835</v>
      </c>
      <c r="I162" s="440"/>
      <c r="J162" s="435" t="s">
        <v>1834</v>
      </c>
      <c r="K162" s="436"/>
      <c r="L162" s="437"/>
      <c r="M162" s="437"/>
      <c r="N162" s="437"/>
      <c r="O162" s="441"/>
      <c r="P162" s="439" t="s">
        <v>1835</v>
      </c>
    </row>
    <row r="163" spans="1:16" ht="15.75" thickBot="1">
      <c r="A163" s="442" t="s">
        <v>2155</v>
      </c>
      <c r="B163" s="435" t="s">
        <v>1822</v>
      </c>
      <c r="C163" s="436"/>
      <c r="D163" s="437"/>
      <c r="E163" s="437"/>
      <c r="F163" s="437"/>
      <c r="G163" s="443" t="s">
        <v>2155</v>
      </c>
      <c r="H163" s="439" t="s">
        <v>1822</v>
      </c>
      <c r="I163" s="442" t="s">
        <v>2155</v>
      </c>
      <c r="J163" s="435" t="s">
        <v>1822</v>
      </c>
      <c r="K163" s="436"/>
      <c r="L163" s="437"/>
      <c r="M163" s="437"/>
      <c r="N163" s="437"/>
      <c r="O163" s="443" t="s">
        <v>2155</v>
      </c>
      <c r="P163" s="439" t="s">
        <v>1822</v>
      </c>
    </row>
    <row r="164" spans="1:16" ht="15.75" thickBot="1">
      <c r="A164" s="434"/>
      <c r="B164" s="435" t="s">
        <v>1824</v>
      </c>
      <c r="C164" s="436"/>
      <c r="D164" s="437"/>
      <c r="E164" s="437"/>
      <c r="F164" s="437"/>
      <c r="G164" s="438"/>
      <c r="H164" s="439" t="s">
        <v>1824</v>
      </c>
      <c r="I164" s="434"/>
      <c r="J164" s="435" t="s">
        <v>1824</v>
      </c>
      <c r="K164" s="436"/>
      <c r="L164" s="437"/>
      <c r="M164" s="437"/>
      <c r="N164" s="437"/>
      <c r="O164" s="438"/>
      <c r="P164" s="439" t="s">
        <v>1824</v>
      </c>
    </row>
    <row r="165" spans="1:16" ht="15.75" thickBot="1">
      <c r="A165" s="434"/>
      <c r="B165" s="435" t="s">
        <v>1825</v>
      </c>
      <c r="C165" s="436"/>
      <c r="D165" s="437"/>
      <c r="E165" s="437"/>
      <c r="F165" s="437"/>
      <c r="G165" s="438"/>
      <c r="H165" s="439" t="s">
        <v>1825</v>
      </c>
      <c r="I165" s="434"/>
      <c r="J165" s="435" t="s">
        <v>1825</v>
      </c>
      <c r="K165" s="436"/>
      <c r="L165" s="437"/>
      <c r="M165" s="437"/>
      <c r="N165" s="437"/>
      <c r="O165" s="438"/>
      <c r="P165" s="439" t="s">
        <v>1825</v>
      </c>
    </row>
    <row r="166" spans="1:16" ht="15.75" thickBot="1">
      <c r="A166" s="434"/>
      <c r="B166" s="435" t="s">
        <v>1826</v>
      </c>
      <c r="C166" s="436"/>
      <c r="D166" s="437"/>
      <c r="E166" s="437"/>
      <c r="F166" s="437"/>
      <c r="G166" s="438"/>
      <c r="H166" s="439" t="s">
        <v>1826</v>
      </c>
      <c r="I166" s="434"/>
      <c r="J166" s="435" t="s">
        <v>1826</v>
      </c>
      <c r="K166" s="436"/>
      <c r="L166" s="437"/>
      <c r="M166" s="437"/>
      <c r="N166" s="437"/>
      <c r="O166" s="438"/>
      <c r="P166" s="439" t="s">
        <v>1826</v>
      </c>
    </row>
    <row r="167" spans="1:16" ht="15.75" thickBot="1">
      <c r="A167" s="434"/>
      <c r="B167" s="435" t="s">
        <v>1827</v>
      </c>
      <c r="C167" s="436"/>
      <c r="D167" s="437"/>
      <c r="E167" s="437"/>
      <c r="F167" s="437"/>
      <c r="G167" s="438"/>
      <c r="H167" s="439" t="s">
        <v>1827</v>
      </c>
      <c r="I167" s="434"/>
      <c r="J167" s="435" t="s">
        <v>1827</v>
      </c>
      <c r="K167" s="436"/>
      <c r="L167" s="437"/>
      <c r="M167" s="437"/>
      <c r="N167" s="437"/>
      <c r="O167" s="438"/>
      <c r="P167" s="439" t="s">
        <v>1827</v>
      </c>
    </row>
    <row r="168" spans="1:16" ht="15.75" thickBot="1">
      <c r="A168" s="434"/>
      <c r="B168" s="435" t="s">
        <v>1828</v>
      </c>
      <c r="C168" s="436"/>
      <c r="D168" s="437"/>
      <c r="E168" s="437"/>
      <c r="F168" s="437"/>
      <c r="G168" s="438"/>
      <c r="H168" s="439" t="s">
        <v>1828</v>
      </c>
      <c r="I168" s="434"/>
      <c r="J168" s="435" t="s">
        <v>1828</v>
      </c>
      <c r="K168" s="436"/>
      <c r="L168" s="437"/>
      <c r="M168" s="437"/>
      <c r="N168" s="437"/>
      <c r="O168" s="438"/>
      <c r="P168" s="439" t="s">
        <v>1828</v>
      </c>
    </row>
    <row r="169" spans="1:16" ht="15.75" thickBot="1">
      <c r="A169" s="434"/>
      <c r="B169" s="435" t="s">
        <v>1829</v>
      </c>
      <c r="C169" s="436"/>
      <c r="D169" s="437"/>
      <c r="E169" s="437"/>
      <c r="F169" s="437"/>
      <c r="G169" s="438"/>
      <c r="H169" s="439" t="s">
        <v>1829</v>
      </c>
      <c r="I169" s="434"/>
      <c r="J169" s="435" t="s">
        <v>1829</v>
      </c>
      <c r="K169" s="436"/>
      <c r="L169" s="437"/>
      <c r="M169" s="437"/>
      <c r="N169" s="437"/>
      <c r="O169" s="438"/>
      <c r="P169" s="439" t="s">
        <v>1829</v>
      </c>
    </row>
    <row r="170" spans="1:16" ht="15.75" thickBot="1">
      <c r="A170" s="434"/>
      <c r="B170" s="435" t="s">
        <v>1830</v>
      </c>
      <c r="C170" s="436"/>
      <c r="D170" s="437"/>
      <c r="E170" s="437"/>
      <c r="F170" s="437"/>
      <c r="G170" s="438"/>
      <c r="H170" s="439" t="s">
        <v>1830</v>
      </c>
      <c r="I170" s="434"/>
      <c r="J170" s="435" t="s">
        <v>1830</v>
      </c>
      <c r="K170" s="436"/>
      <c r="L170" s="437"/>
      <c r="M170" s="437"/>
      <c r="N170" s="437"/>
      <c r="O170" s="438"/>
      <c r="P170" s="439" t="s">
        <v>1830</v>
      </c>
    </row>
    <row r="171" spans="1:16" ht="15.75" thickBot="1">
      <c r="A171" s="434"/>
      <c r="B171" s="435" t="s">
        <v>1831</v>
      </c>
      <c r="C171" s="436"/>
      <c r="D171" s="437"/>
      <c r="E171" s="437"/>
      <c r="F171" s="437"/>
      <c r="G171" s="438"/>
      <c r="H171" s="439" t="s">
        <v>1831</v>
      </c>
      <c r="I171" s="434"/>
      <c r="J171" s="435" t="s">
        <v>1831</v>
      </c>
      <c r="K171" s="436"/>
      <c r="L171" s="437"/>
      <c r="M171" s="437"/>
      <c r="N171" s="437"/>
      <c r="O171" s="438"/>
      <c r="P171" s="439" t="s">
        <v>1831</v>
      </c>
    </row>
    <row r="172" spans="1:16" ht="15.75" thickBot="1">
      <c r="A172" s="434"/>
      <c r="B172" s="435" t="s">
        <v>1832</v>
      </c>
      <c r="C172" s="436"/>
      <c r="D172" s="437"/>
      <c r="E172" s="437"/>
      <c r="F172" s="437"/>
      <c r="G172" s="438"/>
      <c r="H172" s="439" t="s">
        <v>1832</v>
      </c>
      <c r="I172" s="434"/>
      <c r="J172" s="435" t="s">
        <v>1832</v>
      </c>
      <c r="K172" s="436"/>
      <c r="L172" s="437"/>
      <c r="M172" s="437"/>
      <c r="N172" s="437"/>
      <c r="O172" s="438"/>
      <c r="P172" s="439" t="s">
        <v>1832</v>
      </c>
    </row>
    <row r="173" spans="1:16" ht="15.75" thickBot="1">
      <c r="A173" s="434"/>
      <c r="B173" s="435" t="s">
        <v>1833</v>
      </c>
      <c r="C173" s="436"/>
      <c r="D173" s="437"/>
      <c r="E173" s="437"/>
      <c r="F173" s="437"/>
      <c r="G173" s="438"/>
      <c r="H173" s="439" t="s">
        <v>1833</v>
      </c>
      <c r="I173" s="434"/>
      <c r="J173" s="435" t="s">
        <v>1833</v>
      </c>
      <c r="K173" s="436"/>
      <c r="L173" s="437"/>
      <c r="M173" s="437"/>
      <c r="N173" s="437"/>
      <c r="O173" s="438"/>
      <c r="P173" s="439" t="s">
        <v>1833</v>
      </c>
    </row>
    <row r="174" spans="1:16" ht="26.25" thickBot="1">
      <c r="A174" s="440"/>
      <c r="B174" s="435" t="s">
        <v>1834</v>
      </c>
      <c r="C174" s="436"/>
      <c r="D174" s="437"/>
      <c r="E174" s="437"/>
      <c r="F174" s="437"/>
      <c r="G174" s="441"/>
      <c r="H174" s="439" t="s">
        <v>1835</v>
      </c>
      <c r="I174" s="440"/>
      <c r="J174" s="435" t="s">
        <v>1834</v>
      </c>
      <c r="K174" s="436"/>
      <c r="L174" s="437"/>
      <c r="M174" s="437"/>
      <c r="N174" s="437"/>
      <c r="O174" s="441"/>
      <c r="P174" s="439" t="s">
        <v>1835</v>
      </c>
    </row>
    <row r="175" spans="1:16" ht="15.75" thickBot="1">
      <c r="A175" s="442" t="s">
        <v>2156</v>
      </c>
      <c r="B175" s="435" t="s">
        <v>1822</v>
      </c>
      <c r="C175" s="436"/>
      <c r="D175" s="437"/>
      <c r="E175" s="437"/>
      <c r="F175" s="437"/>
      <c r="G175" s="443" t="s">
        <v>2156</v>
      </c>
      <c r="H175" s="439" t="s">
        <v>1822</v>
      </c>
      <c r="I175" s="442" t="s">
        <v>2156</v>
      </c>
      <c r="J175" s="435" t="s">
        <v>1822</v>
      </c>
      <c r="K175" s="436"/>
      <c r="L175" s="437"/>
      <c r="M175" s="437"/>
      <c r="N175" s="437"/>
      <c r="O175" s="443" t="s">
        <v>2156</v>
      </c>
      <c r="P175" s="439" t="s">
        <v>1822</v>
      </c>
    </row>
    <row r="176" spans="1:16" ht="15.75" thickBot="1">
      <c r="A176" s="434"/>
      <c r="B176" s="435" t="s">
        <v>1824</v>
      </c>
      <c r="C176" s="436"/>
      <c r="D176" s="437"/>
      <c r="E176" s="437"/>
      <c r="F176" s="437"/>
      <c r="G176" s="438"/>
      <c r="H176" s="439" t="s">
        <v>1824</v>
      </c>
      <c r="I176" s="434"/>
      <c r="J176" s="435" t="s">
        <v>1824</v>
      </c>
      <c r="K176" s="436"/>
      <c r="L176" s="437"/>
      <c r="M176" s="437"/>
      <c r="N176" s="437"/>
      <c r="O176" s="438"/>
      <c r="P176" s="439" t="s">
        <v>1824</v>
      </c>
    </row>
    <row r="177" spans="1:16" ht="15.75" thickBot="1">
      <c r="A177" s="434"/>
      <c r="B177" s="435" t="s">
        <v>1825</v>
      </c>
      <c r="C177" s="436"/>
      <c r="D177" s="437"/>
      <c r="E177" s="437"/>
      <c r="F177" s="437"/>
      <c r="G177" s="438"/>
      <c r="H177" s="439" t="s">
        <v>1825</v>
      </c>
      <c r="I177" s="434"/>
      <c r="J177" s="435" t="s">
        <v>1825</v>
      </c>
      <c r="K177" s="436"/>
      <c r="L177" s="437"/>
      <c r="M177" s="437"/>
      <c r="N177" s="437"/>
      <c r="O177" s="438"/>
      <c r="P177" s="439" t="s">
        <v>1825</v>
      </c>
    </row>
    <row r="178" spans="1:16" ht="15.75" thickBot="1">
      <c r="A178" s="434"/>
      <c r="B178" s="435" t="s">
        <v>1826</v>
      </c>
      <c r="C178" s="436"/>
      <c r="D178" s="437"/>
      <c r="E178" s="437"/>
      <c r="F178" s="437"/>
      <c r="G178" s="438"/>
      <c r="H178" s="439" t="s">
        <v>1826</v>
      </c>
      <c r="I178" s="434"/>
      <c r="J178" s="435" t="s">
        <v>1826</v>
      </c>
      <c r="K178" s="436"/>
      <c r="L178" s="437"/>
      <c r="M178" s="437"/>
      <c r="N178" s="437"/>
      <c r="O178" s="438"/>
      <c r="P178" s="439" t="s">
        <v>1826</v>
      </c>
    </row>
    <row r="179" spans="1:16" ht="15.75" thickBot="1">
      <c r="A179" s="434"/>
      <c r="B179" s="435" t="s">
        <v>1827</v>
      </c>
      <c r="C179" s="436"/>
      <c r="D179" s="437"/>
      <c r="E179" s="437"/>
      <c r="F179" s="437"/>
      <c r="G179" s="438"/>
      <c r="H179" s="439" t="s">
        <v>1827</v>
      </c>
      <c r="I179" s="434"/>
      <c r="J179" s="435" t="s">
        <v>1827</v>
      </c>
      <c r="K179" s="436"/>
      <c r="L179" s="437"/>
      <c r="M179" s="437"/>
      <c r="N179" s="437"/>
      <c r="O179" s="438"/>
      <c r="P179" s="439" t="s">
        <v>1827</v>
      </c>
    </row>
    <row r="180" spans="1:16" ht="15.75" thickBot="1">
      <c r="A180" s="434"/>
      <c r="B180" s="435" t="s">
        <v>1828</v>
      </c>
      <c r="C180" s="436"/>
      <c r="D180" s="437"/>
      <c r="E180" s="437"/>
      <c r="F180" s="437"/>
      <c r="G180" s="438"/>
      <c r="H180" s="439" t="s">
        <v>1828</v>
      </c>
      <c r="I180" s="434"/>
      <c r="J180" s="435" t="s">
        <v>1828</v>
      </c>
      <c r="K180" s="436"/>
      <c r="L180" s="437"/>
      <c r="M180" s="437"/>
      <c r="N180" s="437"/>
      <c r="O180" s="438"/>
      <c r="P180" s="439" t="s">
        <v>1828</v>
      </c>
    </row>
    <row r="181" spans="1:16" ht="15.75" thickBot="1">
      <c r="A181" s="434"/>
      <c r="B181" s="435" t="s">
        <v>1829</v>
      </c>
      <c r="C181" s="436"/>
      <c r="D181" s="437"/>
      <c r="E181" s="437"/>
      <c r="F181" s="437"/>
      <c r="G181" s="438"/>
      <c r="H181" s="439" t="s">
        <v>1829</v>
      </c>
      <c r="I181" s="434"/>
      <c r="J181" s="435" t="s">
        <v>1829</v>
      </c>
      <c r="K181" s="436"/>
      <c r="L181" s="437"/>
      <c r="M181" s="437"/>
      <c r="N181" s="437"/>
      <c r="O181" s="438"/>
      <c r="P181" s="439" t="s">
        <v>1829</v>
      </c>
    </row>
    <row r="182" spans="1:16" ht="15.75" thickBot="1">
      <c r="A182" s="434"/>
      <c r="B182" s="435" t="s">
        <v>1830</v>
      </c>
      <c r="C182" s="436"/>
      <c r="D182" s="437"/>
      <c r="E182" s="437"/>
      <c r="F182" s="437"/>
      <c r="G182" s="438"/>
      <c r="H182" s="439" t="s">
        <v>1830</v>
      </c>
      <c r="I182" s="434"/>
      <c r="J182" s="435" t="s">
        <v>1830</v>
      </c>
      <c r="K182" s="436"/>
      <c r="L182" s="437"/>
      <c r="M182" s="437"/>
      <c r="N182" s="437"/>
      <c r="O182" s="438"/>
      <c r="P182" s="439" t="s">
        <v>1830</v>
      </c>
    </row>
    <row r="183" spans="1:16" ht="15.75" thickBot="1">
      <c r="A183" s="434"/>
      <c r="B183" s="435" t="s">
        <v>1831</v>
      </c>
      <c r="C183" s="436"/>
      <c r="D183" s="437"/>
      <c r="E183" s="437"/>
      <c r="F183" s="437"/>
      <c r="G183" s="438"/>
      <c r="H183" s="439" t="s">
        <v>1831</v>
      </c>
      <c r="I183" s="434"/>
      <c r="J183" s="435" t="s">
        <v>1831</v>
      </c>
      <c r="K183" s="436"/>
      <c r="L183" s="437"/>
      <c r="M183" s="437"/>
      <c r="N183" s="437"/>
      <c r="O183" s="438"/>
      <c r="P183" s="439" t="s">
        <v>1831</v>
      </c>
    </row>
    <row r="184" spans="1:16" ht="15.75" thickBot="1">
      <c r="A184" s="434"/>
      <c r="B184" s="435" t="s">
        <v>1832</v>
      </c>
      <c r="C184" s="436"/>
      <c r="D184" s="437"/>
      <c r="E184" s="437"/>
      <c r="F184" s="437"/>
      <c r="G184" s="438"/>
      <c r="H184" s="439" t="s">
        <v>1832</v>
      </c>
      <c r="I184" s="434"/>
      <c r="J184" s="435" t="s">
        <v>1832</v>
      </c>
      <c r="K184" s="436"/>
      <c r="L184" s="437"/>
      <c r="M184" s="437"/>
      <c r="N184" s="437"/>
      <c r="O184" s="438"/>
      <c r="P184" s="439" t="s">
        <v>1832</v>
      </c>
    </row>
    <row r="185" spans="1:16" ht="15.75" thickBot="1">
      <c r="A185" s="434"/>
      <c r="B185" s="435" t="s">
        <v>1833</v>
      </c>
      <c r="C185" s="436"/>
      <c r="D185" s="437"/>
      <c r="E185" s="437"/>
      <c r="F185" s="437"/>
      <c r="G185" s="438"/>
      <c r="H185" s="439" t="s">
        <v>1833</v>
      </c>
      <c r="I185" s="434"/>
      <c r="J185" s="435" t="s">
        <v>1833</v>
      </c>
      <c r="K185" s="436"/>
      <c r="L185" s="437"/>
      <c r="M185" s="437"/>
      <c r="N185" s="437"/>
      <c r="O185" s="438"/>
      <c r="P185" s="439" t="s">
        <v>1833</v>
      </c>
    </row>
    <row r="186" spans="1:16" ht="26.25" thickBot="1">
      <c r="A186" s="440"/>
      <c r="B186" s="435" t="s">
        <v>1834</v>
      </c>
      <c r="C186" s="436"/>
      <c r="D186" s="437"/>
      <c r="E186" s="437"/>
      <c r="F186" s="437"/>
      <c r="G186" s="441"/>
      <c r="H186" s="439" t="s">
        <v>1835</v>
      </c>
      <c r="I186" s="440"/>
      <c r="J186" s="435" t="s">
        <v>1834</v>
      </c>
      <c r="K186" s="436"/>
      <c r="L186" s="437"/>
      <c r="M186" s="437"/>
      <c r="N186" s="437"/>
      <c r="O186" s="441"/>
      <c r="P186" s="439" t="s">
        <v>1835</v>
      </c>
    </row>
    <row r="187" spans="1:16" ht="15.75" thickBot="1">
      <c r="A187" s="442" t="s">
        <v>2157</v>
      </c>
      <c r="B187" s="435" t="s">
        <v>1822</v>
      </c>
      <c r="C187" s="436"/>
      <c r="D187" s="437"/>
      <c r="E187" s="437"/>
      <c r="F187" s="437"/>
      <c r="G187" s="443" t="s">
        <v>2157</v>
      </c>
      <c r="H187" s="439" t="s">
        <v>1822</v>
      </c>
      <c r="I187" s="442" t="s">
        <v>2157</v>
      </c>
      <c r="J187" s="435" t="s">
        <v>1822</v>
      </c>
      <c r="K187" s="436"/>
      <c r="L187" s="437"/>
      <c r="M187" s="437"/>
      <c r="N187" s="437"/>
      <c r="O187" s="443" t="s">
        <v>2157</v>
      </c>
      <c r="P187" s="439" t="s">
        <v>1822</v>
      </c>
    </row>
    <row r="188" spans="1:16" ht="15.75" thickBot="1">
      <c r="A188" s="434"/>
      <c r="B188" s="435" t="s">
        <v>1824</v>
      </c>
      <c r="C188" s="436"/>
      <c r="D188" s="437"/>
      <c r="E188" s="437"/>
      <c r="F188" s="437"/>
      <c r="G188" s="438"/>
      <c r="H188" s="439" t="s">
        <v>1824</v>
      </c>
      <c r="I188" s="434"/>
      <c r="J188" s="435" t="s">
        <v>1824</v>
      </c>
      <c r="K188" s="436"/>
      <c r="L188" s="437"/>
      <c r="M188" s="437"/>
      <c r="N188" s="437"/>
      <c r="O188" s="438"/>
      <c r="P188" s="439" t="s">
        <v>1824</v>
      </c>
    </row>
    <row r="189" spans="1:16" ht="15.75" thickBot="1">
      <c r="A189" s="434"/>
      <c r="B189" s="435" t="s">
        <v>1825</v>
      </c>
      <c r="C189" s="436"/>
      <c r="D189" s="437"/>
      <c r="E189" s="437"/>
      <c r="F189" s="437"/>
      <c r="G189" s="438"/>
      <c r="H189" s="439" t="s">
        <v>1825</v>
      </c>
      <c r="I189" s="434"/>
      <c r="J189" s="435" t="s">
        <v>1825</v>
      </c>
      <c r="K189" s="436"/>
      <c r="L189" s="437"/>
      <c r="M189" s="437"/>
      <c r="N189" s="437"/>
      <c r="O189" s="438"/>
      <c r="P189" s="439" t="s">
        <v>1825</v>
      </c>
    </row>
    <row r="190" spans="1:16" ht="15.75" thickBot="1">
      <c r="A190" s="434"/>
      <c r="B190" s="435" t="s">
        <v>1826</v>
      </c>
      <c r="C190" s="436"/>
      <c r="D190" s="437"/>
      <c r="E190" s="437"/>
      <c r="F190" s="437"/>
      <c r="G190" s="438"/>
      <c r="H190" s="439" t="s">
        <v>1826</v>
      </c>
      <c r="I190" s="434"/>
      <c r="J190" s="435" t="s">
        <v>1826</v>
      </c>
      <c r="K190" s="436"/>
      <c r="L190" s="437"/>
      <c r="M190" s="437"/>
      <c r="N190" s="437"/>
      <c r="O190" s="438"/>
      <c r="P190" s="439" t="s">
        <v>1826</v>
      </c>
    </row>
    <row r="191" spans="1:16" ht="15.75" thickBot="1">
      <c r="A191" s="434"/>
      <c r="B191" s="435" t="s">
        <v>1827</v>
      </c>
      <c r="C191" s="436"/>
      <c r="D191" s="437"/>
      <c r="E191" s="437"/>
      <c r="F191" s="437"/>
      <c r="G191" s="438"/>
      <c r="H191" s="439" t="s">
        <v>1827</v>
      </c>
      <c r="I191" s="434"/>
      <c r="J191" s="435" t="s">
        <v>1827</v>
      </c>
      <c r="K191" s="436"/>
      <c r="L191" s="437"/>
      <c r="M191" s="437"/>
      <c r="N191" s="437"/>
      <c r="O191" s="438"/>
      <c r="P191" s="439" t="s">
        <v>1827</v>
      </c>
    </row>
    <row r="192" spans="1:16" ht="15.75" thickBot="1">
      <c r="A192" s="434"/>
      <c r="B192" s="435" t="s">
        <v>1828</v>
      </c>
      <c r="C192" s="436"/>
      <c r="D192" s="437"/>
      <c r="E192" s="437"/>
      <c r="F192" s="437"/>
      <c r="G192" s="438"/>
      <c r="H192" s="439" t="s">
        <v>1828</v>
      </c>
      <c r="I192" s="434"/>
      <c r="J192" s="435" t="s">
        <v>1828</v>
      </c>
      <c r="K192" s="436"/>
      <c r="L192" s="437"/>
      <c r="M192" s="437"/>
      <c r="N192" s="437"/>
      <c r="O192" s="438"/>
      <c r="P192" s="439" t="s">
        <v>1828</v>
      </c>
    </row>
    <row r="193" spans="1:16" ht="15.75" thickBot="1">
      <c r="A193" s="434"/>
      <c r="B193" s="435" t="s">
        <v>1829</v>
      </c>
      <c r="C193" s="436"/>
      <c r="D193" s="437"/>
      <c r="E193" s="437"/>
      <c r="F193" s="437"/>
      <c r="G193" s="438"/>
      <c r="H193" s="439" t="s">
        <v>1829</v>
      </c>
      <c r="I193" s="434"/>
      <c r="J193" s="435" t="s">
        <v>1829</v>
      </c>
      <c r="K193" s="436"/>
      <c r="L193" s="437"/>
      <c r="M193" s="437"/>
      <c r="N193" s="437"/>
      <c r="O193" s="438"/>
      <c r="P193" s="439" t="s">
        <v>1829</v>
      </c>
    </row>
    <row r="194" spans="1:16" ht="15.75" thickBot="1">
      <c r="A194" s="434"/>
      <c r="B194" s="435" t="s">
        <v>1830</v>
      </c>
      <c r="C194" s="436"/>
      <c r="D194" s="437"/>
      <c r="E194" s="437"/>
      <c r="F194" s="437"/>
      <c r="G194" s="438"/>
      <c r="H194" s="439" t="s">
        <v>1830</v>
      </c>
      <c r="I194" s="434"/>
      <c r="J194" s="435" t="s">
        <v>1830</v>
      </c>
      <c r="K194" s="436"/>
      <c r="L194" s="437"/>
      <c r="M194" s="437"/>
      <c r="N194" s="437"/>
      <c r="O194" s="438"/>
      <c r="P194" s="439" t="s">
        <v>1830</v>
      </c>
    </row>
    <row r="195" spans="1:16" ht="15.75" thickBot="1">
      <c r="A195" s="434"/>
      <c r="B195" s="435" t="s">
        <v>1831</v>
      </c>
      <c r="C195" s="436"/>
      <c r="D195" s="437"/>
      <c r="E195" s="437"/>
      <c r="F195" s="437"/>
      <c r="G195" s="438"/>
      <c r="H195" s="439" t="s">
        <v>1831</v>
      </c>
      <c r="I195" s="434"/>
      <c r="J195" s="435" t="s">
        <v>1831</v>
      </c>
      <c r="K195" s="436"/>
      <c r="L195" s="437"/>
      <c r="M195" s="437"/>
      <c r="N195" s="437"/>
      <c r="O195" s="438"/>
      <c r="P195" s="439" t="s">
        <v>1831</v>
      </c>
    </row>
    <row r="196" spans="1:16" ht="15.75" thickBot="1">
      <c r="A196" s="434"/>
      <c r="B196" s="435" t="s">
        <v>1832</v>
      </c>
      <c r="C196" s="436"/>
      <c r="D196" s="437"/>
      <c r="E196" s="437"/>
      <c r="F196" s="437"/>
      <c r="G196" s="438"/>
      <c r="H196" s="439" t="s">
        <v>1832</v>
      </c>
      <c r="I196" s="434"/>
      <c r="J196" s="435" t="s">
        <v>1832</v>
      </c>
      <c r="K196" s="436"/>
      <c r="L196" s="437"/>
      <c r="M196" s="437"/>
      <c r="N196" s="437"/>
      <c r="O196" s="438"/>
      <c r="P196" s="439" t="s">
        <v>1832</v>
      </c>
    </row>
    <row r="197" spans="1:16" ht="15.75" thickBot="1">
      <c r="A197" s="434"/>
      <c r="B197" s="435" t="s">
        <v>1833</v>
      </c>
      <c r="C197" s="436"/>
      <c r="D197" s="437"/>
      <c r="E197" s="437"/>
      <c r="F197" s="437"/>
      <c r="G197" s="438"/>
      <c r="H197" s="439" t="s">
        <v>1833</v>
      </c>
      <c r="I197" s="434"/>
      <c r="J197" s="435" t="s">
        <v>1833</v>
      </c>
      <c r="K197" s="436"/>
      <c r="L197" s="437"/>
      <c r="M197" s="437"/>
      <c r="N197" s="437"/>
      <c r="O197" s="438"/>
      <c r="P197" s="439" t="s">
        <v>1833</v>
      </c>
    </row>
    <row r="198" spans="1:16" ht="26.25" thickBot="1">
      <c r="A198" s="440"/>
      <c r="B198" s="435" t="s">
        <v>1834</v>
      </c>
      <c r="C198" s="436"/>
      <c r="D198" s="437"/>
      <c r="E198" s="437"/>
      <c r="F198" s="437"/>
      <c r="G198" s="441"/>
      <c r="H198" s="439" t="s">
        <v>1835</v>
      </c>
      <c r="I198" s="440"/>
      <c r="J198" s="435" t="s">
        <v>1834</v>
      </c>
      <c r="K198" s="436"/>
      <c r="L198" s="437"/>
      <c r="M198" s="437"/>
      <c r="N198" s="437"/>
      <c r="O198" s="441"/>
      <c r="P198" s="439" t="s">
        <v>1835</v>
      </c>
    </row>
    <row r="199" spans="1:16" ht="15.75" thickBot="1">
      <c r="A199" s="442" t="s">
        <v>2158</v>
      </c>
      <c r="B199" s="435" t="s">
        <v>1822</v>
      </c>
      <c r="C199" s="436"/>
      <c r="D199" s="437"/>
      <c r="E199" s="437"/>
      <c r="F199" s="437"/>
      <c r="G199" s="443" t="s">
        <v>2158</v>
      </c>
      <c r="H199" s="439" t="s">
        <v>1822</v>
      </c>
      <c r="I199" s="442" t="s">
        <v>2158</v>
      </c>
      <c r="J199" s="435" t="s">
        <v>1822</v>
      </c>
      <c r="K199" s="436"/>
      <c r="L199" s="437"/>
      <c r="M199" s="437"/>
      <c r="N199" s="437"/>
      <c r="O199" s="443" t="s">
        <v>2158</v>
      </c>
      <c r="P199" s="439" t="s">
        <v>1822</v>
      </c>
    </row>
    <row r="200" spans="1:16" ht="15.75" thickBot="1">
      <c r="A200" s="434"/>
      <c r="B200" s="435" t="s">
        <v>1824</v>
      </c>
      <c r="C200" s="436"/>
      <c r="D200" s="437"/>
      <c r="E200" s="437"/>
      <c r="F200" s="437"/>
      <c r="G200" s="438"/>
      <c r="H200" s="439" t="s">
        <v>1824</v>
      </c>
      <c r="I200" s="434"/>
      <c r="J200" s="435" t="s">
        <v>1824</v>
      </c>
      <c r="K200" s="436"/>
      <c r="L200" s="437"/>
      <c r="M200" s="437"/>
      <c r="N200" s="437"/>
      <c r="O200" s="438"/>
      <c r="P200" s="439" t="s">
        <v>1824</v>
      </c>
    </row>
    <row r="201" spans="1:16" ht="15.75" thickBot="1">
      <c r="A201" s="434"/>
      <c r="B201" s="435" t="s">
        <v>1825</v>
      </c>
      <c r="C201" s="436"/>
      <c r="D201" s="437"/>
      <c r="E201" s="437"/>
      <c r="F201" s="437"/>
      <c r="G201" s="438"/>
      <c r="H201" s="439" t="s">
        <v>1825</v>
      </c>
      <c r="I201" s="434"/>
      <c r="J201" s="435" t="s">
        <v>1825</v>
      </c>
      <c r="K201" s="436"/>
      <c r="L201" s="437"/>
      <c r="M201" s="437"/>
      <c r="N201" s="437"/>
      <c r="O201" s="438"/>
      <c r="P201" s="439" t="s">
        <v>1825</v>
      </c>
    </row>
    <row r="202" spans="1:16" ht="15.75" thickBot="1">
      <c r="A202" s="434"/>
      <c r="B202" s="435" t="s">
        <v>1826</v>
      </c>
      <c r="C202" s="436"/>
      <c r="D202" s="437"/>
      <c r="E202" s="437"/>
      <c r="F202" s="437"/>
      <c r="G202" s="438"/>
      <c r="H202" s="439" t="s">
        <v>1826</v>
      </c>
      <c r="I202" s="434"/>
      <c r="J202" s="435" t="s">
        <v>1826</v>
      </c>
      <c r="K202" s="436"/>
      <c r="L202" s="437"/>
      <c r="M202" s="437"/>
      <c r="N202" s="437"/>
      <c r="O202" s="438"/>
      <c r="P202" s="439" t="s">
        <v>1826</v>
      </c>
    </row>
    <row r="203" spans="1:16" ht="15.75" thickBot="1">
      <c r="A203" s="434"/>
      <c r="B203" s="435" t="s">
        <v>1827</v>
      </c>
      <c r="C203" s="436"/>
      <c r="D203" s="437"/>
      <c r="E203" s="437"/>
      <c r="F203" s="437"/>
      <c r="G203" s="438"/>
      <c r="H203" s="439" t="s">
        <v>1827</v>
      </c>
      <c r="I203" s="434"/>
      <c r="J203" s="435" t="s">
        <v>1827</v>
      </c>
      <c r="K203" s="436"/>
      <c r="L203" s="437"/>
      <c r="M203" s="437"/>
      <c r="N203" s="437"/>
      <c r="O203" s="438"/>
      <c r="P203" s="439" t="s">
        <v>1827</v>
      </c>
    </row>
    <row r="204" spans="1:16" ht="15.75" thickBot="1">
      <c r="A204" s="434"/>
      <c r="B204" s="435" t="s">
        <v>1828</v>
      </c>
      <c r="C204" s="436"/>
      <c r="D204" s="437"/>
      <c r="E204" s="437"/>
      <c r="F204" s="437"/>
      <c r="G204" s="438"/>
      <c r="H204" s="439" t="s">
        <v>1828</v>
      </c>
      <c r="I204" s="434"/>
      <c r="J204" s="435" t="s">
        <v>1828</v>
      </c>
      <c r="K204" s="436"/>
      <c r="L204" s="437"/>
      <c r="M204" s="437"/>
      <c r="N204" s="437"/>
      <c r="O204" s="438"/>
      <c r="P204" s="439" t="s">
        <v>1828</v>
      </c>
    </row>
    <row r="205" spans="1:16" ht="15.75" thickBot="1">
      <c r="A205" s="434"/>
      <c r="B205" s="435" t="s">
        <v>1829</v>
      </c>
      <c r="C205" s="436"/>
      <c r="D205" s="437"/>
      <c r="E205" s="437"/>
      <c r="F205" s="437"/>
      <c r="G205" s="438"/>
      <c r="H205" s="439" t="s">
        <v>1829</v>
      </c>
      <c r="I205" s="434"/>
      <c r="J205" s="435" t="s">
        <v>1829</v>
      </c>
      <c r="K205" s="436"/>
      <c r="L205" s="437"/>
      <c r="M205" s="437"/>
      <c r="N205" s="437"/>
      <c r="O205" s="438"/>
      <c r="P205" s="439" t="s">
        <v>1829</v>
      </c>
    </row>
    <row r="206" spans="1:16" ht="15.75" thickBot="1">
      <c r="A206" s="434"/>
      <c r="B206" s="435" t="s">
        <v>1830</v>
      </c>
      <c r="C206" s="436"/>
      <c r="D206" s="437"/>
      <c r="E206" s="437"/>
      <c r="F206" s="437"/>
      <c r="G206" s="438"/>
      <c r="H206" s="439" t="s">
        <v>1830</v>
      </c>
      <c r="I206" s="434"/>
      <c r="J206" s="435" t="s">
        <v>1830</v>
      </c>
      <c r="K206" s="436"/>
      <c r="L206" s="437"/>
      <c r="M206" s="437"/>
      <c r="N206" s="437"/>
      <c r="O206" s="438"/>
      <c r="P206" s="439" t="s">
        <v>1830</v>
      </c>
    </row>
    <row r="207" spans="1:16" ht="15.75" thickBot="1">
      <c r="A207" s="434"/>
      <c r="B207" s="435" t="s">
        <v>1831</v>
      </c>
      <c r="C207" s="436"/>
      <c r="D207" s="437"/>
      <c r="E207" s="437"/>
      <c r="F207" s="437"/>
      <c r="G207" s="438"/>
      <c r="H207" s="439" t="s">
        <v>1831</v>
      </c>
      <c r="I207" s="434"/>
      <c r="J207" s="435" t="s">
        <v>1831</v>
      </c>
      <c r="K207" s="436"/>
      <c r="L207" s="437"/>
      <c r="M207" s="437"/>
      <c r="N207" s="437"/>
      <c r="O207" s="438"/>
      <c r="P207" s="439" t="s">
        <v>1831</v>
      </c>
    </row>
    <row r="208" spans="1:16" ht="15.75" thickBot="1">
      <c r="A208" s="434"/>
      <c r="B208" s="435" t="s">
        <v>1832</v>
      </c>
      <c r="C208" s="436"/>
      <c r="D208" s="437"/>
      <c r="E208" s="437"/>
      <c r="F208" s="437"/>
      <c r="G208" s="438"/>
      <c r="H208" s="439" t="s">
        <v>1832</v>
      </c>
      <c r="I208" s="434"/>
      <c r="J208" s="435" t="s">
        <v>1832</v>
      </c>
      <c r="K208" s="436"/>
      <c r="L208" s="437"/>
      <c r="M208" s="437"/>
      <c r="N208" s="437"/>
      <c r="O208" s="438"/>
      <c r="P208" s="439" t="s">
        <v>1832</v>
      </c>
    </row>
    <row r="209" spans="1:16" ht="15.75" thickBot="1">
      <c r="A209" s="434"/>
      <c r="B209" s="435" t="s">
        <v>1833</v>
      </c>
      <c r="C209" s="436"/>
      <c r="D209" s="437"/>
      <c r="E209" s="437"/>
      <c r="F209" s="437"/>
      <c r="G209" s="438"/>
      <c r="H209" s="439" t="s">
        <v>1833</v>
      </c>
      <c r="I209" s="434"/>
      <c r="J209" s="435" t="s">
        <v>1833</v>
      </c>
      <c r="K209" s="436"/>
      <c r="L209" s="437"/>
      <c r="M209" s="437"/>
      <c r="N209" s="437"/>
      <c r="O209" s="438"/>
      <c r="P209" s="439" t="s">
        <v>1833</v>
      </c>
    </row>
    <row r="210" spans="1:16" ht="26.25" thickBot="1">
      <c r="A210" s="440"/>
      <c r="B210" s="435" t="s">
        <v>1834</v>
      </c>
      <c r="C210" s="436"/>
      <c r="D210" s="437"/>
      <c r="E210" s="437"/>
      <c r="F210" s="437"/>
      <c r="G210" s="441"/>
      <c r="H210" s="439" t="s">
        <v>1835</v>
      </c>
      <c r="I210" s="440"/>
      <c r="J210" s="435" t="s">
        <v>1834</v>
      </c>
      <c r="K210" s="436"/>
      <c r="L210" s="437"/>
      <c r="M210" s="437"/>
      <c r="N210" s="437"/>
      <c r="O210" s="441"/>
      <c r="P210" s="439" t="s">
        <v>1835</v>
      </c>
    </row>
    <row r="211" spans="1:16" ht="15.75" thickBot="1">
      <c r="A211" s="442" t="s">
        <v>2159</v>
      </c>
      <c r="B211" s="435" t="s">
        <v>1822</v>
      </c>
      <c r="C211" s="436"/>
      <c r="D211" s="437"/>
      <c r="E211" s="437"/>
      <c r="F211" s="437"/>
      <c r="G211" s="443" t="s">
        <v>2159</v>
      </c>
      <c r="H211" s="439" t="s">
        <v>1822</v>
      </c>
      <c r="I211" s="442" t="s">
        <v>2159</v>
      </c>
      <c r="J211" s="435" t="s">
        <v>1822</v>
      </c>
      <c r="K211" s="436"/>
      <c r="L211" s="437"/>
      <c r="M211" s="437"/>
      <c r="N211" s="437"/>
      <c r="O211" s="443" t="s">
        <v>2159</v>
      </c>
      <c r="P211" s="439" t="s">
        <v>1822</v>
      </c>
    </row>
    <row r="212" spans="1:16" ht="15.75" thickBot="1">
      <c r="A212" s="434"/>
      <c r="B212" s="435" t="s">
        <v>1824</v>
      </c>
      <c r="C212" s="436"/>
      <c r="D212" s="437"/>
      <c r="E212" s="437"/>
      <c r="F212" s="437"/>
      <c r="G212" s="438"/>
      <c r="H212" s="439" t="s">
        <v>1824</v>
      </c>
      <c r="I212" s="434"/>
      <c r="J212" s="435" t="s">
        <v>1824</v>
      </c>
      <c r="K212" s="436"/>
      <c r="L212" s="437"/>
      <c r="M212" s="437"/>
      <c r="N212" s="437"/>
      <c r="O212" s="438"/>
      <c r="P212" s="439" t="s">
        <v>1824</v>
      </c>
    </row>
    <row r="213" spans="1:16" ht="15.75" thickBot="1">
      <c r="A213" s="434"/>
      <c r="B213" s="435" t="s">
        <v>1825</v>
      </c>
      <c r="C213" s="436"/>
      <c r="D213" s="437"/>
      <c r="E213" s="437"/>
      <c r="F213" s="437"/>
      <c r="G213" s="438"/>
      <c r="H213" s="439" t="s">
        <v>1825</v>
      </c>
      <c r="I213" s="434"/>
      <c r="J213" s="435" t="s">
        <v>1825</v>
      </c>
      <c r="K213" s="436"/>
      <c r="L213" s="437"/>
      <c r="M213" s="437"/>
      <c r="N213" s="437"/>
      <c r="O213" s="438"/>
      <c r="P213" s="439" t="s">
        <v>1825</v>
      </c>
    </row>
    <row r="214" spans="1:16" ht="15.75" thickBot="1">
      <c r="A214" s="434"/>
      <c r="B214" s="435" t="s">
        <v>1826</v>
      </c>
      <c r="C214" s="436"/>
      <c r="D214" s="437"/>
      <c r="E214" s="437"/>
      <c r="F214" s="437"/>
      <c r="G214" s="438"/>
      <c r="H214" s="439" t="s">
        <v>1826</v>
      </c>
      <c r="I214" s="434"/>
      <c r="J214" s="435" t="s">
        <v>1826</v>
      </c>
      <c r="K214" s="436"/>
      <c r="L214" s="437"/>
      <c r="M214" s="437"/>
      <c r="N214" s="437"/>
      <c r="O214" s="438"/>
      <c r="P214" s="439" t="s">
        <v>1826</v>
      </c>
    </row>
    <row r="215" spans="1:16" ht="15.75" thickBot="1">
      <c r="A215" s="434"/>
      <c r="B215" s="435" t="s">
        <v>1827</v>
      </c>
      <c r="C215" s="436"/>
      <c r="D215" s="437"/>
      <c r="E215" s="437"/>
      <c r="F215" s="437"/>
      <c r="G215" s="438"/>
      <c r="H215" s="439" t="s">
        <v>1827</v>
      </c>
      <c r="I215" s="434"/>
      <c r="J215" s="435" t="s">
        <v>1827</v>
      </c>
      <c r="K215" s="436"/>
      <c r="L215" s="437"/>
      <c r="M215" s="437"/>
      <c r="N215" s="437"/>
      <c r="O215" s="438"/>
      <c r="P215" s="439" t="s">
        <v>1827</v>
      </c>
    </row>
    <row r="216" spans="1:16" ht="15.75" thickBot="1">
      <c r="A216" s="434"/>
      <c r="B216" s="435" t="s">
        <v>1828</v>
      </c>
      <c r="C216" s="436"/>
      <c r="D216" s="437"/>
      <c r="E216" s="437"/>
      <c r="F216" s="437"/>
      <c r="G216" s="438"/>
      <c r="H216" s="439" t="s">
        <v>1828</v>
      </c>
      <c r="I216" s="434"/>
      <c r="J216" s="435" t="s">
        <v>1828</v>
      </c>
      <c r="K216" s="436"/>
      <c r="L216" s="437"/>
      <c r="M216" s="437"/>
      <c r="N216" s="437"/>
      <c r="O216" s="438"/>
      <c r="P216" s="439" t="s">
        <v>1828</v>
      </c>
    </row>
    <row r="217" spans="1:16" ht="15.75" thickBot="1">
      <c r="A217" s="434"/>
      <c r="B217" s="435" t="s">
        <v>1829</v>
      </c>
      <c r="C217" s="436"/>
      <c r="D217" s="437"/>
      <c r="E217" s="437"/>
      <c r="F217" s="437"/>
      <c r="G217" s="438"/>
      <c r="H217" s="439" t="s">
        <v>1829</v>
      </c>
      <c r="I217" s="434"/>
      <c r="J217" s="435" t="s">
        <v>1829</v>
      </c>
      <c r="K217" s="436"/>
      <c r="L217" s="437"/>
      <c r="M217" s="437"/>
      <c r="N217" s="437"/>
      <c r="O217" s="438"/>
      <c r="P217" s="439" t="s">
        <v>1829</v>
      </c>
    </row>
    <row r="218" spans="1:16" ht="15.75" thickBot="1">
      <c r="A218" s="434"/>
      <c r="B218" s="435" t="s">
        <v>1830</v>
      </c>
      <c r="C218" s="436"/>
      <c r="D218" s="437"/>
      <c r="E218" s="437"/>
      <c r="F218" s="437"/>
      <c r="G218" s="438"/>
      <c r="H218" s="439" t="s">
        <v>1830</v>
      </c>
      <c r="I218" s="434"/>
      <c r="J218" s="435" t="s">
        <v>1830</v>
      </c>
      <c r="K218" s="436"/>
      <c r="L218" s="437"/>
      <c r="M218" s="437"/>
      <c r="N218" s="437"/>
      <c r="O218" s="438"/>
      <c r="P218" s="439" t="s">
        <v>1830</v>
      </c>
    </row>
    <row r="219" spans="1:16" ht="15.75" thickBot="1">
      <c r="A219" s="434"/>
      <c r="B219" s="435" t="s">
        <v>1831</v>
      </c>
      <c r="C219" s="436"/>
      <c r="D219" s="437"/>
      <c r="E219" s="437"/>
      <c r="F219" s="437"/>
      <c r="G219" s="438"/>
      <c r="H219" s="439" t="s">
        <v>1831</v>
      </c>
      <c r="I219" s="434"/>
      <c r="J219" s="435" t="s">
        <v>1831</v>
      </c>
      <c r="K219" s="436"/>
      <c r="L219" s="437"/>
      <c r="M219" s="437"/>
      <c r="N219" s="437"/>
      <c r="O219" s="438"/>
      <c r="P219" s="439" t="s">
        <v>1831</v>
      </c>
    </row>
    <row r="220" spans="1:16" ht="15.75" thickBot="1">
      <c r="A220" s="434"/>
      <c r="B220" s="435" t="s">
        <v>1832</v>
      </c>
      <c r="C220" s="436"/>
      <c r="D220" s="437"/>
      <c r="E220" s="437"/>
      <c r="F220" s="437"/>
      <c r="G220" s="438"/>
      <c r="H220" s="439" t="s">
        <v>1832</v>
      </c>
      <c r="I220" s="434"/>
      <c r="J220" s="435" t="s">
        <v>1832</v>
      </c>
      <c r="K220" s="436"/>
      <c r="L220" s="437"/>
      <c r="M220" s="437"/>
      <c r="N220" s="437"/>
      <c r="O220" s="438"/>
      <c r="P220" s="439" t="s">
        <v>1832</v>
      </c>
    </row>
    <row r="221" spans="1:16" ht="15.75" thickBot="1">
      <c r="A221" s="434"/>
      <c r="B221" s="435" t="s">
        <v>1833</v>
      </c>
      <c r="C221" s="436"/>
      <c r="D221" s="437"/>
      <c r="E221" s="437"/>
      <c r="F221" s="437"/>
      <c r="G221" s="438"/>
      <c r="H221" s="439" t="s">
        <v>1833</v>
      </c>
      <c r="I221" s="434"/>
      <c r="J221" s="435" t="s">
        <v>1833</v>
      </c>
      <c r="K221" s="436"/>
      <c r="L221" s="437"/>
      <c r="M221" s="437"/>
      <c r="N221" s="437"/>
      <c r="O221" s="438"/>
      <c r="P221" s="439" t="s">
        <v>1833</v>
      </c>
    </row>
    <row r="222" spans="1:16" ht="26.25" thickBot="1">
      <c r="A222" s="440"/>
      <c r="B222" s="435" t="s">
        <v>1834</v>
      </c>
      <c r="C222" s="436"/>
      <c r="D222" s="437"/>
      <c r="E222" s="437"/>
      <c r="F222" s="437"/>
      <c r="G222" s="441"/>
      <c r="H222" s="439" t="s">
        <v>1835</v>
      </c>
      <c r="I222" s="440"/>
      <c r="J222" s="435" t="s">
        <v>1834</v>
      </c>
      <c r="K222" s="436"/>
      <c r="L222" s="437"/>
      <c r="M222" s="437"/>
      <c r="N222" s="437"/>
      <c r="O222" s="441"/>
      <c r="P222" s="439" t="s">
        <v>1835</v>
      </c>
    </row>
    <row r="223" spans="1:16" ht="15.75" thickBot="1">
      <c r="A223" s="442" t="s">
        <v>2160</v>
      </c>
      <c r="B223" s="435" t="s">
        <v>1822</v>
      </c>
      <c r="C223" s="436"/>
      <c r="D223" s="437"/>
      <c r="E223" s="437"/>
      <c r="F223" s="437"/>
      <c r="G223" s="443" t="s">
        <v>2160</v>
      </c>
      <c r="H223" s="439" t="s">
        <v>1822</v>
      </c>
      <c r="I223" s="442" t="s">
        <v>2160</v>
      </c>
      <c r="J223" s="435" t="s">
        <v>1822</v>
      </c>
      <c r="K223" s="436"/>
      <c r="L223" s="437"/>
      <c r="M223" s="437"/>
      <c r="N223" s="437"/>
      <c r="O223" s="443" t="s">
        <v>2160</v>
      </c>
      <c r="P223" s="439" t="s">
        <v>1822</v>
      </c>
    </row>
    <row r="224" spans="1:16" ht="15.75" thickBot="1">
      <c r="A224" s="434"/>
      <c r="B224" s="435" t="s">
        <v>1824</v>
      </c>
      <c r="C224" s="436"/>
      <c r="D224" s="437"/>
      <c r="E224" s="437"/>
      <c r="F224" s="437"/>
      <c r="G224" s="438"/>
      <c r="H224" s="439" t="s">
        <v>1824</v>
      </c>
      <c r="I224" s="434"/>
      <c r="J224" s="435" t="s">
        <v>1824</v>
      </c>
      <c r="K224" s="436"/>
      <c r="L224" s="437"/>
      <c r="M224" s="437"/>
      <c r="N224" s="437"/>
      <c r="O224" s="438"/>
      <c r="P224" s="439" t="s">
        <v>1824</v>
      </c>
    </row>
    <row r="225" spans="1:16" ht="15.75" thickBot="1">
      <c r="A225" s="434"/>
      <c r="B225" s="435" t="s">
        <v>1825</v>
      </c>
      <c r="C225" s="436"/>
      <c r="D225" s="437"/>
      <c r="E225" s="437"/>
      <c r="F225" s="437"/>
      <c r="G225" s="438"/>
      <c r="H225" s="439" t="s">
        <v>1825</v>
      </c>
      <c r="I225" s="434"/>
      <c r="J225" s="435" t="s">
        <v>1825</v>
      </c>
      <c r="K225" s="436"/>
      <c r="L225" s="437"/>
      <c r="M225" s="437"/>
      <c r="N225" s="437"/>
      <c r="O225" s="438"/>
      <c r="P225" s="439" t="s">
        <v>1825</v>
      </c>
    </row>
    <row r="226" spans="1:16" ht="15.75" thickBot="1">
      <c r="A226" s="434"/>
      <c r="B226" s="435" t="s">
        <v>1826</v>
      </c>
      <c r="C226" s="436"/>
      <c r="D226" s="437"/>
      <c r="E226" s="437"/>
      <c r="F226" s="437"/>
      <c r="G226" s="438"/>
      <c r="H226" s="439" t="s">
        <v>1826</v>
      </c>
      <c r="I226" s="434"/>
      <c r="J226" s="435" t="s">
        <v>1826</v>
      </c>
      <c r="K226" s="436"/>
      <c r="L226" s="437"/>
      <c r="M226" s="437"/>
      <c r="N226" s="437"/>
      <c r="O226" s="438"/>
      <c r="P226" s="439" t="s">
        <v>1826</v>
      </c>
    </row>
    <row r="227" spans="1:16" ht="15.75" thickBot="1">
      <c r="A227" s="434"/>
      <c r="B227" s="435" t="s">
        <v>1827</v>
      </c>
      <c r="C227" s="436"/>
      <c r="D227" s="437"/>
      <c r="E227" s="437"/>
      <c r="F227" s="437"/>
      <c r="G227" s="438"/>
      <c r="H227" s="439" t="s">
        <v>1827</v>
      </c>
      <c r="I227" s="434"/>
      <c r="J227" s="435" t="s">
        <v>1827</v>
      </c>
      <c r="K227" s="436"/>
      <c r="L227" s="437"/>
      <c r="M227" s="437"/>
      <c r="N227" s="437"/>
      <c r="O227" s="438"/>
      <c r="P227" s="439" t="s">
        <v>1827</v>
      </c>
    </row>
    <row r="228" spans="1:16" ht="15.75" thickBot="1">
      <c r="A228" s="434"/>
      <c r="B228" s="435" t="s">
        <v>1828</v>
      </c>
      <c r="C228" s="436"/>
      <c r="D228" s="437"/>
      <c r="E228" s="437"/>
      <c r="F228" s="437"/>
      <c r="G228" s="438"/>
      <c r="H228" s="439" t="s">
        <v>1828</v>
      </c>
      <c r="I228" s="434"/>
      <c r="J228" s="435" t="s">
        <v>1828</v>
      </c>
      <c r="K228" s="436"/>
      <c r="L228" s="437"/>
      <c r="M228" s="437"/>
      <c r="N228" s="437"/>
      <c r="O228" s="438"/>
      <c r="P228" s="439" t="s">
        <v>1828</v>
      </c>
    </row>
    <row r="229" spans="1:16" ht="15.75" thickBot="1">
      <c r="A229" s="434"/>
      <c r="B229" s="435" t="s">
        <v>1829</v>
      </c>
      <c r="C229" s="436"/>
      <c r="D229" s="437"/>
      <c r="E229" s="437"/>
      <c r="F229" s="437"/>
      <c r="G229" s="438"/>
      <c r="H229" s="439" t="s">
        <v>1829</v>
      </c>
      <c r="I229" s="434"/>
      <c r="J229" s="435" t="s">
        <v>1829</v>
      </c>
      <c r="K229" s="436"/>
      <c r="L229" s="437"/>
      <c r="M229" s="437"/>
      <c r="N229" s="437"/>
      <c r="O229" s="438"/>
      <c r="P229" s="439" t="s">
        <v>1829</v>
      </c>
    </row>
    <row r="230" spans="1:16" ht="15.75" thickBot="1">
      <c r="A230" s="434"/>
      <c r="B230" s="435" t="s">
        <v>1830</v>
      </c>
      <c r="C230" s="436"/>
      <c r="D230" s="437"/>
      <c r="E230" s="437"/>
      <c r="F230" s="437"/>
      <c r="G230" s="438"/>
      <c r="H230" s="439" t="s">
        <v>1830</v>
      </c>
      <c r="I230" s="434"/>
      <c r="J230" s="435" t="s">
        <v>1830</v>
      </c>
      <c r="K230" s="436"/>
      <c r="L230" s="437"/>
      <c r="M230" s="437"/>
      <c r="N230" s="437"/>
      <c r="O230" s="438"/>
      <c r="P230" s="439" t="s">
        <v>1830</v>
      </c>
    </row>
    <row r="231" spans="1:16" ht="15.75" thickBot="1">
      <c r="A231" s="434"/>
      <c r="B231" s="435" t="s">
        <v>1831</v>
      </c>
      <c r="C231" s="436"/>
      <c r="D231" s="437"/>
      <c r="E231" s="437"/>
      <c r="F231" s="437"/>
      <c r="G231" s="438"/>
      <c r="H231" s="439" t="s">
        <v>1831</v>
      </c>
      <c r="I231" s="434"/>
      <c r="J231" s="435" t="s">
        <v>1831</v>
      </c>
      <c r="K231" s="436"/>
      <c r="L231" s="437"/>
      <c r="M231" s="437"/>
      <c r="N231" s="437"/>
      <c r="O231" s="438"/>
      <c r="P231" s="439" t="s">
        <v>1831</v>
      </c>
    </row>
    <row r="232" spans="1:16" ht="15.75" thickBot="1">
      <c r="A232" s="434"/>
      <c r="B232" s="435" t="s">
        <v>1832</v>
      </c>
      <c r="C232" s="436"/>
      <c r="D232" s="437"/>
      <c r="E232" s="437"/>
      <c r="F232" s="437"/>
      <c r="G232" s="438"/>
      <c r="H232" s="439" t="s">
        <v>1832</v>
      </c>
      <c r="I232" s="434"/>
      <c r="J232" s="435" t="s">
        <v>1832</v>
      </c>
      <c r="K232" s="436"/>
      <c r="L232" s="437"/>
      <c r="M232" s="437"/>
      <c r="N232" s="437"/>
      <c r="O232" s="438"/>
      <c r="P232" s="439" t="s">
        <v>1832</v>
      </c>
    </row>
    <row r="233" spans="1:16" ht="15.75" thickBot="1">
      <c r="A233" s="434"/>
      <c r="B233" s="435" t="s">
        <v>1833</v>
      </c>
      <c r="C233" s="436"/>
      <c r="D233" s="437"/>
      <c r="E233" s="437"/>
      <c r="F233" s="437"/>
      <c r="G233" s="438"/>
      <c r="H233" s="439" t="s">
        <v>1833</v>
      </c>
      <c r="I233" s="434"/>
      <c r="J233" s="435" t="s">
        <v>1833</v>
      </c>
      <c r="K233" s="436"/>
      <c r="L233" s="437"/>
      <c r="M233" s="437"/>
      <c r="N233" s="437"/>
      <c r="O233" s="438"/>
      <c r="P233" s="439" t="s">
        <v>1833</v>
      </c>
    </row>
    <row r="234" spans="1:16" ht="26.25" thickBot="1">
      <c r="A234" s="440"/>
      <c r="B234" s="435" t="s">
        <v>1834</v>
      </c>
      <c r="C234" s="436"/>
      <c r="D234" s="437"/>
      <c r="E234" s="437"/>
      <c r="F234" s="437"/>
      <c r="G234" s="441"/>
      <c r="H234" s="439" t="s">
        <v>1835</v>
      </c>
      <c r="I234" s="440"/>
      <c r="J234" s="435" t="s">
        <v>1834</v>
      </c>
      <c r="K234" s="436"/>
      <c r="L234" s="437"/>
      <c r="M234" s="437"/>
      <c r="N234" s="437"/>
      <c r="O234" s="441"/>
      <c r="P234" s="439" t="s">
        <v>1835</v>
      </c>
    </row>
    <row r="235" spans="1:16" ht="15.75" thickBot="1">
      <c r="A235" s="442" t="s">
        <v>2161</v>
      </c>
      <c r="B235" s="435" t="s">
        <v>1822</v>
      </c>
      <c r="C235" s="436"/>
      <c r="D235" s="437"/>
      <c r="E235" s="437"/>
      <c r="F235" s="437"/>
      <c r="G235" s="443" t="s">
        <v>2161</v>
      </c>
      <c r="H235" s="439" t="s">
        <v>1822</v>
      </c>
      <c r="I235" s="442" t="s">
        <v>2161</v>
      </c>
      <c r="J235" s="435" t="s">
        <v>1822</v>
      </c>
      <c r="K235" s="436"/>
      <c r="L235" s="437"/>
      <c r="M235" s="437"/>
      <c r="N235" s="437"/>
      <c r="O235" s="443" t="s">
        <v>2161</v>
      </c>
      <c r="P235" s="439" t="s">
        <v>1822</v>
      </c>
    </row>
    <row r="236" spans="1:16" ht="15.75" thickBot="1">
      <c r="A236" s="434"/>
      <c r="B236" s="435" t="s">
        <v>1824</v>
      </c>
      <c r="C236" s="436"/>
      <c r="D236" s="437"/>
      <c r="E236" s="437"/>
      <c r="F236" s="437"/>
      <c r="G236" s="438"/>
      <c r="H236" s="439" t="s">
        <v>1824</v>
      </c>
      <c r="I236" s="434"/>
      <c r="J236" s="435" t="s">
        <v>1824</v>
      </c>
      <c r="K236" s="436"/>
      <c r="L236" s="437"/>
      <c r="M236" s="437"/>
      <c r="N236" s="437"/>
      <c r="O236" s="438"/>
      <c r="P236" s="439" t="s">
        <v>1824</v>
      </c>
    </row>
    <row r="237" spans="1:16" ht="15.75" thickBot="1">
      <c r="A237" s="434"/>
      <c r="B237" s="435" t="s">
        <v>1825</v>
      </c>
      <c r="C237" s="436"/>
      <c r="D237" s="437"/>
      <c r="E237" s="437"/>
      <c r="F237" s="437"/>
      <c r="G237" s="438"/>
      <c r="H237" s="439" t="s">
        <v>1825</v>
      </c>
      <c r="I237" s="434"/>
      <c r="J237" s="435" t="s">
        <v>1825</v>
      </c>
      <c r="K237" s="436"/>
      <c r="L237" s="437"/>
      <c r="M237" s="437"/>
      <c r="N237" s="437"/>
      <c r="O237" s="438"/>
      <c r="P237" s="439" t="s">
        <v>1825</v>
      </c>
    </row>
    <row r="238" spans="1:16" ht="15.75" thickBot="1">
      <c r="A238" s="434"/>
      <c r="B238" s="435" t="s">
        <v>1826</v>
      </c>
      <c r="C238" s="436"/>
      <c r="D238" s="437"/>
      <c r="E238" s="437"/>
      <c r="F238" s="437"/>
      <c r="G238" s="438"/>
      <c r="H238" s="439" t="s">
        <v>1826</v>
      </c>
      <c r="I238" s="434"/>
      <c r="J238" s="435" t="s">
        <v>1826</v>
      </c>
      <c r="K238" s="436"/>
      <c r="L238" s="437"/>
      <c r="M238" s="437"/>
      <c r="N238" s="437"/>
      <c r="O238" s="438"/>
      <c r="P238" s="439" t="s">
        <v>1826</v>
      </c>
    </row>
    <row r="239" spans="1:16" ht="15.75" thickBot="1">
      <c r="A239" s="434"/>
      <c r="B239" s="435" t="s">
        <v>1827</v>
      </c>
      <c r="C239" s="436"/>
      <c r="D239" s="437"/>
      <c r="E239" s="437"/>
      <c r="F239" s="437"/>
      <c r="G239" s="438"/>
      <c r="H239" s="439" t="s">
        <v>1827</v>
      </c>
      <c r="I239" s="434"/>
      <c r="J239" s="435" t="s">
        <v>1827</v>
      </c>
      <c r="K239" s="436"/>
      <c r="L239" s="437"/>
      <c r="M239" s="437"/>
      <c r="N239" s="437"/>
      <c r="O239" s="438"/>
      <c r="P239" s="439" t="s">
        <v>1827</v>
      </c>
    </row>
    <row r="240" spans="1:16" ht="15.75" thickBot="1">
      <c r="A240" s="434"/>
      <c r="B240" s="435" t="s">
        <v>1828</v>
      </c>
      <c r="C240" s="436"/>
      <c r="D240" s="437"/>
      <c r="E240" s="437"/>
      <c r="F240" s="437"/>
      <c r="G240" s="438"/>
      <c r="H240" s="439" t="s">
        <v>1828</v>
      </c>
      <c r="I240" s="434"/>
      <c r="J240" s="435" t="s">
        <v>1828</v>
      </c>
      <c r="K240" s="436"/>
      <c r="L240" s="437"/>
      <c r="M240" s="437"/>
      <c r="N240" s="437"/>
      <c r="O240" s="438"/>
      <c r="P240" s="439" t="s">
        <v>1828</v>
      </c>
    </row>
    <row r="241" spans="1:16" ht="15.75" thickBot="1">
      <c r="A241" s="434"/>
      <c r="B241" s="435" t="s">
        <v>1829</v>
      </c>
      <c r="C241" s="436"/>
      <c r="D241" s="437"/>
      <c r="E241" s="437"/>
      <c r="F241" s="437"/>
      <c r="G241" s="438"/>
      <c r="H241" s="439" t="s">
        <v>1829</v>
      </c>
      <c r="I241" s="434"/>
      <c r="J241" s="435" t="s">
        <v>1829</v>
      </c>
      <c r="K241" s="436"/>
      <c r="L241" s="437"/>
      <c r="M241" s="437"/>
      <c r="N241" s="437"/>
      <c r="O241" s="438"/>
      <c r="P241" s="439" t="s">
        <v>1829</v>
      </c>
    </row>
    <row r="242" spans="1:16" ht="15.75" thickBot="1">
      <c r="A242" s="434"/>
      <c r="B242" s="435" t="s">
        <v>1830</v>
      </c>
      <c r="C242" s="436"/>
      <c r="D242" s="437"/>
      <c r="E242" s="437"/>
      <c r="F242" s="437"/>
      <c r="G242" s="438"/>
      <c r="H242" s="439" t="s">
        <v>1830</v>
      </c>
      <c r="I242" s="434"/>
      <c r="J242" s="435" t="s">
        <v>1830</v>
      </c>
      <c r="K242" s="436"/>
      <c r="L242" s="437"/>
      <c r="M242" s="437"/>
      <c r="N242" s="437"/>
      <c r="O242" s="438"/>
      <c r="P242" s="439" t="s">
        <v>1830</v>
      </c>
    </row>
    <row r="243" spans="1:16" ht="15.75" thickBot="1">
      <c r="A243" s="434"/>
      <c r="B243" s="435" t="s">
        <v>1831</v>
      </c>
      <c r="C243" s="436"/>
      <c r="D243" s="437"/>
      <c r="E243" s="437"/>
      <c r="F243" s="437"/>
      <c r="G243" s="438"/>
      <c r="H243" s="439" t="s">
        <v>1831</v>
      </c>
      <c r="I243" s="434"/>
      <c r="J243" s="435" t="s">
        <v>1831</v>
      </c>
      <c r="K243" s="436"/>
      <c r="L243" s="437"/>
      <c r="M243" s="437"/>
      <c r="N243" s="437"/>
      <c r="O243" s="438"/>
      <c r="P243" s="439" t="s">
        <v>1831</v>
      </c>
    </row>
    <row r="244" spans="1:16" ht="15.75" thickBot="1">
      <c r="A244" s="434"/>
      <c r="B244" s="435" t="s">
        <v>1832</v>
      </c>
      <c r="C244" s="436"/>
      <c r="D244" s="437"/>
      <c r="E244" s="437"/>
      <c r="F244" s="437"/>
      <c r="G244" s="438"/>
      <c r="H244" s="439" t="s">
        <v>1832</v>
      </c>
      <c r="I244" s="434"/>
      <c r="J244" s="435" t="s">
        <v>1832</v>
      </c>
      <c r="K244" s="436"/>
      <c r="L244" s="437"/>
      <c r="M244" s="437"/>
      <c r="N244" s="437"/>
      <c r="O244" s="438"/>
      <c r="P244" s="439" t="s">
        <v>1832</v>
      </c>
    </row>
    <row r="245" spans="1:16" ht="15.75" thickBot="1">
      <c r="A245" s="434"/>
      <c r="B245" s="435" t="s">
        <v>1833</v>
      </c>
      <c r="C245" s="436"/>
      <c r="D245" s="437"/>
      <c r="E245" s="437"/>
      <c r="F245" s="437"/>
      <c r="G245" s="438"/>
      <c r="H245" s="439" t="s">
        <v>1833</v>
      </c>
      <c r="I245" s="434"/>
      <c r="J245" s="435" t="s">
        <v>1833</v>
      </c>
      <c r="K245" s="436"/>
      <c r="L245" s="437"/>
      <c r="M245" s="437"/>
      <c r="N245" s="437"/>
      <c r="O245" s="438"/>
      <c r="P245" s="439" t="s">
        <v>1833</v>
      </c>
    </row>
    <row r="246" spans="1:16" ht="26.25" thickBot="1">
      <c r="A246" s="440"/>
      <c r="B246" s="435" t="s">
        <v>1834</v>
      </c>
      <c r="C246" s="436"/>
      <c r="D246" s="437"/>
      <c r="E246" s="437"/>
      <c r="F246" s="437"/>
      <c r="G246" s="441"/>
      <c r="H246" s="439" t="s">
        <v>1835</v>
      </c>
      <c r="I246" s="440"/>
      <c r="J246" s="435" t="s">
        <v>1834</v>
      </c>
      <c r="K246" s="436"/>
      <c r="L246" s="437"/>
      <c r="M246" s="437"/>
      <c r="N246" s="437"/>
      <c r="O246" s="441"/>
      <c r="P246" s="439" t="s">
        <v>1835</v>
      </c>
    </row>
    <row r="247" spans="1:16" ht="15.75" thickBot="1">
      <c r="A247" s="442" t="s">
        <v>2162</v>
      </c>
      <c r="B247" s="435" t="s">
        <v>1822</v>
      </c>
      <c r="C247" s="436"/>
      <c r="D247" s="437"/>
      <c r="E247" s="437"/>
      <c r="F247" s="437"/>
      <c r="G247" s="443" t="s">
        <v>2163</v>
      </c>
      <c r="H247" s="439" t="s">
        <v>1822</v>
      </c>
      <c r="I247" s="442" t="s">
        <v>2162</v>
      </c>
      <c r="J247" s="435" t="s">
        <v>1822</v>
      </c>
      <c r="K247" s="436"/>
      <c r="L247" s="437"/>
      <c r="M247" s="437"/>
      <c r="N247" s="437"/>
      <c r="O247" s="443" t="s">
        <v>2163</v>
      </c>
      <c r="P247" s="439" t="s">
        <v>1822</v>
      </c>
    </row>
    <row r="248" spans="1:16" ht="15.75" thickBot="1">
      <c r="A248" s="434"/>
      <c r="B248" s="435" t="s">
        <v>1824</v>
      </c>
      <c r="C248" s="436"/>
      <c r="D248" s="437"/>
      <c r="E248" s="437"/>
      <c r="F248" s="437"/>
      <c r="G248" s="438"/>
      <c r="H248" s="439" t="s">
        <v>1824</v>
      </c>
      <c r="I248" s="434"/>
      <c r="J248" s="435" t="s">
        <v>1824</v>
      </c>
      <c r="K248" s="436"/>
      <c r="L248" s="437"/>
      <c r="M248" s="437"/>
      <c r="N248" s="437"/>
      <c r="O248" s="438"/>
      <c r="P248" s="439" t="s">
        <v>1824</v>
      </c>
    </row>
    <row r="249" spans="1:16" ht="15.75" thickBot="1">
      <c r="A249" s="434"/>
      <c r="B249" s="435" t="s">
        <v>1825</v>
      </c>
      <c r="C249" s="436"/>
      <c r="D249" s="437"/>
      <c r="E249" s="437"/>
      <c r="F249" s="437"/>
      <c r="G249" s="438"/>
      <c r="H249" s="439" t="s">
        <v>1825</v>
      </c>
      <c r="I249" s="434"/>
      <c r="J249" s="435" t="s">
        <v>1825</v>
      </c>
      <c r="K249" s="436"/>
      <c r="L249" s="437"/>
      <c r="M249" s="437"/>
      <c r="N249" s="437"/>
      <c r="O249" s="438"/>
      <c r="P249" s="439" t="s">
        <v>1825</v>
      </c>
    </row>
    <row r="250" spans="1:16" ht="15.75" thickBot="1">
      <c r="A250" s="434"/>
      <c r="B250" s="435" t="s">
        <v>1826</v>
      </c>
      <c r="C250" s="436"/>
      <c r="D250" s="437"/>
      <c r="E250" s="437"/>
      <c r="F250" s="437"/>
      <c r="G250" s="438"/>
      <c r="H250" s="439" t="s">
        <v>1826</v>
      </c>
      <c r="I250" s="434"/>
      <c r="J250" s="435" t="s">
        <v>1826</v>
      </c>
      <c r="K250" s="436"/>
      <c r="L250" s="437"/>
      <c r="M250" s="437"/>
      <c r="N250" s="437"/>
      <c r="O250" s="438"/>
      <c r="P250" s="439" t="s">
        <v>1826</v>
      </c>
    </row>
    <row r="251" spans="1:16" ht="15.75" thickBot="1">
      <c r="A251" s="434"/>
      <c r="B251" s="435" t="s">
        <v>1827</v>
      </c>
      <c r="C251" s="436"/>
      <c r="D251" s="437"/>
      <c r="E251" s="437"/>
      <c r="F251" s="437"/>
      <c r="G251" s="438"/>
      <c r="H251" s="439" t="s">
        <v>1827</v>
      </c>
      <c r="I251" s="434"/>
      <c r="J251" s="435" t="s">
        <v>1827</v>
      </c>
      <c r="K251" s="436"/>
      <c r="L251" s="437"/>
      <c r="M251" s="437"/>
      <c r="N251" s="437"/>
      <c r="O251" s="438"/>
      <c r="P251" s="439" t="s">
        <v>1827</v>
      </c>
    </row>
    <row r="252" spans="1:16" ht="15.75" thickBot="1">
      <c r="A252" s="434"/>
      <c r="B252" s="435" t="s">
        <v>1828</v>
      </c>
      <c r="C252" s="436"/>
      <c r="D252" s="437"/>
      <c r="E252" s="437"/>
      <c r="F252" s="437"/>
      <c r="G252" s="438"/>
      <c r="H252" s="439" t="s">
        <v>1828</v>
      </c>
      <c r="I252" s="434"/>
      <c r="J252" s="435" t="s">
        <v>1828</v>
      </c>
      <c r="K252" s="436"/>
      <c r="L252" s="437"/>
      <c r="M252" s="437"/>
      <c r="N252" s="437"/>
      <c r="O252" s="438"/>
      <c r="P252" s="439" t="s">
        <v>1828</v>
      </c>
    </row>
    <row r="253" spans="1:16" ht="15.75" thickBot="1">
      <c r="A253" s="434"/>
      <c r="B253" s="435" t="s">
        <v>1829</v>
      </c>
      <c r="C253" s="436"/>
      <c r="D253" s="437"/>
      <c r="E253" s="437"/>
      <c r="F253" s="437"/>
      <c r="G253" s="438"/>
      <c r="H253" s="439" t="s">
        <v>1829</v>
      </c>
      <c r="I253" s="434"/>
      <c r="J253" s="435" t="s">
        <v>1829</v>
      </c>
      <c r="K253" s="436"/>
      <c r="L253" s="437"/>
      <c r="M253" s="437"/>
      <c r="N253" s="437"/>
      <c r="O253" s="438"/>
      <c r="P253" s="439" t="s">
        <v>1829</v>
      </c>
    </row>
    <row r="254" spans="1:16" ht="15.75" thickBot="1">
      <c r="A254" s="434"/>
      <c r="B254" s="435" t="s">
        <v>1830</v>
      </c>
      <c r="C254" s="436"/>
      <c r="D254" s="437"/>
      <c r="E254" s="437"/>
      <c r="F254" s="437"/>
      <c r="G254" s="438"/>
      <c r="H254" s="439" t="s">
        <v>1830</v>
      </c>
      <c r="I254" s="434"/>
      <c r="J254" s="435" t="s">
        <v>1830</v>
      </c>
      <c r="K254" s="436"/>
      <c r="L254" s="437"/>
      <c r="M254" s="437"/>
      <c r="N254" s="437"/>
      <c r="O254" s="438"/>
      <c r="P254" s="439" t="s">
        <v>1830</v>
      </c>
    </row>
    <row r="255" spans="1:16" ht="15.75" thickBot="1">
      <c r="A255" s="434"/>
      <c r="B255" s="435" t="s">
        <v>1831</v>
      </c>
      <c r="C255" s="436"/>
      <c r="D255" s="437"/>
      <c r="E255" s="437"/>
      <c r="F255" s="437"/>
      <c r="G255" s="438"/>
      <c r="H255" s="439" t="s">
        <v>1831</v>
      </c>
      <c r="I255" s="434"/>
      <c r="J255" s="435" t="s">
        <v>1831</v>
      </c>
      <c r="K255" s="436"/>
      <c r="L255" s="437"/>
      <c r="M255" s="437"/>
      <c r="N255" s="437"/>
      <c r="O255" s="438"/>
      <c r="P255" s="439" t="s">
        <v>1831</v>
      </c>
    </row>
    <row r="256" spans="1:16" ht="15.75" thickBot="1">
      <c r="A256" s="434"/>
      <c r="B256" s="435" t="s">
        <v>1832</v>
      </c>
      <c r="C256" s="436"/>
      <c r="D256" s="437"/>
      <c r="E256" s="437"/>
      <c r="F256" s="437"/>
      <c r="G256" s="438"/>
      <c r="H256" s="439" t="s">
        <v>1832</v>
      </c>
      <c r="I256" s="434"/>
      <c r="J256" s="435" t="s">
        <v>1832</v>
      </c>
      <c r="K256" s="436"/>
      <c r="L256" s="437"/>
      <c r="M256" s="437"/>
      <c r="N256" s="437"/>
      <c r="O256" s="438"/>
      <c r="P256" s="439" t="s">
        <v>1832</v>
      </c>
    </row>
    <row r="257" spans="1:16" ht="15.75" thickBot="1">
      <c r="A257" s="434"/>
      <c r="B257" s="435" t="s">
        <v>1833</v>
      </c>
      <c r="C257" s="436"/>
      <c r="D257" s="437"/>
      <c r="E257" s="437"/>
      <c r="F257" s="437"/>
      <c r="G257" s="438"/>
      <c r="H257" s="439" t="s">
        <v>1833</v>
      </c>
      <c r="I257" s="434"/>
      <c r="J257" s="435" t="s">
        <v>1833</v>
      </c>
      <c r="K257" s="436"/>
      <c r="L257" s="437"/>
      <c r="M257" s="437"/>
      <c r="N257" s="437"/>
      <c r="O257" s="438"/>
      <c r="P257" s="439" t="s">
        <v>1833</v>
      </c>
    </row>
    <row r="258" spans="1:16" ht="26.25" thickBot="1">
      <c r="A258" s="440"/>
      <c r="B258" s="435" t="s">
        <v>1834</v>
      </c>
      <c r="C258" s="436"/>
      <c r="D258" s="437"/>
      <c r="E258" s="437"/>
      <c r="F258" s="437"/>
      <c r="G258" s="441"/>
      <c r="H258" s="439" t="s">
        <v>1835</v>
      </c>
      <c r="I258" s="440"/>
      <c r="J258" s="435" t="s">
        <v>1834</v>
      </c>
      <c r="K258" s="436"/>
      <c r="L258" s="437"/>
      <c r="M258" s="437"/>
      <c r="N258" s="437"/>
      <c r="O258" s="441"/>
      <c r="P258" s="439" t="s">
        <v>1835</v>
      </c>
    </row>
    <row r="259" spans="1:16" ht="15.75" thickBot="1">
      <c r="A259" s="442" t="s">
        <v>2164</v>
      </c>
      <c r="B259" s="435" t="s">
        <v>1822</v>
      </c>
      <c r="C259" s="436"/>
      <c r="D259" s="437"/>
      <c r="E259" s="437"/>
      <c r="F259" s="437"/>
      <c r="G259" s="443" t="s">
        <v>2165</v>
      </c>
      <c r="H259" s="439" t="s">
        <v>1822</v>
      </c>
      <c r="I259" s="442" t="s">
        <v>2164</v>
      </c>
      <c r="J259" s="435" t="s">
        <v>1822</v>
      </c>
      <c r="K259" s="436"/>
      <c r="L259" s="437"/>
      <c r="M259" s="437"/>
      <c r="N259" s="437"/>
      <c r="O259" s="443" t="s">
        <v>2165</v>
      </c>
      <c r="P259" s="439" t="s">
        <v>1822</v>
      </c>
    </row>
    <row r="260" spans="1:16" ht="15.75" thickBot="1">
      <c r="A260" s="434"/>
      <c r="B260" s="435" t="s">
        <v>1824</v>
      </c>
      <c r="C260" s="436"/>
      <c r="D260" s="437"/>
      <c r="E260" s="437"/>
      <c r="F260" s="437"/>
      <c r="G260" s="438"/>
      <c r="H260" s="439" t="s">
        <v>1824</v>
      </c>
      <c r="I260" s="434"/>
      <c r="J260" s="435" t="s">
        <v>1824</v>
      </c>
      <c r="K260" s="436"/>
      <c r="L260" s="437"/>
      <c r="M260" s="437"/>
      <c r="N260" s="437"/>
      <c r="O260" s="438"/>
      <c r="P260" s="439" t="s">
        <v>1824</v>
      </c>
    </row>
    <row r="261" spans="1:16" ht="15.75" thickBot="1">
      <c r="A261" s="434"/>
      <c r="B261" s="435" t="s">
        <v>1825</v>
      </c>
      <c r="C261" s="436"/>
      <c r="D261" s="437"/>
      <c r="E261" s="437"/>
      <c r="F261" s="437"/>
      <c r="G261" s="438"/>
      <c r="H261" s="439" t="s">
        <v>1825</v>
      </c>
      <c r="I261" s="434"/>
      <c r="J261" s="435" t="s">
        <v>1825</v>
      </c>
      <c r="K261" s="436"/>
      <c r="L261" s="437"/>
      <c r="M261" s="437"/>
      <c r="N261" s="437"/>
      <c r="O261" s="438"/>
      <c r="P261" s="439" t="s">
        <v>1825</v>
      </c>
    </row>
    <row r="262" spans="1:16" ht="15.75" thickBot="1">
      <c r="A262" s="434"/>
      <c r="B262" s="435" t="s">
        <v>1826</v>
      </c>
      <c r="C262" s="436"/>
      <c r="D262" s="437"/>
      <c r="E262" s="437"/>
      <c r="F262" s="437"/>
      <c r="G262" s="438"/>
      <c r="H262" s="439" t="s">
        <v>1826</v>
      </c>
      <c r="I262" s="434"/>
      <c r="J262" s="435" t="s">
        <v>1826</v>
      </c>
      <c r="K262" s="436"/>
      <c r="L262" s="437"/>
      <c r="M262" s="437"/>
      <c r="N262" s="437"/>
      <c r="O262" s="438"/>
      <c r="P262" s="439" t="s">
        <v>1826</v>
      </c>
    </row>
    <row r="263" spans="1:16" ht="15.75" thickBot="1">
      <c r="A263" s="434"/>
      <c r="B263" s="435" t="s">
        <v>1827</v>
      </c>
      <c r="C263" s="436"/>
      <c r="D263" s="437"/>
      <c r="E263" s="437"/>
      <c r="F263" s="437"/>
      <c r="G263" s="438"/>
      <c r="H263" s="439" t="s">
        <v>1827</v>
      </c>
      <c r="I263" s="434"/>
      <c r="J263" s="435" t="s">
        <v>1827</v>
      </c>
      <c r="K263" s="436"/>
      <c r="L263" s="437"/>
      <c r="M263" s="437"/>
      <c r="N263" s="437"/>
      <c r="O263" s="438"/>
      <c r="P263" s="439" t="s">
        <v>1827</v>
      </c>
    </row>
    <row r="264" spans="1:16" ht="15.75" thickBot="1">
      <c r="A264" s="434"/>
      <c r="B264" s="435" t="s">
        <v>1828</v>
      </c>
      <c r="C264" s="436"/>
      <c r="D264" s="437"/>
      <c r="E264" s="437"/>
      <c r="F264" s="437"/>
      <c r="G264" s="438"/>
      <c r="H264" s="439" t="s">
        <v>1828</v>
      </c>
      <c r="I264" s="434"/>
      <c r="J264" s="435" t="s">
        <v>1828</v>
      </c>
      <c r="K264" s="436"/>
      <c r="L264" s="437"/>
      <c r="M264" s="437"/>
      <c r="N264" s="437"/>
      <c r="O264" s="438"/>
      <c r="P264" s="439" t="s">
        <v>1828</v>
      </c>
    </row>
    <row r="265" spans="1:16" ht="15.75" thickBot="1">
      <c r="A265" s="434"/>
      <c r="B265" s="435" t="s">
        <v>1829</v>
      </c>
      <c r="C265" s="436"/>
      <c r="D265" s="437"/>
      <c r="E265" s="437"/>
      <c r="F265" s="437"/>
      <c r="G265" s="438"/>
      <c r="H265" s="439" t="s">
        <v>1829</v>
      </c>
      <c r="I265" s="434"/>
      <c r="J265" s="435" t="s">
        <v>1829</v>
      </c>
      <c r="K265" s="436"/>
      <c r="L265" s="437"/>
      <c r="M265" s="437"/>
      <c r="N265" s="437"/>
      <c r="O265" s="438"/>
      <c r="P265" s="439" t="s">
        <v>1829</v>
      </c>
    </row>
    <row r="266" spans="1:16" ht="15.75" thickBot="1">
      <c r="A266" s="434"/>
      <c r="B266" s="435" t="s">
        <v>1830</v>
      </c>
      <c r="C266" s="436"/>
      <c r="D266" s="437"/>
      <c r="E266" s="437"/>
      <c r="F266" s="437"/>
      <c r="G266" s="438"/>
      <c r="H266" s="439" t="s">
        <v>1830</v>
      </c>
      <c r="I266" s="434"/>
      <c r="J266" s="435" t="s">
        <v>1830</v>
      </c>
      <c r="K266" s="436"/>
      <c r="L266" s="437"/>
      <c r="M266" s="437"/>
      <c r="N266" s="437"/>
      <c r="O266" s="438"/>
      <c r="P266" s="439" t="s">
        <v>1830</v>
      </c>
    </row>
    <row r="267" spans="1:16" ht="15.75" thickBot="1">
      <c r="A267" s="434"/>
      <c r="B267" s="435" t="s">
        <v>1831</v>
      </c>
      <c r="C267" s="436"/>
      <c r="D267" s="437"/>
      <c r="E267" s="437"/>
      <c r="F267" s="437"/>
      <c r="G267" s="438"/>
      <c r="H267" s="439" t="s">
        <v>1831</v>
      </c>
      <c r="I267" s="434"/>
      <c r="J267" s="435" t="s">
        <v>1831</v>
      </c>
      <c r="K267" s="436"/>
      <c r="L267" s="437"/>
      <c r="M267" s="437"/>
      <c r="N267" s="437"/>
      <c r="O267" s="438"/>
      <c r="P267" s="439" t="s">
        <v>1831</v>
      </c>
    </row>
    <row r="268" spans="1:16" ht="15.75" thickBot="1">
      <c r="A268" s="434"/>
      <c r="B268" s="435" t="s">
        <v>1832</v>
      </c>
      <c r="C268" s="436"/>
      <c r="D268" s="437"/>
      <c r="E268" s="437"/>
      <c r="F268" s="437"/>
      <c r="G268" s="438"/>
      <c r="H268" s="439" t="s">
        <v>1832</v>
      </c>
      <c r="I268" s="434"/>
      <c r="J268" s="435" t="s">
        <v>1832</v>
      </c>
      <c r="K268" s="436"/>
      <c r="L268" s="437"/>
      <c r="M268" s="437"/>
      <c r="N268" s="437"/>
      <c r="O268" s="438"/>
      <c r="P268" s="439" t="s">
        <v>1832</v>
      </c>
    </row>
    <row r="269" spans="1:16" ht="15.75" thickBot="1">
      <c r="A269" s="434"/>
      <c r="B269" s="435" t="s">
        <v>1833</v>
      </c>
      <c r="C269" s="436"/>
      <c r="D269" s="437"/>
      <c r="E269" s="437"/>
      <c r="F269" s="437"/>
      <c r="G269" s="438"/>
      <c r="H269" s="439" t="s">
        <v>1833</v>
      </c>
      <c r="I269" s="434"/>
      <c r="J269" s="435" t="s">
        <v>1833</v>
      </c>
      <c r="K269" s="436"/>
      <c r="L269" s="437"/>
      <c r="M269" s="437"/>
      <c r="N269" s="437"/>
      <c r="O269" s="438"/>
      <c r="P269" s="439" t="s">
        <v>1833</v>
      </c>
    </row>
    <row r="270" spans="1:16" ht="26.25" thickBot="1">
      <c r="A270" s="440"/>
      <c r="B270" s="435" t="s">
        <v>1834</v>
      </c>
      <c r="C270" s="436"/>
      <c r="D270" s="437"/>
      <c r="E270" s="437"/>
      <c r="F270" s="437"/>
      <c r="G270" s="441"/>
      <c r="H270" s="439" t="s">
        <v>1835</v>
      </c>
      <c r="I270" s="440"/>
      <c r="J270" s="435" t="s">
        <v>1834</v>
      </c>
      <c r="K270" s="436"/>
      <c r="L270" s="437"/>
      <c r="M270" s="437"/>
      <c r="N270" s="437"/>
      <c r="O270" s="441"/>
      <c r="P270" s="439" t="s">
        <v>1835</v>
      </c>
    </row>
    <row r="271" spans="1:16" ht="15.75" thickBot="1">
      <c r="A271" s="442" t="s">
        <v>2166</v>
      </c>
      <c r="B271" s="435" t="s">
        <v>1822</v>
      </c>
      <c r="C271" s="436">
        <v>111423</v>
      </c>
      <c r="D271" s="437" t="s">
        <v>2203</v>
      </c>
      <c r="E271" s="437">
        <v>8.5000000000000006E-2</v>
      </c>
      <c r="F271" s="437" t="s">
        <v>2185</v>
      </c>
      <c r="G271" s="443" t="s">
        <v>2167</v>
      </c>
      <c r="H271" s="439" t="s">
        <v>1822</v>
      </c>
      <c r="I271" s="442" t="s">
        <v>2166</v>
      </c>
      <c r="J271" s="435" t="s">
        <v>1822</v>
      </c>
      <c r="K271" s="436">
        <v>43516</v>
      </c>
      <c r="L271" s="437" t="s">
        <v>2203</v>
      </c>
      <c r="M271" s="437">
        <v>0.09</v>
      </c>
      <c r="N271" s="437" t="s">
        <v>2185</v>
      </c>
      <c r="O271" s="443" t="s">
        <v>2167</v>
      </c>
      <c r="P271" s="439" t="s">
        <v>1822</v>
      </c>
    </row>
    <row r="272" spans="1:16" ht="15.75" thickBot="1">
      <c r="A272" s="434"/>
      <c r="B272" s="435" t="s">
        <v>1824</v>
      </c>
      <c r="C272" s="436"/>
      <c r="D272" s="437"/>
      <c r="E272" s="437"/>
      <c r="F272" s="437"/>
      <c r="G272" s="438"/>
      <c r="H272" s="439" t="s">
        <v>1824</v>
      </c>
      <c r="I272" s="434"/>
      <c r="J272" s="435" t="s">
        <v>1824</v>
      </c>
      <c r="K272" s="436"/>
      <c r="L272" s="437"/>
      <c r="M272" s="437"/>
      <c r="N272" s="437"/>
      <c r="O272" s="438"/>
      <c r="P272" s="439" t="s">
        <v>1824</v>
      </c>
    </row>
    <row r="273" spans="1:16" ht="15.75" thickBot="1">
      <c r="A273" s="434"/>
      <c r="B273" s="435" t="s">
        <v>1825</v>
      </c>
      <c r="C273" s="436"/>
      <c r="D273" s="437"/>
      <c r="E273" s="437"/>
      <c r="F273" s="437"/>
      <c r="G273" s="438"/>
      <c r="H273" s="439" t="s">
        <v>1825</v>
      </c>
      <c r="I273" s="434"/>
      <c r="J273" s="435" t="s">
        <v>1825</v>
      </c>
      <c r="K273" s="436"/>
      <c r="L273" s="437"/>
      <c r="M273" s="437"/>
      <c r="N273" s="437"/>
      <c r="O273" s="438"/>
      <c r="P273" s="439" t="s">
        <v>1825</v>
      </c>
    </row>
    <row r="274" spans="1:16" ht="15.75" thickBot="1">
      <c r="A274" s="434"/>
      <c r="B274" s="435" t="s">
        <v>1826</v>
      </c>
      <c r="C274" s="436"/>
      <c r="D274" s="437"/>
      <c r="E274" s="437"/>
      <c r="F274" s="437"/>
      <c r="G274" s="438"/>
      <c r="H274" s="439" t="s">
        <v>1826</v>
      </c>
      <c r="I274" s="434"/>
      <c r="J274" s="435" t="s">
        <v>1826</v>
      </c>
      <c r="K274" s="436"/>
      <c r="L274" s="437"/>
      <c r="M274" s="437"/>
      <c r="N274" s="437"/>
      <c r="O274" s="438"/>
      <c r="P274" s="439" t="s">
        <v>1826</v>
      </c>
    </row>
    <row r="275" spans="1:16" ht="15.75" thickBot="1">
      <c r="A275" s="434"/>
      <c r="B275" s="435" t="s">
        <v>1827</v>
      </c>
      <c r="C275" s="436"/>
      <c r="D275" s="437"/>
      <c r="E275" s="437"/>
      <c r="F275" s="437"/>
      <c r="G275" s="438"/>
      <c r="H275" s="439" t="s">
        <v>1827</v>
      </c>
      <c r="I275" s="434"/>
      <c r="J275" s="435" t="s">
        <v>1827</v>
      </c>
      <c r="K275" s="436"/>
      <c r="L275" s="437"/>
      <c r="M275" s="437"/>
      <c r="N275" s="437"/>
      <c r="O275" s="438"/>
      <c r="P275" s="439" t="s">
        <v>1827</v>
      </c>
    </row>
    <row r="276" spans="1:16" ht="15.75" thickBot="1">
      <c r="A276" s="434"/>
      <c r="B276" s="435" t="s">
        <v>1828</v>
      </c>
      <c r="C276" s="436"/>
      <c r="D276" s="437"/>
      <c r="E276" s="437"/>
      <c r="F276" s="437"/>
      <c r="G276" s="438"/>
      <c r="H276" s="439" t="s">
        <v>1828</v>
      </c>
      <c r="I276" s="434"/>
      <c r="J276" s="435" t="s">
        <v>1828</v>
      </c>
      <c r="K276" s="436"/>
      <c r="L276" s="437"/>
      <c r="M276" s="437"/>
      <c r="N276" s="437"/>
      <c r="O276" s="438"/>
      <c r="P276" s="439" t="s">
        <v>1828</v>
      </c>
    </row>
    <row r="277" spans="1:16" ht="15.75" thickBot="1">
      <c r="A277" s="434"/>
      <c r="B277" s="435" t="s">
        <v>1829</v>
      </c>
      <c r="C277" s="436"/>
      <c r="D277" s="437"/>
      <c r="E277" s="437"/>
      <c r="F277" s="437"/>
      <c r="G277" s="438"/>
      <c r="H277" s="439" t="s">
        <v>1829</v>
      </c>
      <c r="I277" s="434"/>
      <c r="J277" s="435" t="s">
        <v>1829</v>
      </c>
      <c r="K277" s="436"/>
      <c r="L277" s="437"/>
      <c r="M277" s="437"/>
      <c r="N277" s="437"/>
      <c r="O277" s="438"/>
      <c r="P277" s="439" t="s">
        <v>1829</v>
      </c>
    </row>
    <row r="278" spans="1:16" ht="15.75" thickBot="1">
      <c r="A278" s="434"/>
      <c r="B278" s="435" t="s">
        <v>1830</v>
      </c>
      <c r="C278" s="436"/>
      <c r="D278" s="437"/>
      <c r="E278" s="437"/>
      <c r="F278" s="437"/>
      <c r="G278" s="438"/>
      <c r="H278" s="439" t="s">
        <v>1830</v>
      </c>
      <c r="I278" s="434"/>
      <c r="J278" s="435" t="s">
        <v>1830</v>
      </c>
      <c r="K278" s="436"/>
      <c r="L278" s="437"/>
      <c r="M278" s="437"/>
      <c r="N278" s="437"/>
      <c r="O278" s="438"/>
      <c r="P278" s="439" t="s">
        <v>1830</v>
      </c>
    </row>
    <row r="279" spans="1:16" ht="15.75" thickBot="1">
      <c r="A279" s="434"/>
      <c r="B279" s="435" t="s">
        <v>1831</v>
      </c>
      <c r="C279" s="436"/>
      <c r="D279" s="437"/>
      <c r="E279" s="437"/>
      <c r="F279" s="437"/>
      <c r="G279" s="438"/>
      <c r="H279" s="439" t="s">
        <v>1831</v>
      </c>
      <c r="I279" s="434"/>
      <c r="J279" s="435" t="s">
        <v>1831</v>
      </c>
      <c r="K279" s="436"/>
      <c r="L279" s="437"/>
      <c r="M279" s="437"/>
      <c r="N279" s="437"/>
      <c r="O279" s="438"/>
      <c r="P279" s="439" t="s">
        <v>1831</v>
      </c>
    </row>
    <row r="280" spans="1:16" ht="15.75" thickBot="1">
      <c r="A280" s="434"/>
      <c r="B280" s="435" t="s">
        <v>1832</v>
      </c>
      <c r="C280" s="436"/>
      <c r="D280" s="437"/>
      <c r="E280" s="437"/>
      <c r="F280" s="437"/>
      <c r="G280" s="438"/>
      <c r="H280" s="439" t="s">
        <v>1832</v>
      </c>
      <c r="I280" s="434"/>
      <c r="J280" s="435" t="s">
        <v>1832</v>
      </c>
      <c r="K280" s="436"/>
      <c r="L280" s="437"/>
      <c r="M280" s="437"/>
      <c r="N280" s="437"/>
      <c r="O280" s="438"/>
      <c r="P280" s="439" t="s">
        <v>1832</v>
      </c>
    </row>
    <row r="281" spans="1:16" ht="15.75" thickBot="1">
      <c r="A281" s="434"/>
      <c r="B281" s="435" t="s">
        <v>1833</v>
      </c>
      <c r="C281" s="436"/>
      <c r="D281" s="437"/>
      <c r="E281" s="437"/>
      <c r="F281" s="437"/>
      <c r="G281" s="438"/>
      <c r="H281" s="439" t="s">
        <v>1833</v>
      </c>
      <c r="I281" s="434"/>
      <c r="J281" s="435" t="s">
        <v>1833</v>
      </c>
      <c r="K281" s="436"/>
      <c r="L281" s="437"/>
      <c r="M281" s="437"/>
      <c r="N281" s="437"/>
      <c r="O281" s="438"/>
      <c r="P281" s="439" t="s">
        <v>1833</v>
      </c>
    </row>
    <row r="282" spans="1:16" ht="26.25" thickBot="1">
      <c r="A282" s="440"/>
      <c r="B282" s="435" t="s">
        <v>1834</v>
      </c>
      <c r="C282" s="436"/>
      <c r="D282" s="437"/>
      <c r="E282" s="437"/>
      <c r="F282" s="437"/>
      <c r="G282" s="441"/>
      <c r="H282" s="439" t="s">
        <v>1835</v>
      </c>
      <c r="I282" s="440"/>
      <c r="J282" s="435" t="s">
        <v>1834</v>
      </c>
      <c r="K282" s="436"/>
      <c r="L282" s="437"/>
      <c r="M282" s="437"/>
      <c r="N282" s="437"/>
      <c r="O282" s="441"/>
      <c r="P282" s="439" t="s">
        <v>1835</v>
      </c>
    </row>
    <row r="283" spans="1:16" ht="17.25" customHeight="1">
      <c r="A283" s="444" t="s">
        <v>19</v>
      </c>
      <c r="B283" s="444"/>
      <c r="C283" s="444"/>
      <c r="D283" s="444"/>
      <c r="E283" s="444"/>
      <c r="F283" s="444"/>
      <c r="G283" s="444"/>
      <c r="H283" s="444"/>
      <c r="I283" s="445" t="s">
        <v>106</v>
      </c>
      <c r="J283" s="445"/>
      <c r="K283" s="445"/>
      <c r="L283" s="445"/>
      <c r="M283" s="445"/>
      <c r="N283" s="445"/>
      <c r="O283" s="445"/>
      <c r="P283" s="445"/>
    </row>
    <row r="284" spans="1:16" ht="17.25" customHeight="1">
      <c r="A284" s="429" t="s">
        <v>2187</v>
      </c>
      <c r="B284" s="429"/>
      <c r="C284" s="429"/>
      <c r="D284" s="429"/>
      <c r="E284" s="430" t="s">
        <v>2188</v>
      </c>
      <c r="F284" s="430"/>
      <c r="G284" s="430"/>
      <c r="H284" s="430"/>
      <c r="I284" s="429" t="s">
        <v>2187</v>
      </c>
      <c r="J284" s="429"/>
      <c r="K284" s="429"/>
      <c r="L284" s="429"/>
      <c r="M284" s="430" t="s">
        <v>2188</v>
      </c>
      <c r="N284" s="430"/>
      <c r="O284" s="430"/>
      <c r="P284" s="430"/>
    </row>
    <row r="285" spans="1:16">
      <c r="A285" s="431"/>
      <c r="B285" s="431"/>
      <c r="C285" s="432" t="s">
        <v>2189</v>
      </c>
      <c r="D285" s="432"/>
      <c r="E285" s="432"/>
      <c r="F285" s="432"/>
      <c r="G285" s="431"/>
      <c r="H285" s="431"/>
      <c r="I285" s="431"/>
      <c r="J285" s="431"/>
      <c r="K285" s="432" t="s">
        <v>2189</v>
      </c>
      <c r="L285" s="432"/>
      <c r="M285" s="432"/>
      <c r="N285" s="432"/>
      <c r="O285" s="431"/>
      <c r="P285" s="431"/>
    </row>
    <row r="286" spans="1:16" ht="23.25">
      <c r="A286" s="431"/>
      <c r="B286" s="431"/>
      <c r="C286" s="433" t="s">
        <v>2190</v>
      </c>
      <c r="D286" s="433" t="s">
        <v>2196</v>
      </c>
      <c r="E286" s="433" t="s">
        <v>2197</v>
      </c>
      <c r="F286" s="433" t="s">
        <v>2198</v>
      </c>
      <c r="G286" s="431"/>
      <c r="H286" s="431"/>
      <c r="I286" s="431"/>
      <c r="J286" s="431"/>
      <c r="K286" s="433" t="s">
        <v>2190</v>
      </c>
      <c r="L286" s="433" t="s">
        <v>2196</v>
      </c>
      <c r="M286" s="433" t="s">
        <v>2197</v>
      </c>
      <c r="N286" s="433" t="s">
        <v>2198</v>
      </c>
      <c r="O286" s="431"/>
      <c r="P286" s="431"/>
    </row>
    <row r="287" spans="1:16" ht="15.75" thickBot="1">
      <c r="A287" s="435" t="s">
        <v>2168</v>
      </c>
      <c r="B287" s="435" t="s">
        <v>1836</v>
      </c>
      <c r="C287" s="436"/>
      <c r="D287" s="437"/>
      <c r="E287" s="437"/>
      <c r="F287" s="437"/>
      <c r="G287" s="439" t="s">
        <v>2169</v>
      </c>
      <c r="H287" s="439" t="s">
        <v>1837</v>
      </c>
      <c r="I287" s="435" t="s">
        <v>2168</v>
      </c>
      <c r="J287" s="435" t="s">
        <v>1836</v>
      </c>
      <c r="K287" s="436"/>
      <c r="L287" s="437"/>
      <c r="M287" s="437"/>
      <c r="N287" s="437"/>
      <c r="O287" s="439" t="s">
        <v>2169</v>
      </c>
      <c r="P287" s="439" t="s">
        <v>1837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4544199-9E67-4F32-90C9-85A38ABB002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2F630E6-29FE-4D5E-8F72-A7DFF0381770}">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110</v>
      </c>
      <c r="B1" t="s">
        <v>112</v>
      </c>
      <c r="C1" t="s">
        <v>112</v>
      </c>
      <c r="D1" t="s">
        <v>114</v>
      </c>
      <c r="E1" t="s">
        <v>117</v>
      </c>
      <c r="F1" t="s">
        <v>123</v>
      </c>
      <c r="G1" t="s">
        <v>127</v>
      </c>
      <c r="H1" t="s">
        <v>133</v>
      </c>
      <c r="I1" t="s">
        <v>137</v>
      </c>
      <c r="J1" t="s">
        <v>139</v>
      </c>
      <c r="K1" t="s">
        <v>144</v>
      </c>
      <c r="L1" t="s">
        <v>273</v>
      </c>
      <c r="M1" t="s">
        <v>342</v>
      </c>
      <c r="N1" t="s">
        <v>377</v>
      </c>
      <c r="O1" t="s">
        <v>389</v>
      </c>
      <c r="P1" t="s">
        <v>112</v>
      </c>
      <c r="Q1" t="s">
        <v>393</v>
      </c>
      <c r="R1" t="s">
        <v>397</v>
      </c>
      <c r="S1" t="s">
        <v>405</v>
      </c>
      <c r="T1" t="s">
        <v>407</v>
      </c>
    </row>
    <row r="2" spans="1:20">
      <c r="A2" t="s">
        <v>111</v>
      </c>
      <c r="B2" t="s">
        <v>113</v>
      </c>
      <c r="C2" t="s">
        <v>113</v>
      </c>
      <c r="D2" t="s">
        <v>115</v>
      </c>
      <c r="E2" t="s">
        <v>118</v>
      </c>
      <c r="F2" t="s">
        <v>124</v>
      </c>
      <c r="G2" t="s">
        <v>128</v>
      </c>
      <c r="H2" t="s">
        <v>134</v>
      </c>
      <c r="I2" t="s">
        <v>138</v>
      </c>
      <c r="J2" t="s">
        <v>140</v>
      </c>
      <c r="K2" t="s">
        <v>145</v>
      </c>
      <c r="L2" t="s">
        <v>274</v>
      </c>
      <c r="M2" t="s">
        <v>343</v>
      </c>
      <c r="N2" t="s">
        <v>378</v>
      </c>
      <c r="O2" t="s">
        <v>390</v>
      </c>
      <c r="P2" t="s">
        <v>113</v>
      </c>
      <c r="Q2" t="s">
        <v>394</v>
      </c>
      <c r="R2" t="s">
        <v>398</v>
      </c>
      <c r="S2" t="s">
        <v>406</v>
      </c>
      <c r="T2" t="s">
        <v>408</v>
      </c>
    </row>
    <row r="3" spans="1:20">
      <c r="D3" t="s">
        <v>116</v>
      </c>
      <c r="E3" t="s">
        <v>119</v>
      </c>
      <c r="F3" t="s">
        <v>125</v>
      </c>
      <c r="G3" t="s">
        <v>129</v>
      </c>
      <c r="H3" t="s">
        <v>135</v>
      </c>
      <c r="J3" t="s">
        <v>141</v>
      </c>
      <c r="K3" t="s">
        <v>146</v>
      </c>
      <c r="L3" t="s">
        <v>275</v>
      </c>
      <c r="M3" t="s">
        <v>344</v>
      </c>
      <c r="N3" t="s">
        <v>379</v>
      </c>
      <c r="O3" t="s">
        <v>391</v>
      </c>
      <c r="Q3" t="s">
        <v>395</v>
      </c>
      <c r="R3" t="s">
        <v>399</v>
      </c>
      <c r="T3" t="s">
        <v>409</v>
      </c>
    </row>
    <row r="4" spans="1:20">
      <c r="E4" t="s">
        <v>120</v>
      </c>
      <c r="F4" t="s">
        <v>126</v>
      </c>
      <c r="G4" t="s">
        <v>130</v>
      </c>
      <c r="H4" t="s">
        <v>136</v>
      </c>
      <c r="J4" t="s">
        <v>142</v>
      </c>
      <c r="K4" t="s">
        <v>147</v>
      </c>
      <c r="L4" t="s">
        <v>276</v>
      </c>
      <c r="M4" t="s">
        <v>345</v>
      </c>
      <c r="N4" t="s">
        <v>380</v>
      </c>
      <c r="O4" t="s">
        <v>392</v>
      </c>
      <c r="Q4" t="s">
        <v>396</v>
      </c>
      <c r="R4" t="s">
        <v>400</v>
      </c>
      <c r="T4" t="s">
        <v>410</v>
      </c>
    </row>
    <row r="5" spans="1:20">
      <c r="E5" t="s">
        <v>121</v>
      </c>
      <c r="G5" t="s">
        <v>131</v>
      </c>
      <c r="J5" t="s">
        <v>143</v>
      </c>
      <c r="K5" t="s">
        <v>148</v>
      </c>
      <c r="L5" t="s">
        <v>277</v>
      </c>
      <c r="M5" t="s">
        <v>346</v>
      </c>
      <c r="N5" t="s">
        <v>381</v>
      </c>
      <c r="R5" t="s">
        <v>401</v>
      </c>
      <c r="T5" t="s">
        <v>411</v>
      </c>
    </row>
    <row r="6" spans="1:20">
      <c r="E6" t="s">
        <v>122</v>
      </c>
      <c r="G6" t="s">
        <v>132</v>
      </c>
      <c r="K6" t="s">
        <v>149</v>
      </c>
      <c r="L6" t="s">
        <v>278</v>
      </c>
      <c r="M6" t="s">
        <v>347</v>
      </c>
      <c r="N6" t="s">
        <v>382</v>
      </c>
      <c r="R6" t="s">
        <v>402</v>
      </c>
      <c r="T6" t="s">
        <v>412</v>
      </c>
    </row>
    <row r="7" spans="1:20">
      <c r="K7" t="s">
        <v>150</v>
      </c>
      <c r="L7" t="s">
        <v>279</v>
      </c>
      <c r="M7" t="s">
        <v>348</v>
      </c>
      <c r="N7" t="s">
        <v>383</v>
      </c>
      <c r="R7" t="s">
        <v>403</v>
      </c>
      <c r="T7" t="s">
        <v>413</v>
      </c>
    </row>
    <row r="8" spans="1:20">
      <c r="K8" t="s">
        <v>151</v>
      </c>
      <c r="L8" t="s">
        <v>280</v>
      </c>
      <c r="M8" t="s">
        <v>349</v>
      </c>
      <c r="N8" t="s">
        <v>384</v>
      </c>
      <c r="R8" t="s">
        <v>404</v>
      </c>
      <c r="T8" t="s">
        <v>414</v>
      </c>
    </row>
    <row r="9" spans="1:20">
      <c r="K9" t="s">
        <v>152</v>
      </c>
      <c r="L9" t="s">
        <v>281</v>
      </c>
      <c r="M9" t="s">
        <v>350</v>
      </c>
      <c r="N9" t="s">
        <v>385</v>
      </c>
    </row>
    <row r="10" spans="1:20">
      <c r="K10" t="s">
        <v>153</v>
      </c>
      <c r="L10" t="s">
        <v>282</v>
      </c>
      <c r="M10" t="s">
        <v>351</v>
      </c>
      <c r="N10" t="s">
        <v>386</v>
      </c>
    </row>
    <row r="11" spans="1:20">
      <c r="K11" t="s">
        <v>154</v>
      </c>
      <c r="L11" t="s">
        <v>283</v>
      </c>
      <c r="M11" t="s">
        <v>352</v>
      </c>
      <c r="N11" t="s">
        <v>387</v>
      </c>
    </row>
    <row r="12" spans="1:20">
      <c r="K12" t="s">
        <v>155</v>
      </c>
      <c r="L12" t="s">
        <v>284</v>
      </c>
      <c r="M12" t="s">
        <v>353</v>
      </c>
      <c r="N12" t="s">
        <v>388</v>
      </c>
    </row>
    <row r="13" spans="1:20">
      <c r="K13" t="s">
        <v>156</v>
      </c>
      <c r="L13" t="s">
        <v>285</v>
      </c>
      <c r="M13" t="s">
        <v>354</v>
      </c>
    </row>
    <row r="14" spans="1:20">
      <c r="K14" t="s">
        <v>157</v>
      </c>
      <c r="L14" t="s">
        <v>286</v>
      </c>
      <c r="M14" t="s">
        <v>355</v>
      </c>
    </row>
    <row r="15" spans="1:20">
      <c r="K15" t="s">
        <v>158</v>
      </c>
      <c r="L15" t="s">
        <v>287</v>
      </c>
      <c r="M15" t="s">
        <v>356</v>
      </c>
    </row>
    <row r="16" spans="1:20">
      <c r="K16" t="s">
        <v>159</v>
      </c>
      <c r="L16" t="s">
        <v>288</v>
      </c>
      <c r="M16" t="s">
        <v>357</v>
      </c>
    </row>
    <row r="17" spans="11:13">
      <c r="K17" t="s">
        <v>160</v>
      </c>
      <c r="L17" t="s">
        <v>289</v>
      </c>
      <c r="M17" t="s">
        <v>358</v>
      </c>
    </row>
    <row r="18" spans="11:13">
      <c r="K18" t="s">
        <v>161</v>
      </c>
      <c r="L18" t="s">
        <v>290</v>
      </c>
      <c r="M18" t="s">
        <v>359</v>
      </c>
    </row>
    <row r="19" spans="11:13">
      <c r="K19" t="s">
        <v>162</v>
      </c>
      <c r="L19" t="s">
        <v>291</v>
      </c>
      <c r="M19" t="s">
        <v>360</v>
      </c>
    </row>
    <row r="20" spans="11:13">
      <c r="K20" t="s">
        <v>163</v>
      </c>
      <c r="L20" t="s">
        <v>292</v>
      </c>
      <c r="M20" t="s">
        <v>361</v>
      </c>
    </row>
    <row r="21" spans="11:13">
      <c r="K21" t="s">
        <v>164</v>
      </c>
      <c r="L21" t="s">
        <v>293</v>
      </c>
      <c r="M21" t="s">
        <v>362</v>
      </c>
    </row>
    <row r="22" spans="11:13">
      <c r="K22" t="s">
        <v>165</v>
      </c>
      <c r="L22" t="s">
        <v>294</v>
      </c>
      <c r="M22" t="s">
        <v>363</v>
      </c>
    </row>
    <row r="23" spans="11:13">
      <c r="K23" t="s">
        <v>166</v>
      </c>
      <c r="L23" t="s">
        <v>295</v>
      </c>
      <c r="M23" t="s">
        <v>364</v>
      </c>
    </row>
    <row r="24" spans="11:13">
      <c r="K24" t="s">
        <v>167</v>
      </c>
      <c r="L24" t="s">
        <v>296</v>
      </c>
      <c r="M24" t="s">
        <v>365</v>
      </c>
    </row>
    <row r="25" spans="11:13">
      <c r="K25" t="s">
        <v>168</v>
      </c>
      <c r="L25" t="s">
        <v>297</v>
      </c>
      <c r="M25" t="s">
        <v>366</v>
      </c>
    </row>
    <row r="26" spans="11:13">
      <c r="K26" t="s">
        <v>169</v>
      </c>
      <c r="L26" t="s">
        <v>298</v>
      </c>
      <c r="M26" t="s">
        <v>367</v>
      </c>
    </row>
    <row r="27" spans="11:13">
      <c r="K27" t="s">
        <v>170</v>
      </c>
      <c r="L27" t="s">
        <v>299</v>
      </c>
      <c r="M27" t="s">
        <v>368</v>
      </c>
    </row>
    <row r="28" spans="11:13">
      <c r="K28" t="s">
        <v>171</v>
      </c>
      <c r="L28" t="s">
        <v>300</v>
      </c>
      <c r="M28" t="s">
        <v>369</v>
      </c>
    </row>
    <row r="29" spans="11:13">
      <c r="K29" t="s">
        <v>172</v>
      </c>
      <c r="L29" t="s">
        <v>301</v>
      </c>
      <c r="M29" t="s">
        <v>370</v>
      </c>
    </row>
    <row r="30" spans="11:13">
      <c r="K30" t="s">
        <v>173</v>
      </c>
      <c r="L30" t="s">
        <v>302</v>
      </c>
      <c r="M30" t="s">
        <v>371</v>
      </c>
    </row>
    <row r="31" spans="11:13">
      <c r="K31" t="s">
        <v>174</v>
      </c>
      <c r="L31" t="s">
        <v>303</v>
      </c>
      <c r="M31" t="s">
        <v>372</v>
      </c>
    </row>
    <row r="32" spans="11:13">
      <c r="K32" t="s">
        <v>175</v>
      </c>
      <c r="L32" t="s">
        <v>304</v>
      </c>
      <c r="M32" t="s">
        <v>373</v>
      </c>
    </row>
    <row r="33" spans="11:13">
      <c r="K33" t="s">
        <v>176</v>
      </c>
      <c r="L33" t="s">
        <v>305</v>
      </c>
      <c r="M33" t="s">
        <v>374</v>
      </c>
    </row>
    <row r="34" spans="11:13">
      <c r="K34" t="s">
        <v>177</v>
      </c>
      <c r="L34" t="s">
        <v>306</v>
      </c>
      <c r="M34" t="s">
        <v>375</v>
      </c>
    </row>
    <row r="35" spans="11:13">
      <c r="K35" t="s">
        <v>178</v>
      </c>
      <c r="L35" t="s">
        <v>307</v>
      </c>
      <c r="M35" t="s">
        <v>376</v>
      </c>
    </row>
    <row r="36" spans="11:13">
      <c r="K36" t="s">
        <v>179</v>
      </c>
      <c r="L36" t="s">
        <v>308</v>
      </c>
    </row>
    <row r="37" spans="11:13">
      <c r="K37" t="s">
        <v>180</v>
      </c>
      <c r="L37" t="s">
        <v>309</v>
      </c>
    </row>
    <row r="38" spans="11:13">
      <c r="K38" t="s">
        <v>181</v>
      </c>
      <c r="L38" t="s">
        <v>310</v>
      </c>
    </row>
    <row r="39" spans="11:13">
      <c r="K39" t="s">
        <v>182</v>
      </c>
      <c r="L39" t="s">
        <v>311</v>
      </c>
    </row>
    <row r="40" spans="11:13">
      <c r="K40" t="s">
        <v>183</v>
      </c>
      <c r="L40" t="s">
        <v>312</v>
      </c>
    </row>
    <row r="41" spans="11:13">
      <c r="K41" t="s">
        <v>184</v>
      </c>
      <c r="L41" t="s">
        <v>313</v>
      </c>
    </row>
    <row r="42" spans="11:13">
      <c r="K42" t="s">
        <v>185</v>
      </c>
      <c r="L42" t="s">
        <v>314</v>
      </c>
    </row>
    <row r="43" spans="11:13">
      <c r="K43" t="s">
        <v>186</v>
      </c>
      <c r="L43" t="s">
        <v>315</v>
      </c>
    </row>
    <row r="44" spans="11:13">
      <c r="K44" t="s">
        <v>187</v>
      </c>
      <c r="L44" t="s">
        <v>316</v>
      </c>
    </row>
    <row r="45" spans="11:13">
      <c r="K45" t="s">
        <v>188</v>
      </c>
      <c r="L45" t="s">
        <v>317</v>
      </c>
    </row>
    <row r="46" spans="11:13">
      <c r="K46" t="s">
        <v>189</v>
      </c>
      <c r="L46" t="s">
        <v>318</v>
      </c>
    </row>
    <row r="47" spans="11:13">
      <c r="K47" t="s">
        <v>190</v>
      </c>
      <c r="L47" t="s">
        <v>319</v>
      </c>
    </row>
    <row r="48" spans="11:13">
      <c r="K48" t="s">
        <v>191</v>
      </c>
      <c r="L48" t="s">
        <v>320</v>
      </c>
    </row>
    <row r="49" spans="11:12">
      <c r="K49" t="s">
        <v>192</v>
      </c>
      <c r="L49" t="s">
        <v>321</v>
      </c>
    </row>
    <row r="50" spans="11:12">
      <c r="K50" t="s">
        <v>193</v>
      </c>
      <c r="L50" t="s">
        <v>322</v>
      </c>
    </row>
    <row r="51" spans="11:12">
      <c r="K51" t="s">
        <v>194</v>
      </c>
      <c r="L51" t="s">
        <v>323</v>
      </c>
    </row>
    <row r="52" spans="11:12">
      <c r="K52" t="s">
        <v>195</v>
      </c>
      <c r="L52" t="s">
        <v>324</v>
      </c>
    </row>
    <row r="53" spans="11:12">
      <c r="K53" t="s">
        <v>196</v>
      </c>
      <c r="L53" t="s">
        <v>325</v>
      </c>
    </row>
    <row r="54" spans="11:12">
      <c r="K54" t="s">
        <v>197</v>
      </c>
      <c r="L54" t="s">
        <v>326</v>
      </c>
    </row>
    <row r="55" spans="11:12">
      <c r="K55" t="s">
        <v>198</v>
      </c>
      <c r="L55" t="s">
        <v>327</v>
      </c>
    </row>
    <row r="56" spans="11:12">
      <c r="K56" t="s">
        <v>199</v>
      </c>
      <c r="L56" t="s">
        <v>328</v>
      </c>
    </row>
    <row r="57" spans="11:12">
      <c r="K57" t="s">
        <v>200</v>
      </c>
      <c r="L57" t="s">
        <v>329</v>
      </c>
    </row>
    <row r="58" spans="11:12">
      <c r="K58" t="s">
        <v>201</v>
      </c>
      <c r="L58" t="s">
        <v>330</v>
      </c>
    </row>
    <row r="59" spans="11:12">
      <c r="K59" t="s">
        <v>202</v>
      </c>
      <c r="L59" t="s">
        <v>331</v>
      </c>
    </row>
    <row r="60" spans="11:12">
      <c r="K60" t="s">
        <v>203</v>
      </c>
      <c r="L60" t="s">
        <v>332</v>
      </c>
    </row>
    <row r="61" spans="11:12">
      <c r="K61" t="s">
        <v>204</v>
      </c>
      <c r="L61" t="s">
        <v>333</v>
      </c>
    </row>
    <row r="62" spans="11:12">
      <c r="K62" t="s">
        <v>205</v>
      </c>
      <c r="L62" t="s">
        <v>334</v>
      </c>
    </row>
    <row r="63" spans="11:12">
      <c r="K63" t="s">
        <v>206</v>
      </c>
      <c r="L63" t="s">
        <v>335</v>
      </c>
    </row>
    <row r="64" spans="11:12">
      <c r="K64" t="s">
        <v>207</v>
      </c>
      <c r="L64" t="s">
        <v>336</v>
      </c>
    </row>
    <row r="65" spans="11:12">
      <c r="K65" t="s">
        <v>208</v>
      </c>
      <c r="L65" t="s">
        <v>337</v>
      </c>
    </row>
    <row r="66" spans="11:12">
      <c r="K66" t="s">
        <v>209</v>
      </c>
      <c r="L66" t="s">
        <v>338</v>
      </c>
    </row>
    <row r="67" spans="11:12">
      <c r="K67" t="s">
        <v>210</v>
      </c>
      <c r="L67" t="s">
        <v>339</v>
      </c>
    </row>
    <row r="68" spans="11:12">
      <c r="K68" t="s">
        <v>211</v>
      </c>
      <c r="L68" t="s">
        <v>340</v>
      </c>
    </row>
    <row r="69" spans="11:12">
      <c r="K69" t="s">
        <v>212</v>
      </c>
      <c r="L69" t="s">
        <v>341</v>
      </c>
    </row>
    <row r="70" spans="11:12">
      <c r="K70" t="s">
        <v>213</v>
      </c>
    </row>
    <row r="71" spans="11:12">
      <c r="K71" t="s">
        <v>214</v>
      </c>
    </row>
    <row r="72" spans="11:12">
      <c r="K72" t="s">
        <v>215</v>
      </c>
    </row>
    <row r="73" spans="11:12">
      <c r="K73" t="s">
        <v>216</v>
      </c>
    </row>
    <row r="74" spans="11:12">
      <c r="K74" t="s">
        <v>217</v>
      </c>
    </row>
    <row r="75" spans="11:12">
      <c r="K75" t="s">
        <v>218</v>
      </c>
    </row>
    <row r="76" spans="11:12">
      <c r="K76" t="s">
        <v>219</v>
      </c>
    </row>
    <row r="77" spans="11:12">
      <c r="K77" t="s">
        <v>220</v>
      </c>
    </row>
    <row r="78" spans="11:12">
      <c r="K78" t="s">
        <v>221</v>
      </c>
    </row>
    <row r="79" spans="11:12">
      <c r="K79" t="s">
        <v>222</v>
      </c>
    </row>
    <row r="80" spans="11:12">
      <c r="K80" t="s">
        <v>223</v>
      </c>
    </row>
    <row r="81" spans="11:11">
      <c r="K81" t="s">
        <v>224</v>
      </c>
    </row>
    <row r="82" spans="11:11">
      <c r="K82" t="s">
        <v>225</v>
      </c>
    </row>
    <row r="83" spans="11:11">
      <c r="K83" t="s">
        <v>226</v>
      </c>
    </row>
    <row r="84" spans="11:11">
      <c r="K84" t="s">
        <v>227</v>
      </c>
    </row>
    <row r="85" spans="11:11">
      <c r="K85" t="s">
        <v>228</v>
      </c>
    </row>
    <row r="86" spans="11:11">
      <c r="K86" t="s">
        <v>229</v>
      </c>
    </row>
    <row r="87" spans="11:11">
      <c r="K87" t="s">
        <v>230</v>
      </c>
    </row>
    <row r="88" spans="11:11">
      <c r="K88" t="s">
        <v>231</v>
      </c>
    </row>
    <row r="89" spans="11:11">
      <c r="K89" t="s">
        <v>232</v>
      </c>
    </row>
    <row r="90" spans="11:11">
      <c r="K90" t="s">
        <v>233</v>
      </c>
    </row>
    <row r="91" spans="11:11">
      <c r="K91" t="s">
        <v>234</v>
      </c>
    </row>
    <row r="92" spans="11:11">
      <c r="K92" t="s">
        <v>235</v>
      </c>
    </row>
    <row r="93" spans="11:11">
      <c r="K93" t="s">
        <v>236</v>
      </c>
    </row>
    <row r="94" spans="11:11">
      <c r="K94" t="s">
        <v>237</v>
      </c>
    </row>
    <row r="95" spans="11:11">
      <c r="K95" t="s">
        <v>238</v>
      </c>
    </row>
    <row r="96" spans="11:11">
      <c r="K96" t="s">
        <v>239</v>
      </c>
    </row>
    <row r="97" spans="11:11">
      <c r="K97" t="s">
        <v>240</v>
      </c>
    </row>
    <row r="98" spans="11:11">
      <c r="K98" t="s">
        <v>241</v>
      </c>
    </row>
    <row r="99" spans="11:11">
      <c r="K99" t="s">
        <v>242</v>
      </c>
    </row>
    <row r="100" spans="11:11">
      <c r="K100" t="s">
        <v>243</v>
      </c>
    </row>
    <row r="101" spans="11:11">
      <c r="K101" t="s">
        <v>244</v>
      </c>
    </row>
    <row r="102" spans="11:11">
      <c r="K102" t="s">
        <v>245</v>
      </c>
    </row>
    <row r="103" spans="11:11">
      <c r="K103" t="s">
        <v>246</v>
      </c>
    </row>
    <row r="104" spans="11:11">
      <c r="K104" t="s">
        <v>247</v>
      </c>
    </row>
    <row r="105" spans="11:11">
      <c r="K105" t="s">
        <v>248</v>
      </c>
    </row>
    <row r="106" spans="11:11">
      <c r="K106" t="s">
        <v>249</v>
      </c>
    </row>
    <row r="107" spans="11:11">
      <c r="K107" t="s">
        <v>250</v>
      </c>
    </row>
    <row r="108" spans="11:11">
      <c r="K108" t="s">
        <v>251</v>
      </c>
    </row>
    <row r="109" spans="11:11">
      <c r="K109" t="s">
        <v>252</v>
      </c>
    </row>
    <row r="110" spans="11:11">
      <c r="K110" t="s">
        <v>253</v>
      </c>
    </row>
    <row r="111" spans="11:11">
      <c r="K111" t="s">
        <v>254</v>
      </c>
    </row>
    <row r="112" spans="11:11">
      <c r="K112" t="s">
        <v>255</v>
      </c>
    </row>
    <row r="113" spans="11:11">
      <c r="K113" t="s">
        <v>256</v>
      </c>
    </row>
    <row r="114" spans="11:11">
      <c r="K114" t="s">
        <v>257</v>
      </c>
    </row>
    <row r="115" spans="11:11">
      <c r="K115" t="s">
        <v>258</v>
      </c>
    </row>
    <row r="116" spans="11:11">
      <c r="K116" t="s">
        <v>259</v>
      </c>
    </row>
    <row r="117" spans="11:11">
      <c r="K117" t="s">
        <v>260</v>
      </c>
    </row>
    <row r="118" spans="11:11">
      <c r="K118" t="s">
        <v>261</v>
      </c>
    </row>
    <row r="119" spans="11:11">
      <c r="K119" t="s">
        <v>262</v>
      </c>
    </row>
    <row r="120" spans="11:11">
      <c r="K120" t="s">
        <v>263</v>
      </c>
    </row>
    <row r="121" spans="11:11">
      <c r="K121" t="s">
        <v>264</v>
      </c>
    </row>
    <row r="122" spans="11:11">
      <c r="K122" t="s">
        <v>265</v>
      </c>
    </row>
    <row r="123" spans="11:11">
      <c r="K123" t="s">
        <v>266</v>
      </c>
    </row>
    <row r="124" spans="11:11">
      <c r="K124" t="s">
        <v>267</v>
      </c>
    </row>
    <row r="125" spans="11:11">
      <c r="K125" t="s">
        <v>268</v>
      </c>
    </row>
    <row r="126" spans="11:11">
      <c r="K126" t="s">
        <v>269</v>
      </c>
    </row>
    <row r="127" spans="11:11">
      <c r="K127" t="s">
        <v>270</v>
      </c>
    </row>
    <row r="128" spans="11:11">
      <c r="K128" t="s">
        <v>271</v>
      </c>
    </row>
    <row r="129" spans="11:11">
      <c r="K129" t="s">
        <v>272</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415</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11977</vt:i4>
      </vt:variant>
    </vt:vector>
  </HeadingPairs>
  <TitlesOfParts>
    <vt:vector size="12007" baseType="lpstr">
      <vt:lpstr>1000000</vt:lpstr>
      <vt:lpstr>1210000</vt:lpstr>
      <vt:lpstr>1321000</vt:lpstr>
      <vt:lpstr>1410000</vt:lpstr>
      <vt:lpstr>1410000PY</vt:lpstr>
      <vt:lpstr>1510000</vt:lpstr>
      <vt:lpstr>1610000</vt:lpstr>
      <vt:lpstr>1611000</vt:lpstr>
      <vt:lpstr>1611000PY</vt:lpstr>
      <vt:lpstr>1611100</vt:lpstr>
      <vt:lpstr>1612000</vt:lpstr>
      <vt:lpstr>1612000PY</vt:lpstr>
      <vt:lpstr>1617000</vt:lpstr>
      <vt:lpstr>1620100</vt:lpstr>
      <vt:lpstr>1620200</vt:lpstr>
      <vt:lpstr>1620500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'1620500'!rap.context.title.CurrentYearInstant.0</vt:lpstr>
      <vt:lpstr>'1630000'!rap.context.title.CurrentYearInstant.0</vt:lpstr>
      <vt:lpstr>'1640100'!rap.context.title.CurrentYearInstant.0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'1620100'!rap.context.title.PriorEndYearInstant.0</vt:lpstr>
      <vt:lpstr>'1620200'!rap.context.title.PriorEndYearInstant.0</vt:lpstr>
      <vt:lpstr>'1620500'!rap.context.title.PriorEndYearInstant.0</vt:lpstr>
      <vt:lpstr>'1630000'!rap.context.title.PriorEndYearInstant.0</vt:lpstr>
      <vt:lpstr>'1640100'!rap.context.title.PriorEndYearInstant.0</vt:lpstr>
      <vt:lpstr>'1640200'!rap.context.title.PriorEndYearInstant.0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'1640200'!rap.context.title.PriorEndYearInstant.2</vt:lpstr>
      <vt:lpstr>'1691000a'!rap.context.title.PriorEndYearInstant.2</vt:lpstr>
      <vt:lpstr>rap.context.title.PriorEndYearInstant.2</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2024-07-26T15:04:06Z</dcterms:created>
  <dcterms:modified xsi:type="dcterms:W3CDTF">2024-07-30T02:28:56Z</dcterms:modified>
</cp:coreProperties>
</file>