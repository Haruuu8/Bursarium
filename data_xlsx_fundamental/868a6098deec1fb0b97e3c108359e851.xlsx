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<sst xmlns="http://schemas.openxmlformats.org/spreadsheetml/2006/main" count="14730" uniqueCount="2893">
  <si>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</si>
  <si>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</si>
  <si>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</si>
  <si>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</si>
  <si>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</si>
  <si>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</si>
  <si>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</si>
  <si>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</si>
  <si>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</si>
  <si>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</si>
  <si>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</si>
  <si>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</si>
  <si>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</si>
  <si>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</si>
  <si>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</si>
  <si>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</si>
  <si>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</si>
  <si>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</si>
  <si>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</si>
  <si>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</si>
  <si>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</si>
  <si>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</si>
  <si>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</si>
  <si>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</si>
  <si>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</si>
  <si>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</si>
  <si>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</si>
  <si>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</si>
  <si>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</si>
  <si>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</si>
  <si>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</si>
  <si>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</si>
  <si>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</si>
  <si>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</si>
  <si>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</si>
  <si>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</si>
  <si>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</si>
  <si>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</si>
  <si>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</si>
  <si>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</si>
  <si>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</si>
  <si>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</si>
  <si>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</si>
  <si>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</si>
  <si>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</si>
  <si>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</si>
  <si>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</si>
  <si>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</si>
  <si>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</si>
  <si>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</si>
  <si>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</si>
  <si>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</si>
  <si>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</si>
  <si>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</si>
  <si>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</si>
  <si>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</si>
  <si>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</si>
  <si>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</si>
  <si>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</si>
  <si>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</si>
  <si>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</si>
  <si>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</si>
  <si>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</si>
  <si>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</si>
  <si>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</si>
  <si>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</si>
  <si>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</si>
  <si>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</si>
  <si>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</si>
  <si>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</si>
  <si>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</si>
  <si>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</si>
  <si>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</si>
  <si>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</si>
  <si>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</si>
  <si>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</si>
  <si>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</si>
  <si>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</si>
  <si>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</si>
  <si>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</si>
  <si>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</si>
  <si>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</si>
  <si>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</si>
  <si>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</si>
  <si>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</si>
  <si>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</si>
  <si>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</si>
  <si>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</si>
  <si>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</si>
  <si>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</si>
  <si>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</si>
  <si>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</si>
  <si>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</si>
  <si>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</si>
  <si>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</si>
  <si>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</si>
  <si>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</si>
  <si>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</si>
  <si>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</si>
  <si>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</si>
  <si>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</si>
  <si>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</si>
  <si>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</si>
  <si>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</si>
  <si>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</si>
  <si>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</si>
  <si>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</si>
  <si>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</si>
  <si>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</si>
  <si>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</si>
  <si>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</si>
  <si>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</si>
  <si>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</si>
  <si>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</si>
  <si>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</si>
  <si>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</si>
  <si>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</si>
  <si>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</si>
  <si>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</si>
  <si>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</si>
  <si>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</si>
  <si>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</si>
  <si>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</si>
  <si>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</si>
  <si>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</si>
  <si>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</si>
  <si>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</si>
  <si>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</si>
  <si>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</si>
  <si>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</si>
  <si>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</si>
  <si>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</si>
  <si>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</si>
  <si>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</si>
  <si>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</si>
  <si>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</si>
  <si>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</si>
  <si>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</si>
  <si>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</si>
  <si>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</si>
  <si>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</si>
  <si>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</si>
  <si>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</si>
  <si>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</si>
  <si>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</si>
  <si>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</si>
  <si>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</si>
  <si>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</si>
  <si>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</si>
  <si>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</si>
  <si>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</si>
  <si>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</si>
  <si>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</si>
  <si>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</si>
  <si>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</si>
  <si>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</si>
  <si>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</si>
  <si>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</si>
  <si>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</si>
  <si>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</si>
  <si>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</si>
  <si>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</si>
  <si>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</si>
  <si>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</si>
  <si>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</si>
  <si>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</si>
  <si>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</si>
  <si>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</si>
  <si>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</si>
  <si>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</si>
  <si>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</si>
  <si>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</si>
  <si>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</si>
  <si>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</si>
  <si>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</si>
  <si>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</si>
  <si>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</si>
  <si>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</si>
  <si>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</si>
  <si>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</si>
  <si>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</si>
  <si>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</si>
  <si>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</si>
  <si>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</si>
  <si>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</si>
  <si>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</si>
  <si>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</si>
  <si>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</si>
  <si>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</si>
  <si>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</si>
  <si>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</si>
  <si>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</si>
  <si>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</si>
  <si>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</si>
  <si>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</si>
  <si>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</si>
  <si>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</si>
  <si>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</si>
  <si>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</si>
  <si>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</si>
  <si>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</si>
  <si>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</si>
  <si>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</si>
  <si>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</si>
  <si>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</si>
  <si>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</si>
  <si>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</si>
  <si>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</si>
  <si>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</si>
  <si>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</si>
  <si>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</si>
  <si>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</si>
  <si>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</si>
  <si>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</si>
  <si>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</si>
  <si>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</si>
  <si>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</si>
  <si>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</si>
  <si>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</si>
  <si>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</si>
  <si>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</si>
  <si>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</si>
  <si>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</si>
  <si>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</si>
  <si>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</si>
  <si>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</si>
  <si>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</si>
  <si>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</si>
  <si>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</si>
  <si>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</si>
  <si>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</si>
  <si>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</si>
  <si>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</si>
  <si>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</si>
  <si>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</si>
  <si>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</si>
  <si>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</si>
  <si>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</si>
  <si>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</si>
  <si>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</si>
  <si>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</si>
  <si>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</si>
  <si>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</si>
  <si>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</si>
  <si>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</si>
  <si>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</si>
  <si>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</si>
  <si>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</si>
  <si>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</si>
  <si>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</si>
  <si>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</si>
  <si>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</si>
  <si>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</si>
  <si>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</si>
  <si>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</si>
  <si>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</si>
  <si>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</si>
  <si>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</si>
  <si>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</si>
  <si>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</si>
  <si>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</si>
  <si>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</si>
  <si>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</si>
  <si>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</si>
  <si>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</si>
  <si>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</si>
  <si>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</si>
  <si>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</si>
  <si>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</si>
  <si>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</si>
  <si>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</si>
  <si>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</si>
  <si>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</si>
  <si>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</si>
  <si>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</si>
  <si>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</si>
  <si>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</si>
  <si>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</si>
  <si>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</si>
  <si>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</si>
  <si>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</si>
  <si>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</si>
  <si>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</si>
  <si>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</si>
  <si>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</si>
  <si>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</si>
  <si>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</si>
  <si>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</si>
  <si>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</si>
  <si>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</si>
  <si>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</si>
  <si>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</si>
  <si>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</si>
  <si>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</si>
  <si>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</si>
  <si>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</si>
  <si>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</si>
  <si>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</si>
  <si>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</si>
  <si>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</si>
  <si>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</si>
  <si>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</si>
  <si>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</si>
  <si>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</si>
  <si>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</si>
  <si>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</si>
  <si>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</si>
  <si>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</si>
  <si>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</si>
  <si>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</si>
  <si>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</si>
  <si>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</si>
  <si>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</si>
  <si>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</si>
  <si>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</si>
  <si>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</si>
  <si>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</si>
  <si>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</si>
  <si>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</si>
  <si>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</si>
  <si>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</si>
  <si>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</si>
  <si>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</si>
  <si>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</si>
  <si>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</si>
  <si>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</si>
  <si>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</si>
  <si>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</si>
  <si>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</si>
  <si>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</si>
  <si>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</si>
  <si>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</si>
  <si>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</si>
  <si>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</si>
  <si>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</si>
  <si>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</si>
  <si>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</si>
  <si>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</si>
  <si>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</si>
  <si>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</si>
  <si>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</si>
  <si>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</si>
  <si>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</si>
  <si>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</si>
  <si>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</si>
  <si>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</si>
  <si>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</si>
  <si>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</si>
  <si>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</si>
  <si>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</si>
  <si>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</si>
  <si>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</si>
  <si>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</si>
  <si>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</si>
  <si>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</si>
  <si>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</si>
  <si>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</si>
  <si>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</si>
  <si>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</si>
  <si>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</si>
  <si>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</si>
  <si>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</si>
  <si>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</si>
  <si>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</si>
  <si>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</si>
  <si>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</si>
  <si>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</si>
  <si>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</si>
  <si>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</si>
  <si>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</si>
  <si>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</si>
  <si>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</si>
  <si>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</si>
  <si>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</si>
  <si>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</si>
  <si>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</si>
  <si>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</si>
  <si>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</si>
  <si>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</si>
  <si>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</si>
  <si>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</si>
  <si>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</si>
  <si>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</si>
  <si>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</si>
  <si>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</si>
  <si>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</si>
  <si>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</si>
  <si>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</si>
  <si>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</si>
  <si>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</si>
  <si>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</si>
  <si>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</si>
  <si>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</si>
  <si>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</si>
  <si>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</si>
  <si>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</si>
  <si>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</si>
  <si>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</si>
  <si>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</si>
  <si>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</si>
  <si>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</si>
  <si>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</si>
  <si>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</si>
  <si>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</si>
  <si>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</si>
  <si>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</si>
  <si>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</si>
  <si>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</si>
  <si>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</si>
  <si>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</si>
  <si>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</si>
  <si>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</si>
  <si>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</si>
  <si>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</si>
  <si>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</si>
  <si>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</si>
  <si>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</si>
  <si>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</si>
  <si>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</si>
  <si>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</si>
  <si>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</si>
  <si>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</si>
  <si>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</si>
  <si>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</si>
  <si>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</si>
  <si>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</si>
  <si>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</si>
  <si>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</si>
  <si>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</si>
  <si>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</si>
  <si>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</si>
  <si>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</si>
  <si>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</si>
  <si>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</si>
  <si>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</si>
  <si>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</si>
  <si>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</si>
  <si>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</si>
  <si>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</si>
  <si>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</si>
  <si>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</si>
  <si>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</si>
  <si>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</si>
  <si>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</si>
  <si>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</si>
  <si>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</si>
  <si>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</si>
  <si>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</si>
  <si>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</si>
  <si>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</si>
  <si>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</si>
  <si>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</si>
  <si>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</si>
  <si>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</si>
  <si>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</si>
  <si>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</si>
  <si>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</si>
  <si>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</si>
  <si>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</si>
  <si>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</si>
  <si>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</si>
  <si>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</si>
  <si>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</si>
  <si>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</si>
  <si>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</si>
  <si>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</si>
  <si>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</si>
  <si>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</si>
  <si>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</si>
  <si>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</si>
  <si>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</si>
  <si>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</si>
  <si>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</si>
  <si>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</si>
  <si>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</si>
  <si>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</si>
  <si>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</si>
  <si>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</si>
  <si>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</si>
  <si>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</si>
  <si>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</si>
  <si>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</si>
  <si>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</si>
  <si>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</si>
  <si>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</si>
  <si>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</si>
  <si>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</si>
  <si>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</si>
  <si>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</si>
  <si>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</si>
  <si>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</si>
  <si>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</si>
  <si>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</si>
  <si>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</si>
  <si>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</si>
  <si>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</si>
  <si>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</si>
  <si>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</si>
  <si>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</si>
  <si>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</si>
  <si>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</si>
  <si>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</si>
  <si>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</si>
  <si>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</si>
  <si>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</si>
  <si>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</si>
  <si>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</si>
  <si>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</si>
  <si>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</si>
  <si>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</si>
  <si>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</si>
  <si>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</si>
  <si>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</si>
  <si>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</si>
  <si>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</si>
  <si>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</si>
  <si>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</si>
  <si>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</si>
  <si>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</si>
  <si>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</si>
  <si>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</si>
  <si>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</si>
  <si>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</si>
  <si>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</si>
  <si>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</si>
  <si>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</si>
  <si>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</si>
  <si>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</si>
  <si>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</si>
  <si>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</si>
  <si>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</si>
  <si>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</si>
  <si>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</si>
  <si>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</si>
  <si>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</si>
  <si>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</si>
  <si>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</si>
  <si>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</si>
  <si>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</si>
  <si>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</si>
  <si>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</si>
  <si>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</si>
  <si>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</si>
  <si>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</si>
  <si>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</si>
  <si>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</si>
  <si>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</si>
  <si>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</si>
  <si>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</si>
  <si>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</si>
  <si>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</si>
  <si>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</si>
  <si>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</si>
  <si>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</si>
  <si>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</si>
  <si>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</si>
  <si>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</si>
  <si>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</si>
  <si>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</si>
  <si>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</si>
  <si>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</si>
  <si>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</si>
  <si>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</si>
  <si>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</si>
  <si>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</si>
  <si>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</si>
  <si>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</si>
  <si>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</si>
  <si>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</si>
  <si>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</si>
  <si>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</si>
  <si>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</si>
  <si>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</si>
  <si>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</si>
  <si>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</si>
  <si>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</si>
  <si>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</si>
  <si>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</si>
  <si>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</si>
  <si>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</si>
  <si>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</si>
  <si>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</si>
  <si>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</si>
  <si>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</si>
  <si>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</si>
  <si>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</si>
  <si>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</si>
  <si>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</si>
  <si>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</si>
  <si>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</si>
  <si>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</si>
  <si>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</si>
  <si>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</si>
  <si>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</si>
  <si>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</si>
  <si>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</si>
  <si>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</si>
  <si>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</si>
  <si>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</si>
  <si>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</si>
  <si>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</si>
  <si>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</si>
  <si>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</si>
  <si>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</si>
  <si>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</si>
  <si>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</si>
  <si>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</si>
  <si>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</si>
  <si>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</si>
  <si>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</si>
  <si>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</si>
  <si>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</si>
  <si>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</si>
  <si>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</si>
  <si>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</si>
  <si>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</si>
  <si>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</si>
  <si>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</si>
  <si>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</si>
  <si>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</si>
  <si>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</si>
  <si>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</si>
  <si>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</si>
  <si>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</si>
  <si>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</si>
  <si>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</si>
  <si>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</si>
  <si>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</si>
  <si>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</si>
  <si>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</si>
  <si>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</si>
  <si>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</si>
  <si>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</si>
  <si>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</si>
  <si>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</si>
  <si>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</si>
  <si>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</si>
  <si>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</si>
  <si>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</si>
  <si>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</si>
  <si>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</si>
  <si>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</si>
  <si>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</si>
  <si>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</si>
  <si>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</si>
  <si>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</si>
  <si>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</si>
  <si>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</si>
  <si>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</si>
  <si>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</si>
  <si>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</si>
  <si>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</si>
  <si>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</si>
  <si>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</si>
  <si>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</si>
  <si>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</si>
  <si>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</si>
  <si>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</si>
  <si>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</si>
  <si>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</si>
  <si>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</si>
  <si>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</si>
  <si>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</si>
  <si>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</si>
  <si>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</si>
  <si>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</si>
  <si>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</si>
  <si>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</si>
  <si>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</si>
  <si>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</si>
  <si>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</si>
  <si>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</si>
  <si>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</si>
  <si>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</si>
  <si>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</si>
  <si>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</si>
  <si>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</si>
  <si>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</si>
  <si>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</si>
  <si>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</si>
  <si>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</si>
  <si>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</si>
  <si>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</si>
  <si>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</si>
  <si>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</si>
  <si>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</si>
  <si>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</si>
  <si>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</si>
  <si>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</si>
  <si>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</si>
  <si>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</si>
  <si>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</si>
  <si>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</si>
  <si>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</si>
  <si>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</si>
  <si>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</si>
  <si>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</si>
  <si>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</si>
  <si>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</si>
  <si>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</si>
  <si>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</si>
  <si>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</si>
  <si>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</si>
  <si>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</si>
  <si>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</si>
  <si>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</si>
  <si>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</si>
  <si>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</si>
  <si>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</si>
  <si>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</si>
  <si>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</si>
  <si>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</si>
  <si>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</si>
  <si>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</si>
  <si>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</si>
  <si>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</si>
  <si>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</si>
  <si>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</si>
  <si>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</si>
  <si>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</si>
  <si>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</si>
  <si>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</si>
  <si>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</si>
  <si>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</si>
  <si>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</si>
  <si>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</si>
  <si>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</si>
  <si>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</si>
  <si>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</si>
  <si>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</si>
  <si>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</si>
  <si>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</si>
  <si>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</si>
  <si>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</si>
  <si>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</si>
  <si>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</si>
  <si>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</si>
  <si>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</si>
  <si>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</si>
  <si>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</si>
  <si>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</si>
  <si>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</si>
  <si>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</si>
  <si>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</si>
  <si>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</si>
  <si>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</si>
  <si>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</si>
  <si>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</si>
  <si>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</si>
  <si>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</si>
  <si>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</si>
  <si>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</si>
  <si>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</si>
  <si>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</si>
  <si>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</si>
  <si>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</si>
  <si>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</si>
  <si>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</si>
  <si>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</si>
  <si>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</si>
  <si>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</si>
  <si>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</si>
  <si>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</si>
  <si>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</si>
  <si>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</si>
  <si>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</si>
  <si>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</si>
  <si>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</si>
  <si>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</si>
  <si>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</si>
  <si>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</si>
  <si>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</si>
  <si>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</si>
  <si>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</si>
  <si>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</si>
  <si>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</si>
  <si>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</si>
  <si>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</si>
  <si>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</si>
  <si>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</si>
  <si>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</si>
  <si>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</si>
  <si>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</si>
  <si>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</si>
  <si>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</si>
  <si>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</si>
  <si>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</si>
  <si>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</si>
  <si>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</si>
  <si>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</si>
  <si>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</si>
  <si>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</si>
  <si>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</si>
  <si>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</si>
  <si>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</si>
  <si>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</si>
  <si>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</si>
  <si>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</si>
  <si>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</si>
  <si>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</si>
  <si>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</si>
  <si>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</si>
  <si>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</si>
  <si>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</si>
  <si>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</si>
  <si>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</si>
  <si>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</si>
  <si>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</si>
  <si>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</si>
  <si>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</si>
  <si>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</si>
  <si>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</si>
  <si>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</si>
  <si>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</si>
  <si>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</si>
  <si>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</si>
  <si>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</si>
  <si>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</si>
  <si>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</si>
  <si>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</si>
  <si>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</si>
  <si>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</si>
  <si>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</si>
  <si>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</si>
  <si>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</si>
  <si>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</si>
  <si>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</si>
  <si>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</si>
  <si>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</si>
  <si>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</si>
  <si>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</si>
  <si>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</si>
  <si>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</si>
  <si>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</si>
  <si>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</si>
  <si>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</si>
  <si>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</si>
  <si>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</si>
  <si>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</si>
  <si>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</si>
  <si>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</si>
  <si>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</si>
  <si>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</si>
  <si>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</si>
  <si>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</si>
  <si>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</si>
  <si>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</si>
  <si>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</si>
  <si>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</si>
  <si>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</si>
  <si>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</si>
  <si>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</si>
  <si>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</si>
  <si>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</si>
  <si>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</si>
  <si>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</si>
  <si>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</si>
  <si>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</si>
  <si>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</si>
  <si>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</si>
  <si>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</si>
  <si>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</si>
  <si>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</si>
  <si>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</si>
  <si>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</si>
  <si>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</si>
  <si>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</si>
  <si>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</si>
  <si>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</si>
  <si>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</si>
  <si>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</si>
  <si>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</si>
  <si>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</si>
  <si>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</si>
  <si>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</si>
  <si>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</si>
  <si>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</si>
  <si>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</si>
  <si>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</si>
  <si>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</si>
  <si>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</si>
  <si>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</si>
  <si>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</si>
  <si>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</si>
  <si>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</si>
  <si>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</si>
  <si>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</si>
  <si>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</si>
  <si>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</si>
  <si>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</si>
  <si>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</si>
  <si>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</si>
  <si>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</si>
  <si>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</si>
  <si>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</si>
  <si>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</si>
  <si>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</si>
  <si>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</si>
  <si>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</si>
  <si>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</si>
  <si>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</si>
  <si>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</si>
  <si>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</si>
  <si>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</si>
  <si>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</si>
  <si>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</si>
  <si>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</si>
  <si>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</si>
  <si>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</si>
  <si>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</si>
  <si>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</si>
  <si>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</si>
  <si>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</si>
  <si>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</si>
  <si>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</si>
  <si>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</si>
  <si>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</si>
  <si>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</si>
  <si>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</si>
  <si>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</si>
  <si>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</si>
  <si>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</si>
  <si>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</si>
  <si>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</si>
  <si>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</si>
  <si>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</si>
  <si>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</si>
  <si>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</si>
  <si>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</si>
  <si>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</si>
  <si>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</si>
  <si>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</si>
  <si>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</si>
  <si>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</si>
  <si>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</si>
  <si>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</si>
  <si>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</si>
  <si>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</si>
  <si>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</si>
  <si>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</si>
  <si>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</si>
  <si>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</si>
  <si>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</si>
  <si>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</si>
  <si>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</si>
  <si>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</si>
  <si>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</si>
  <si>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</si>
  <si>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</si>
  <si>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</si>
  <si>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</si>
  <si>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</si>
  <si>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</si>
  <si>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</si>
  <si>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</si>
  <si>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</si>
  <si>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</si>
  <si>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</si>
  <si>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</si>
  <si>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</si>
  <si>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</si>
  <si>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</si>
  <si>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</si>
  <si>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</si>
  <si>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</si>
  <si>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</si>
  <si>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</si>
  <si>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</si>
  <si>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</si>
  <si>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</si>
  <si>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</si>
  <si>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</si>
  <si>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</si>
  <si>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</si>
  <si>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</si>
  <si>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</si>
  <si>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</si>
  <si>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</si>
  <si>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</si>
  <si>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</si>
  <si>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</si>
  <si>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</si>
  <si>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</si>
  <si>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</si>
  <si>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</si>
  <si>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</si>
  <si>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</si>
  <si>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</si>
  <si>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</si>
  <si>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</si>
  <si>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</si>
  <si>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</si>
  <si>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</si>
  <si>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</si>
  <si>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</si>
  <si>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</si>
  <si>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</si>
  <si>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</si>
  <si>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</si>
  <si>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</si>
  <si>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</si>
  <si>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</si>
  <si>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</si>
  <si>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</si>
  <si>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</si>
  <si>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</si>
  <si>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</si>
  <si>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</si>
  <si>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</si>
  <si>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</si>
  <si>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</si>
  <si>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</si>
  <si>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</si>
  <si>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</si>
  <si>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</si>
  <si>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</si>
  <si>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</si>
  <si>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</si>
  <si>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</si>
  <si>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</si>
  <si>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</si>
  <si>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</si>
  <si>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</si>
  <si>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</si>
  <si>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</si>
  <si>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</si>
  <si>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</si>
  <si>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</si>
  <si>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</si>
  <si>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</si>
  <si>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</si>
  <si>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</si>
  <si>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</si>
  <si>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</si>
  <si>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</si>
  <si>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</si>
  <si>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</si>
  <si>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</si>
  <si>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</si>
  <si>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</si>
  <si>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</si>
  <si>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</si>
  <si>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</si>
  <si>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</si>
  <si>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</si>
  <si>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</si>
  <si>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</si>
  <si>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</si>
  <si>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</si>
  <si>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</si>
  <si>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</si>
  <si>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</si>
  <si>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</si>
  <si>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</si>
  <si>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</si>
  <si>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</si>
  <si>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</si>
  <si>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</si>
  <si>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</si>
  <si>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</si>
  <si>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</si>
  <si>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</si>
  <si>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</si>
  <si>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</si>
  <si>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</si>
  <si>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</si>
  <si>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</si>
  <si>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</si>
  <si>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</si>
  <si>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</si>
  <si>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</si>
  <si>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</si>
  <si>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</si>
  <si>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</si>
  <si>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</si>
  <si>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</si>
  <si>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</si>
  <si>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</si>
  <si>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</si>
  <si>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</si>
  <si>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</si>
  <si>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</si>
  <si>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</si>
  <si>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</si>
  <si>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</si>
  <si>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</si>
  <si>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</si>
  <si>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</si>
  <si>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</si>
  <si>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</si>
  <si>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</si>
  <si>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</si>
  <si>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</si>
  <si>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</si>
  <si>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</si>
  <si>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</si>
  <si>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</si>
  <si>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</si>
  <si>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</si>
  <si>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</si>
  <si>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</si>
  <si>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</si>
  <si>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</si>
  <si>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</si>
  <si>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</si>
  <si>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</si>
  <si>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</si>
  <si>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</si>
  <si>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</si>
  <si>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</si>
  <si>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</si>
  <si>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</si>
  <si>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</si>
  <si>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</si>
  <si>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</si>
  <si>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</si>
  <si>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</si>
  <si>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</si>
  <si>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</si>
  <si>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</si>
  <si>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</si>
  <si>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</si>
  <si>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</si>
  <si>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</si>
  <si>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</si>
  <si>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</si>
  <si>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</si>
  <si>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</si>
  <si>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</si>
  <si>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</si>
  <si>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</si>
  <si>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</si>
  <si>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</si>
  <si>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</si>
  <si>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</si>
  <si>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</si>
  <si>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</si>
  <si>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</si>
  <si>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</si>
  <si>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</si>
  <si>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</si>
  <si>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</si>
  <si>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</si>
  <si>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</si>
  <si>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</si>
  <si>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</si>
  <si>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</si>
  <si>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</si>
  <si>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</si>
  <si>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</si>
  <si>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</si>
  <si>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</si>
  <si>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</si>
  <si>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</si>
  <si>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</si>
  <si>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</si>
  <si>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</si>
  <si>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</si>
  <si>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</si>
  <si>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</si>
  <si>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</si>
  <si>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</si>
  <si>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</si>
  <si>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</si>
  <si>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</si>
  <si>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</si>
  <si>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</si>
  <si>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</si>
  <si>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</si>
  <si>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</si>
  <si>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</si>
  <si>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</si>
  <si>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</si>
  <si>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</si>
  <si>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</si>
  <si>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</si>
  <si>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</si>
  <si>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</si>
  <si>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</si>
  <si>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</si>
  <si>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</si>
  <si>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</si>
  <si>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</si>
  <si>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</si>
  <si>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</si>
  <si>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</si>
  <si>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</si>
  <si>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</si>
  <si>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</si>
  <si>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</si>
  <si>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</si>
  <si>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</si>
  <si>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</si>
  <si>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</si>
  <si>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</si>
  <si>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</si>
  <si>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</si>
  <si>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</si>
  <si>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</si>
  <si>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</si>
  <si>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</si>
  <si>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</si>
  <si>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</si>
  <si>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</si>
  <si>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</si>
  <si>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</si>
  <si>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</si>
  <si>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</si>
  <si>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</si>
  <si>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</si>
  <si>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</si>
  <si>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</si>
  <si>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</si>
  <si>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</si>
  <si>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</si>
  <si>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</si>
  <si>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</si>
  <si>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</si>
  <si>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</si>
  <si>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</si>
  <si>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</si>
  <si>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</si>
  <si>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</si>
  <si>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</si>
  <si>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</si>
  <si>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</si>
  <si>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</si>
  <si>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</si>
  <si>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</si>
  <si>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</si>
  <si>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</si>
  <si>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</si>
  <si>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</si>
  <si>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</si>
  <si>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</si>
  <si>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</si>
  <si>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</si>
  <si>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</si>
  <si>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</si>
  <si>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</si>
  <si>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</si>
  <si>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</si>
  <si>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</si>
  <si>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</si>
  <si>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</si>
  <si>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</si>
  <si>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</si>
  <si>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</si>
  <si>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</si>
  <si>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</si>
  <si>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</si>
  <si>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</si>
  <si>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</si>
  <si>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</si>
  <si>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</si>
  <si>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</si>
  <si>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</si>
  <si>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</si>
  <si>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</si>
  <si>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</si>
  <si>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</si>
  <si>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</si>
  <si>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</si>
  <si>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</si>
  <si>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</si>
  <si>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</si>
  <si>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</si>
  <si>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</si>
  <si>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</si>
  <si>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</si>
  <si>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</si>
  <si>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</si>
  <si>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</si>
  <si>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</si>
  <si>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</si>
  <si>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</si>
  <si>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</si>
  <si>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</si>
  <si>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</si>
  <si>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</si>
  <si>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</si>
  <si>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</si>
  <si>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</si>
  <si>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</si>
  <si>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</si>
  <si>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</si>
  <si>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</si>
  <si>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</si>
  <si>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</si>
  <si>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</si>
  <si>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</si>
  <si>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</si>
  <si>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</si>
  <si>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</si>
  <si>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</si>
  <si>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</si>
  <si>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</si>
  <si>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</si>
  <si>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</si>
  <si>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</si>
  <si>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</si>
  <si>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</si>
  <si>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</si>
  <si>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</si>
  <si>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</si>
  <si>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</si>
  <si>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</si>
  <si>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</si>
  <si>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</si>
  <si>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</si>
  <si>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</si>
  <si>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</si>
  <si>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</si>
  <si>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</si>
  <si>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</si>
  <si>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</si>
  <si>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</si>
  <si>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</si>
  <si>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</si>
  <si>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</si>
  <si>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</si>
  <si>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</si>
  <si>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</si>
  <si>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</si>
  <si>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</si>
  <si>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</si>
  <si>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</si>
  <si>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</si>
  <si>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</si>
  <si>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</si>
  <si>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</si>
  <si>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</si>
  <si>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</si>
  <si>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</si>
  <si>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</si>
  <si>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</si>
  <si>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</si>
  <si>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</si>
  <si>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</si>
  <si>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</si>
  <si>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</si>
  <si>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</si>
  <si>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</si>
  <si>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</si>
  <si>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</si>
  <si>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</si>
  <si>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</si>
  <si>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</si>
  <si>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</si>
  <si>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</si>
  <si>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</si>
  <si>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</si>
  <si>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</si>
  <si>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</si>
  <si>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</si>
  <si>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</si>
  <si>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</si>
  <si>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</si>
  <si>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</si>
  <si>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</si>
  <si>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</si>
  <si>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</si>
  <si>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</si>
  <si>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</si>
  <si>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</si>
  <si>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</si>
  <si>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</si>
  <si>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</si>
  <si>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</si>
  <si>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</si>
  <si>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</si>
  <si>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</si>
  <si>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</si>
  <si>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</si>
  <si>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</si>
  <si>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</si>
  <si>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</si>
  <si>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</si>
  <si>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</si>
  <si>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</si>
  <si>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</si>
  <si>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</si>
  <si>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</si>
  <si>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</si>
  <si>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</si>
  <si>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</si>
  <si>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</si>
  <si>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</si>
  <si>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</si>
  <si>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</si>
  <si>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</si>
  <si>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</si>
  <si>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</si>
  <si>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</si>
  <si>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</si>
  <si>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</si>
  <si>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</si>
  <si>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</si>
  <si>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</si>
  <si>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</si>
  <si>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</si>
  <si>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</si>
  <si>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</si>
  <si>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</si>
  <si>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</si>
  <si>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</si>
  <si>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</si>
  <si>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</si>
  <si>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</si>
  <si>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</si>
  <si>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</si>
  <si>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</si>
  <si>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</si>
  <si>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</si>
  <si>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</si>
  <si>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</si>
  <si>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</si>
  <si>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</si>
  <si>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</si>
  <si>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</si>
  <si>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</si>
  <si>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</si>
  <si>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</si>
  <si>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</si>
  <si>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</si>
  <si>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</si>
  <si>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</si>
  <si>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</si>
  <si>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</si>
  <si>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</si>
  <si>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</si>
  <si>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</si>
  <si>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</si>
  <si>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</si>
  <si>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</si>
  <si>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</si>
  <si>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</si>
  <si>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</si>
  <si>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</si>
  <si>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</si>
  <si>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</si>
  <si>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</si>
  <si>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</si>
  <si>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</si>
  <si>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</si>
  <si>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</si>
  <si>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</si>
  <si>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</si>
  <si>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</si>
  <si>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</si>
  <si>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</si>
  <si>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</si>
  <si>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</si>
  <si>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</si>
  <si>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</si>
  <si>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</si>
  <si>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</si>
  <si>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</si>
  <si>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</si>
  <si>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</si>
  <si>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</si>
  <si>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</si>
  <si>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</si>
  <si>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</si>
  <si>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</si>
  <si>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</si>
  <si>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</si>
  <si>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</si>
  <si>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</si>
  <si>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</si>
  <si>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</si>
  <si>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</si>
  <si>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</si>
  <si>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</si>
  <si>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</si>
  <si>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</si>
  <si>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</si>
  <si>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</si>
  <si>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</si>
  <si>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</si>
  <si>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</si>
  <si>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</si>
  <si>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</si>
  <si>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</si>
  <si>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</si>
  <si>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</si>
  <si>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</si>
  <si>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</si>
  <si>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</si>
  <si>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</si>
  <si>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</si>
  <si>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</si>
  <si>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</si>
  <si>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</si>
  <si>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</si>
  <si>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</si>
  <si>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</si>
  <si>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</si>
  <si>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</si>
  <si>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</si>
  <si>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</si>
  <si>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</si>
  <si>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</si>
  <si>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</si>
  <si>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</si>
  <si>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</si>
  <si>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</si>
  <si>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</si>
  <si>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</si>
  <si>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</si>
  <si>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</si>
  <si>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</si>
  <si>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</si>
  <si>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</si>
  <si>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</si>
  <si>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</si>
  <si>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</si>
  <si>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</si>
  <si>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</si>
  <si>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</si>
  <si>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</si>
  <si>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</si>
  <si>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</si>
  <si>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</si>
  <si>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</si>
  <si>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</si>
  <si>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</si>
  <si>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</si>
  <si>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</si>
  <si>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</si>
  <si>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</si>
  <si>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</si>
  <si>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</si>
  <si>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</si>
  <si>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</si>
  <si>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</si>
  <si>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</si>
  <si>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</si>
  <si>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</si>
  <si>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</si>
  <si>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</si>
  <si>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</si>
  <si>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</si>
  <si>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</si>
  <si>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</si>
  <si>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</si>
  <si>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</si>
  <si>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</si>
  <si>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</si>
  <si>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</si>
  <si>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</si>
  <si>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</si>
  <si>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</si>
  <si>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</si>
  <si>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</si>
  <si>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</si>
  <si>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</si>
  <si>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</si>
  <si>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</si>
  <si>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</si>
  <si>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</si>
  <si>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</si>
  <si>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</si>
  <si>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</si>
  <si>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</si>
  <si>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</si>
  <si>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</si>
  <si>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</si>
  <si>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</si>
  <si>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</si>
  <si>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</si>
  <si>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</si>
  <si>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</si>
  <si>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</si>
  <si>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</si>
  <si>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</si>
  <si>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</si>
  <si>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</si>
  <si>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</si>
  <si>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</si>
  <si>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</si>
  <si>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</si>
  <si>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</si>
  <si>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</si>
  <si>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</si>
  <si>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</si>
  <si>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</si>
  <si>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</si>
  <si>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</si>
  <si>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</si>
  <si>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</si>
  <si>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</si>
  <si>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</si>
  <si>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</si>
  <si>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</si>
  <si>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</si>
  <si>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</si>
  <si>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</si>
  <si>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</si>
  <si>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</si>
  <si>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</si>
  <si>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</si>
  <si>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</si>
  <si>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</si>
  <si>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</si>
  <si>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</si>
  <si>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</si>
  <si>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</si>
  <si>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</si>
  <si>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</si>
  <si>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</si>
  <si>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</si>
  <si>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</si>
  <si>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</si>
  <si>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</si>
  <si>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</si>
  <si>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</si>
  <si>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</si>
  <si>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</si>
  <si>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</si>
  <si>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</si>
  <si>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</si>
  <si>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</si>
  <si>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</si>
  <si>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</si>
  <si>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</si>
  <si>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</si>
  <si>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</si>
  <si>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</si>
  <si>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</si>
  <si>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</si>
  <si>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</si>
  <si>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</si>
  <si>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</si>
  <si>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</si>
  <si>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</si>
  <si>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</si>
  <si>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</si>
  <si>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</si>
  <si>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</si>
  <si>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</si>
  <si>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</si>
  <si>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</si>
  <si>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</si>
  <si>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</si>
  <si>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</si>
  <si>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</si>
  <si>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</si>
  <si>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</si>
  <si>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</si>
  <si>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</si>
  <si>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</si>
  <si>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</si>
  <si>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</si>
  <si>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</si>
  <si>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</si>
  <si>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</si>
  <si>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</si>
  <si>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</si>
  <si>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</si>
  <si>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</si>
  <si>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</si>
  <si>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</si>
  <si>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</si>
  <si>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</si>
  <si>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</si>
  <si>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</si>
  <si>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</si>
  <si>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</si>
  <si>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</si>
  <si>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</si>
  <si>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</si>
  <si>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</si>
  <si>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</si>
  <si>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</si>
  <si>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</si>
  <si>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</si>
  <si>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</si>
  <si>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</si>
  <si>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</si>
  <si>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</si>
  <si>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</si>
  <si>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</si>
  <si>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</si>
  <si>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</si>
  <si>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</si>
  <si>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</si>
  <si>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</si>
  <si>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</si>
  <si>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</si>
  <si>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</si>
  <si>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</si>
  <si>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</si>
  <si>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</si>
  <si>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</si>
  <si>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</si>
  <si>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</si>
  <si>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</si>
  <si>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</si>
  <si>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</si>
  <si>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</si>
  <si>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</si>
  <si>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</si>
  <si>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</si>
  <si>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</si>
  <si>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</si>
  <si>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</si>
  <si>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</si>
  <si>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</si>
  <si>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</si>
  <si>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</si>
  <si>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</si>
  <si>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</si>
  <si>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</si>
  <si>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</si>
  <si>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</si>
  <si>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</si>
  <si>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</si>
  <si>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</si>
  <si>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</si>
  <si>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</si>
  <si>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</si>
  <si>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</si>
  <si>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</si>
  <si>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</si>
  <si>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</si>
  <si>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</si>
  <si>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</si>
  <si>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</si>
  <si>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</si>
  <si>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</si>
  <si>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</si>
  <si>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</si>
  <si>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</si>
  <si>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</si>
  <si>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</si>
  <si>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</si>
  <si>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</si>
  <si>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</si>
  <si>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</si>
  <si>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</si>
  <si>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</si>
  <si>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</si>
  <si>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</si>
  <si>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</si>
  <si>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</si>
  <si>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</si>
  <si>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</si>
  <si>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</si>
  <si>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</si>
  <si>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</si>
  <si>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</si>
  <si>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</si>
  <si>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</si>
  <si>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</si>
  <si>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</si>
  <si>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</si>
  <si>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</si>
  <si>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</si>
  <si>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</si>
  <si>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</si>
  <si>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</si>
  <si>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</si>
  <si>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</si>
  <si>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</si>
  <si>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</si>
  <si>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</si>
  <si>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</si>
  <si>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</si>
  <si>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</si>
  <si>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</si>
  <si>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</si>
  <si>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</si>
  <si>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</si>
  <si>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</si>
  <si>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</si>
  <si>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</si>
  <si>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</si>
  <si>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</si>
  <si>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</si>
  <si>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</si>
  <si>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</si>
  <si>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</si>
  <si>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</si>
  <si>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</si>
  <si>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</si>
  <si>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</si>
  <si>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</si>
  <si>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</si>
  <si>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</si>
  <si>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</si>
  <si>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</si>
  <si>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</si>
  <si>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</si>
  <si>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</si>
  <si>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</si>
  <si>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</si>
  <si>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</si>
  <si>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</si>
  <si>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</si>
  <si>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</si>
  <si>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</si>
  <si>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</si>
  <si>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</si>
  <si>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</si>
  <si>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</si>
  <si>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</si>
  <si>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</si>
  <si>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</si>
  <si>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</si>
  <si>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</si>
  <si>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</si>
  <si>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</si>
  <si>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</si>
  <si>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</si>
  <si>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</si>
  <si>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</si>
  <si>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</si>
  <si>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</si>
  <si>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</si>
  <si>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</si>
  <si>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</si>
  <si>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</si>
  <si>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</si>
  <si>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</si>
  <si>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</si>
  <si>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</si>
  <si>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</si>
  <si>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</si>
  <si>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</si>
  <si>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</si>
  <si>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</si>
  <si>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</si>
  <si>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</si>
  <si>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</si>
  <si>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</si>
  <si>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</si>
  <si>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</si>
  <si>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</si>
  <si>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</si>
  <si>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</si>
  <si>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</si>
  <si>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</si>
  <si>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</si>
  <si>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</si>
  <si>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</si>
  <si>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</si>
  <si>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</si>
  <si>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</si>
  <si>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</si>
  <si>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</si>
  <si>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</si>
  <si>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</si>
  <si>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</si>
  <si>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</si>
  <si>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</si>
  <si>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</si>
  <si>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</si>
  <si>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</si>
  <si>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</si>
  <si>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</si>
  <si>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</si>
  <si>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</si>
  <si>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</si>
  <si>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</si>
  <si>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</si>
  <si>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</si>
  <si>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</si>
  <si>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</si>
  <si>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</si>
  <si>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</si>
  <si>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</si>
  <si>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</si>
  <si>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</si>
  <si>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</si>
  <si>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</si>
  <si>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</si>
  <si>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</si>
  <si>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</si>
  <si>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</si>
  <si>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</si>
  <si>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</si>
  <si>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</si>
  <si>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</si>
  <si>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</si>
  <si>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</si>
  <si>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</si>
  <si>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</si>
  <si>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</si>
  <si>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</si>
  <si>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</si>
  <si>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</si>
  <si>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</si>
  <si>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</si>
  <si>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</si>
  <si>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</si>
  <si>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</si>
  <si>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</si>
  <si>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</si>
  <si>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</si>
  <si>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</si>
  <si>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</si>
  <si>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</si>
  <si>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</si>
  <si>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</si>
  <si>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</si>
  <si>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</si>
  <si>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</si>
  <si>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</si>
  <si>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</si>
  <si>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</si>
  <si>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</si>
  <si>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</si>
  <si>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</si>
  <si>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</si>
  <si>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</si>
  <si>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</si>
  <si>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</si>
  <si>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</si>
  <si>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</si>
  <si>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</si>
  <si>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</si>
  <si>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</si>
  <si>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</si>
  <si>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</si>
  <si>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</si>
  <si>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</si>
  <si>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</si>
  <si>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</si>
  <si>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</si>
  <si>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</si>
  <si>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</si>
  <si>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</si>
  <si>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</si>
  <si>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</si>
  <si>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</si>
  <si>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</si>
  <si>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</si>
  <si>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</si>
  <si>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</si>
  <si>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</si>
  <si>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</si>
  <si>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</si>
  <si>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</si>
  <si>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</si>
  <si>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</si>
  <si>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</si>
  <si>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</si>
  <si>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</si>
  <si>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</si>
  <si>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</si>
  <si>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</si>
  <si>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</si>
  <si>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</si>
  <si>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</si>
  <si>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</si>
  <si>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</si>
  <si>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</si>
  <si>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</si>
  <si>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</si>
  <si>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</si>
  <si>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</si>
  <si>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</si>
  <si>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</si>
  <si>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</si>
  <si>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</si>
  <si>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</si>
  <si>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</si>
  <si>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</si>
  <si>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</si>
  <si>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</si>
  <si>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</si>
  <si>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</si>
  <si>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</si>
  <si>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</si>
  <si>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</si>
  <si>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</si>
  <si>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</si>
  <si>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</si>
  <si>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</si>
  <si>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</si>
  <si>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</si>
  <si>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</si>
  <si>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</si>
  <si>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</si>
  <si>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</si>
  <si>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</si>
  <si>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</si>
  <si>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</si>
  <si>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</si>
  <si>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</si>
  <si>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</si>
  <si>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</si>
  <si>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</si>
  <si>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</si>
  <si>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</si>
  <si>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</si>
  <si>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</si>
  <si>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</si>
  <si>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</si>
  <si>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</si>
  <si>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</si>
  <si>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</si>
  <si>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</si>
  <si>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</si>
  <si>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</si>
  <si>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</si>
  <si>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</si>
  <si>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</si>
  <si>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</si>
  <si>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</si>
  <si>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</si>
  <si>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</si>
  <si>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</si>
  <si>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</si>
  <si>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</si>
  <si>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</si>
  <si>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</si>
  <si>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</si>
  <si>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</si>
  <si>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</si>
  <si>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</si>
  <si>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</si>
  <si>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</si>
  <si>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</si>
  <si>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</si>
  <si>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</si>
  <si>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</si>
  <si>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</si>
  <si>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</si>
  <si>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</si>
  <si>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</si>
  <si>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</si>
  <si>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</si>
  <si>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</si>
  <si>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</si>
  <si>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</si>
  <si>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</si>
  <si>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</si>
  <si>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</si>
  <si>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</si>
  <si>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</si>
  <si>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</si>
  <si>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</si>
  <si>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</si>
  <si>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</si>
  <si>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</si>
  <si>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</si>
  <si>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</si>
  <si>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</si>
  <si>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</si>
  <si>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</si>
  <si>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</si>
  <si>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</si>
  <si>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</si>
  <si>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</si>
  <si>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</si>
  <si>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</si>
  <si>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</si>
  <si>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</si>
  <si>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</si>
  <si>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</si>
  <si>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</si>
  <si>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</si>
  <si>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</si>
  <si>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</si>
  <si>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</si>
  <si>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</si>
  <si>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</si>
  <si>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</si>
  <si>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</si>
  <si>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</si>
  <si>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</si>
  <si>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</si>
  <si>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</si>
  <si>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</si>
  <si>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</si>
  <si>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</si>
  <si>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</si>
  <si>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</si>
  <si>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</si>
  <si>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</si>
  <si>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</si>
  <si>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</si>
  <si>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</si>
  <si>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</si>
  <si>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</si>
  <si>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</si>
  <si>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</si>
  <si>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</si>
  <si>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</si>
  <si>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</si>
  <si>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</si>
  <si>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</si>
  <si>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</si>
  <si>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</si>
  <si>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</si>
  <si>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</si>
  <si>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</si>
  <si>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</si>
  <si>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</si>
  <si>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</si>
  <si>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</si>
  <si>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</si>
  <si>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</si>
  <si>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</si>
  <si>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</si>
  <si>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</si>
  <si>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</si>
  <si>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</si>
  <si>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</si>
  <si>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</si>
  <si>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</si>
  <si>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</si>
  <si>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</si>
  <si>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</si>
  <si>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</si>
  <si>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</si>
  <si>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</si>
  <si>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</si>
  <si>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</si>
  <si>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</si>
  <si>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</si>
  <si>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</si>
  <si>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</si>
  <si>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</si>
  <si>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</si>
  <si>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</si>
  <si>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</si>
  <si>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</si>
  <si>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</si>
  <si>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</si>
  <si>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</si>
  <si>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</si>
  <si>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</si>
  <si>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</si>
  <si>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</si>
  <si>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</si>
  <si>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</si>
  <si>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</si>
  <si>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</si>
  <si>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</si>
  <si>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</si>
  <si>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</si>
  <si>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</si>
  <si>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</si>
  <si>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</si>
  <si>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</si>
  <si>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</si>
  <si>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</si>
  <si>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</si>
  <si>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</si>
  <si>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</si>
  <si>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</si>
  <si>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</si>
  <si>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</si>
  <si>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</si>
  <si>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</si>
  <si>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</si>
  <si>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</si>
  <si>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</si>
  <si>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</si>
  <si>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</si>
  <si>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</si>
  <si>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</si>
  <si>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</si>
  <si>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</si>
  <si>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</si>
  <si>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</si>
  <si>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</si>
  <si>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</si>
  <si>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</si>
  <si>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</si>
  <si>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</si>
  <si>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</si>
  <si>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</si>
  <si>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</si>
  <si>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</si>
  <si>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</si>
  <si>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</si>
  <si>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</si>
  <si>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</si>
  <si>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</si>
  <si>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</si>
  <si>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</si>
  <si>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</si>
  <si>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</si>
  <si>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</si>
  <si>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</si>
  <si>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</si>
  <si>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</si>
  <si>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</si>
  <si>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</si>
  <si>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</si>
  <si>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</si>
  <si>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</si>
  <si>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</si>
  <si>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</si>
  <si>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</si>
  <si>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</si>
  <si>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</si>
  <si>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</si>
  <si>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</si>
  <si>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</si>
  <si>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</si>
  <si>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</si>
  <si>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</si>
  <si>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</si>
  <si>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</si>
  <si>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</si>
  <si>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</si>
  <si>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</si>
  <si>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</si>
  <si>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</si>
  <si>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</si>
  <si>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</si>
  <si>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</si>
  <si>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</si>
  <si>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</si>
  <si>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</si>
  <si>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</si>
  <si>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</si>
  <si>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</si>
  <si>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</si>
  <si>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</si>
  <si>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</si>
  <si>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</si>
  <si>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</si>
  <si>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</si>
  <si>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</si>
  <si>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</si>
  <si>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</si>
  <si>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</si>
  <si>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</si>
  <si>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</si>
  <si>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</si>
  <si>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</si>
  <si>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</si>
  <si>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</si>
  <si>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</si>
  <si>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</si>
  <si>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</si>
  <si>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</si>
  <si>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</si>
  <si>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</si>
  <si>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</si>
  <si>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</si>
  <si>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</si>
  <si>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</si>
  <si>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</si>
  <si>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</si>
  <si>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</si>
  <si>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</si>
  <si>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</si>
  <si>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</si>
  <si>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</si>
  <si>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</si>
  <si>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</si>
  <si>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</si>
  <si>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</si>
  <si>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</si>
  <si>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</si>
  <si>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</si>
  <si>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</si>
  <si>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</si>
  <si>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</si>
  <si>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</si>
  <si>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</si>
  <si>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</si>
  <si>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</si>
  <si>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</si>
  <si>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</si>
  <si>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</si>
  <si>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</si>
  <si>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</si>
  <si>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</si>
  <si>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</si>
  <si>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</si>
  <si>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</si>
  <si>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</si>
  <si>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</si>
  <si>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</si>
  <si>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</si>
  <si>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</si>
  <si>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</si>
  <si>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</si>
  <si>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</si>
  <si>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</si>
  <si>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</si>
  <si>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</si>
  <si>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</si>
  <si>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</si>
  <si>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</si>
  <si>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</si>
  <si>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</si>
  <si>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</si>
  <si>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</si>
  <si>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</si>
  <si>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</si>
  <si>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</si>
  <si>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</si>
  <si>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</si>
  <si>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</si>
  <si>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</si>
  <si>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</si>
  <si>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</si>
  <si>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</si>
  <si>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</si>
  <si>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</si>
  <si>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</si>
  <si>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</si>
  <si>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</si>
  <si>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</si>
  <si>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</si>
  <si>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</si>
  <si>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</si>
  <si>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</si>
  <si>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</si>
  <si>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</si>
  <si>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</si>
  <si>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</si>
  <si>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</si>
  <si>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</si>
  <si>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</si>
  <si>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</si>
  <si>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</si>
  <si>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</si>
  <si>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</si>
  <si>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</si>
  <si>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</si>
  <si>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</si>
  <si>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</si>
  <si>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</si>
  <si>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</si>
  <si>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</si>
  <si>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</si>
  <si>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</si>
  <si>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</si>
  <si>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</si>
  <si>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</si>
  <si>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</si>
  <si>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</si>
  <si>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</si>
  <si>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</si>
  <si>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</si>
  <si>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</si>
  <si>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</si>
  <si>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</si>
  <si>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</si>
  <si>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</si>
  <si>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</si>
  <si>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</si>
  <si>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</si>
  <si>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</si>
  <si>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</si>
  <si>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</si>
  <si>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</si>
  <si>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</si>
  <si>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</si>
  <si>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</si>
  <si>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</si>
  <si>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</si>
  <si>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</si>
  <si>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</si>
  <si>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</si>
  <si>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</si>
  <si>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</si>
  <si>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</si>
  <si>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</si>
  <si>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</si>
  <si>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</si>
  <si>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</si>
  <si>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</si>
  <si>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</si>
  <si>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</si>
  <si>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</si>
  <si>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</si>
  <si>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</si>
  <si>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</si>
  <si>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</si>
  <si>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</si>
  <si>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</si>
  <si>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</si>
  <si>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</si>
  <si>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</si>
  <si>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</si>
  <si>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</si>
  <si>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</si>
  <si>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</si>
  <si>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</si>
  <si>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</si>
  <si>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</si>
  <si>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</si>
  <si>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</si>
  <si>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</si>
  <si>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</si>
  <si>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</si>
  <si>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</si>
  <si>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</si>
  <si>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</si>
  <si>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</si>
  <si>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</si>
  <si>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</si>
  <si>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</si>
  <si>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</si>
  <si>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</si>
  <si>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</si>
  <si>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</si>
  <si>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</si>
  <si>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</si>
  <si>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</si>
  <si>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</si>
  <si>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</si>
  <si>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</si>
  <si>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</si>
  <si>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</si>
  <si>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</si>
  <si>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</si>
  <si>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</si>
  <si>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</si>
  <si>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</si>
  <si>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</si>
  <si>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</si>
  <si>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</si>
  <si>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</si>
  <si>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</si>
  <si>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</si>
  <si>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</si>
  <si>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</si>
  <si>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</si>
  <si>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</si>
  <si>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</si>
  <si>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</si>
  <si>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</si>
  <si>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</si>
  <si>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</si>
  <si>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</si>
  <si>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</si>
  <si>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</si>
  <si>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</si>
  <si>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</si>
  <si>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</si>
  <si>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</si>
  <si>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</si>
  <si>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</si>
  <si>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</si>
  <si>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</si>
  <si>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</si>
  <si>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</si>
  <si>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</si>
  <si>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</si>
  <si>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</si>
  <si>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</si>
  <si>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</si>
  <si>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</si>
  <si>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</si>
  <si>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</si>
  <si>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</si>
  <si>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</si>
  <si>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</si>
  <si>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</si>
  <si>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</si>
  <si>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</si>
  <si>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</si>
  <si>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</si>
  <si>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</si>
  <si>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</si>
  <si>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</si>
  <si>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</si>
  <si>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</si>
  <si>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</si>
  <si>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</si>
  <si>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</si>
  <si>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</si>
  <si>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</si>
  <si>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</si>
  <si>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</si>
  <si>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</si>
  <si>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</si>
  <si>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</si>
  <si>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</si>
  <si>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</si>
  <si>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</si>
  <si>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</si>
  <si>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</si>
  <si>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</si>
  <si>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</si>
  <si>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</si>
  <si>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</si>
  <si>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</si>
  <si>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</si>
  <si>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</si>
  <si>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</si>
  <si>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</si>
  <si>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</si>
  <si>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</si>
  <si>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</si>
  <si>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</si>
  <si>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</si>
  <si>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</si>
  <si>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</si>
  <si>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</si>
  <si>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</si>
  <si>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</si>
  <si>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</si>
  <si>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</si>
  <si>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</si>
  <si>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</si>
  <si>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</si>
  <si>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</si>
  <si>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</si>
  <si>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</si>
  <si>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</si>
  <si>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</si>
  <si>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</si>
  <si>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</si>
  <si>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</si>
  <si>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</si>
  <si>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</si>
  <si>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</si>
  <si>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</si>
  <si>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</si>
  <si>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</si>
  <si>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</si>
  <si>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</si>
  <si>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</si>
  <si>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</si>
  <si>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</si>
  <si>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</si>
  <si>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</si>
  <si>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</si>
  <si>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</si>
  <si>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</si>
  <si>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</si>
  <si>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</si>
  <si>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</si>
  <si>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</si>
  <si>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</si>
  <si>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</si>
  <si>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</si>
  <si>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</si>
  <si>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</si>
  <si>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</si>
  <si>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</si>
  <si>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</si>
  <si>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</si>
  <si>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</si>
  <si>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</si>
  <si>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</si>
  <si>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</si>
  <si>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</si>
  <si>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</si>
  <si>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</si>
  <si>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</si>
  <si>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</si>
  <si>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</si>
  <si>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</si>
  <si>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</si>
  <si>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</si>
  <si>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</si>
  <si>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</si>
  <si>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</si>
  <si>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</si>
  <si>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</si>
  <si>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</si>
  <si>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</si>
  <si>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</si>
  <si>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</si>
  <si>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</si>
  <si>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</si>
  <si>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</si>
  <si>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</si>
  <si>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</si>
  <si>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</si>
  <si>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</si>
  <si>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</si>
  <si>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</si>
  <si>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</si>
  <si>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</si>
  <si>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</si>
  <si>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</si>
  <si>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</si>
  <si>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</si>
  <si>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</si>
  <si>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</si>
  <si>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</si>
  <si>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</si>
  <si>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</si>
  <si>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</si>
  <si>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</si>
  <si>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</si>
  <si>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</si>
  <si>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</si>
  <si>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</si>
  <si>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</si>
  <si>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</si>
  <si>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</si>
  <si>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</si>
  <si>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</si>
  <si>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</si>
  <si>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</si>
  <si>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</si>
  <si>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</si>
  <si>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</si>
  <si>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</si>
  <si>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</si>
  <si>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</si>
  <si>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</si>
  <si>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</si>
  <si>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</si>
  <si>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</si>
  <si>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</si>
  <si>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</si>
  <si>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</si>
  <si>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</si>
  <si>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</si>
  <si>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</si>
  <si>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</si>
  <si>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</si>
  <si>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</si>
  <si>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</si>
  <si>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</si>
  <si>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</si>
  <si>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</si>
  <si>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</si>
  <si>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</si>
  <si>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</si>
  <si>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</si>
  <si>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</si>
  <si>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</si>
  <si>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</si>
  <si>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</si>
  <si>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</si>
  <si>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</si>
  <si>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</si>
  <si>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</si>
  <si>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</si>
  <si>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</si>
  <si>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</si>
  <si>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</si>
  <si>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</si>
  <si>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</si>
  <si>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</si>
  <si>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</si>
  <si>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</si>
  <si>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</si>
  <si>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</si>
  <si>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</si>
  <si>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</si>
  <si>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</si>
  <si>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</si>
  <si>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</si>
  <si>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</si>
  <si>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</si>
  <si>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</si>
  <si>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</si>
  <si>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</si>
  <si>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</si>
  <si>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</si>
  <si>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</si>
  <si>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</si>
  <si>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</si>
  <si>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</si>
  <si>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</si>
  <si>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</si>
  <si>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</si>
  <si>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</si>
  <si>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</si>
  <si>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</si>
  <si>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</si>
  <si>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</si>
  <si>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</si>
  <si>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</si>
  <si>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</si>
  <si>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</si>
  <si>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</si>
  <si>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</si>
  <si>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</si>
  <si>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</si>
  <si>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</si>
  <si>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</si>
  <si>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</si>
  <si>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</si>
  <si>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</si>
  <si>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</si>
  <si>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</si>
  <si>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</si>
  <si>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</si>
  <si>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</si>
  <si>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</si>
  <si>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</si>
  <si>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</si>
  <si>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</si>
  <si>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</si>
  <si>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</si>
  <si>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</si>
  <si>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</si>
  <si>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</si>
  <si>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</si>
  <si>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</si>
  <si>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</si>
  <si>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</si>
  <si>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</si>
  <si>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</si>
  <si>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</si>
  <si>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</si>
  <si>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</si>
  <si>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</si>
  <si>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</si>
  <si>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</si>
  <si>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</si>
  <si>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</si>
  <si>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</si>
  <si>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</si>
  <si>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</si>
  <si>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</si>
  <si>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</si>
  <si>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</si>
  <si>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</si>
  <si>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</si>
  <si>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</si>
  <si>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</si>
  <si>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</si>
  <si>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</si>
  <si>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</si>
  <si>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</si>
  <si>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</si>
  <si>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</si>
  <si>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</si>
  <si>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</si>
  <si>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</si>
  <si>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</si>
  <si>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</si>
  <si>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</si>
  <si>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</si>
  <si>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</si>
  <si>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</si>
  <si>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</si>
  <si>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</si>
  <si>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</si>
  <si>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</si>
  <si>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</si>
  <si>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</si>
  <si>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</si>
  <si>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</si>
  <si>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</si>
  <si>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</si>
  <si>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</si>
  <si>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</si>
  <si>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</si>
  <si>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</si>
  <si>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</si>
  <si>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</si>
  <si>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</si>
  <si>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</si>
  <si>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</si>
  <si>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</si>
  <si>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</si>
  <si>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</si>
  <si>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</si>
  <si>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</si>
  <si>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</si>
  <si>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</si>
  <si>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</si>
  <si>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</si>
  <si>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</si>
  <si>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</si>
  <si>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</si>
  <si>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</si>
  <si>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</si>
  <si>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</si>
  <si>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</si>
  <si>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</si>
  <si>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</si>
  <si>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</si>
  <si>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</si>
  <si>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</si>
  <si>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</si>
  <si>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</si>
  <si>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</si>
  <si>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</si>
  <si>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</si>
  <si>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</si>
  <si>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</si>
  <si>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</si>
  <si>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</si>
  <si>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</si>
  <si>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</si>
  <si>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</si>
  <si>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</si>
  <si>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</si>
  <si>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</si>
  <si>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</si>
  <si>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</si>
  <si>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</si>
  <si>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</si>
  <si>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</si>
  <si>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</si>
  <si>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</si>
  <si>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</si>
  <si>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</si>
  <si>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</si>
  <si>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</si>
  <si>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</si>
  <si>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</si>
  <si>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</si>
  <si>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</si>
  <si>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</si>
  <si>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</si>
  <si>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</si>
  <si>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</si>
  <si>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</si>
  <si>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</si>
  <si>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</si>
  <si>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</si>
  <si>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</si>
  <si>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</si>
  <si>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</si>
  <si>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</si>
  <si>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</si>
  <si>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</si>
  <si>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</si>
  <si>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</si>
  <si>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</si>
  <si>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</si>
  <si>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</si>
  <si>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</si>
  <si>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</si>
  <si>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</si>
  <si>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</si>
  <si>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</si>
  <si>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</si>
  <si>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</si>
  <si>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</si>
  <si>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</si>
  <si>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</si>
  <si>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</si>
  <si>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</si>
  <si>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</si>
  <si>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AB299</t>
  </si>
  <si>
    <t>2024-12-31</t>
  </si>
  <si>
    <t>Sutomo, SE, Ak, MM, CPA, CA, SAS</t>
  </si>
  <si>
    <t/>
  </si>
  <si>
    <t>KAP Tanubrata, Sutanto, Fahmi, Bambang, dan Rekan</t>
  </si>
  <si>
    <t>2025-12-31</t>
  </si>
  <si>
    <t>PT Merdeka Gold Resources Tbk</t>
  </si>
  <si>
    <t>2025-06-30</t>
  </si>
  <si>
    <t>EMAS</t>
  </si>
  <si>
    <t>Sutomo</t>
  </si>
  <si>
    <t>2026-06-30</t>
  </si>
  <si>
    <t>2026-01-01</t>
  </si>
  <si>
    <t>2026-08-28</t>
  </si>
  <si>
    <t>Kas dan bank terdiri atas kas dan kas di bank yang tidak digunakan sebagai jaminan dan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</si>
  <si>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Grup memiliki hak tanpa
syarat untuk menunda pembayaran liabilitas selama paling tidak dua belas bulan setelah tanggal
pelaporan.</t>
  </si>
  <si>
    <t>Laporan keuangan konsolidasian telah disusun dan disajikan sesuai dengan Standar Akuntansi Keuangan di Indonesia (SAK), yang mencakup Pernyataan (PSAK) dan Interpretasi (ISAK) yang dikeluarkan oleh Dewan Standar Akuntansi Keuangan Ikatan Akuntan Indonesia dan Peraturan No. VIII.G.7 tentang Penyajian dan Pengungkapan Laporan Keuangan Emiten atau Perusahaan Publik.
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bank yang diklasifikasikan menurut aktivitas operasi, investasi dan pendanaan. Laporan arus kas konsolidasian disajikan dengan menggunakan metode langsung.
Seluruh angka dalam laporan keuangan konsolidasian ini disajikan dalam Dolar Amerika Serikat (AS$) yang merupakan mata uang fungsional Grup.
Kebijakan prinsip akuntansi yang diadopsi dalam penyusunan laporan keuangan konsolidasian diatur di bawah. Kebijakan ini diterapkan secara konsisten dengan semua periode penyajian, kecuali dinyatakan lain.</t>
  </si>
  <si>
    <t>2026-08-27</t>
  </si>
  <si>
    <t>Biaya emisi saham disajikan sebagai pengurang akun tambahan modal disetor dan tidak diamortisasi.</t>
  </si>
  <si>
    <t>Pada 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disusutkan dengan menggunakan metode garis lurus sebesar persentase tertentu dari harga perolehannya.
Infrastruktur pertambangan, di areal pertambangan tertentu disusutkan menggunakan metode unit produksi. Alat berat disusutkan atas dasar penggunaan jam kerja selama taksiran umur operasi alat berat tersebut. Beban penyusutan diperhitungkan di dalam laporan laba rugi selama tahun buku di mana beban tersebut terjadi.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</si>
  <si>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Grup mengklasifikasikan aset dan liabilitas keuangannya ke dalam kategori berikut:
1.	Biaya perolehan diamortisasi;
2.	Nilai wajar melalui laba rugi (FVTPL);
3.	Nilai wajar melalui penghasilan komprehensif lain (FVOCI).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tahun keuangan.
Aset keuangan Grup terdiri dari kas dan bank, piutang usaha, dan aset tidak lancar lainnya.
Aset keuangan Grup diklasifikasikan sebagai aset keuangan yang diukur pada biaya perolehan diamortisasi.
i.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
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Grup menetapkan klasifikasi atas liabilitas keuangan pada saat pengakuan awal.
Liabilitas keuangan lainnya diukur setelah pengukuran awal pada biaya perolehan diamortisasi, dengan menggunakan metode suku bunga efektif. Keuntungan dan kerugian diakui di dalam laba dan rugi ketika liabilitas dihentikan pengakuannya, dan melalui proses amortisasi.
Liabilitas keuangan Grup terdiri dari utang usaha, beban yang masih harus dibayar, liabilitas sewa, pinjaman bank dan pinjaman dari pihak berelasi.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lainnya diakui di dalam laporan laba rugi.
Semua penjualan dan pembelian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3)	Saling hapus instrumen keuangan
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4)	Penurunan nilai aset keuangan
Kerugian kredit ekspektasian diakui dalam dua tahap. Untuk eksposur kredit yang tidak mengalami peningkatan risiko kredit secara signifikan sejak pengakuan awal, penyisihan kerugian diakui atas kerugian kredit yang timbul dari peristiwa gagal bayar yang mungkin terjadi dalam 12 bulan ke depan (kerugian kredit ekspektasian 12 bulan). Untuk eksposur kredit yang telah mengalami peningkatan risiko kredit secara signifikan sejak pengakuan awal, penyisihan kerugian diakui sebesar kerugian kredit yang diperkirakan terjadi sepanjang sisa umur eksposur tersebut, tanpa mempertimbangkan waktu terjadinya gagal bayar (kerugian kredit ekspektasian sepanjang umur).
Pada setiap tanggal pelaporan, Grup menilai apakah risiko kredit atas suatu instrumen keuangan telah mengalami peningkatan secara signifikan sejak pengakuan awal. Dalam melakukan penilaian tersebut, Grup menggunakan perubahan risiko terjadinya gagal bayar sepanjang umur ekspektasian instrumen keuangan, bukan perubahan jumlah kerugian kredit ekspektasian. Untuk melakukan penilaian tersebut, Grup membandingkan risiko terjadinya gagal bayar atas instrumen keuangan pada tanggal pelaporan dengan risiko terjadinya gagal bayar pada saat pengakuan awal. Penilaian ini mempertimbangkan informasi yang wajar dan dapat didukung, yang tersedia tanpa biaya atau upaya yang berlebihan pada tanggal pelaporan, termasuk informasi mengenai peristiwa masa lalu, kondisi saat ini, serta proyeksi kondisi ekonomi di masa depan yang mengindikasikan adanya peningkatan signifikan dalam risiko kredit sejak pengakuan awal. Grup menganggap bahwa telah terjadi peningkatan signifikan dalam risiko kredit apabila pembayaran kontraktual telah melewati jatuh tempo lebih dari 30 hari.
Grup menganggap suatu aset keuangan berada dalam kondisi gagal bayar apabila pembayaran kontraktual telah melewati jatuh tempo selama 90 hari. Namun demikian, dalam kondisi tertentu, Grup juga dapat mengklasifikasikan suatu aset keuangan sebagai mengalami gagal bayar apabila informasi internal maupun eksternal menunjukkan bahwa Grup tidak mungkin menerima seluruh jumlah kontraktual yang terutang secara penuh sebelum mempertimbangkan peningkatan kualitas kredit yang dimiliki oleh Grup.
Aset keuangan dihapus buku ketika tidak terdapat ekspektasi yang wajar untuk dapat memulihkan arus kas kontraktual yang terkait dengan aset keuangan tersebut.
Aset keuangan yang diukur pada biaya perolehan diamortisasi dikenakan penurunan nilai berdasarkan pendekatan umum dan diklasifikasikan ke dalam tahapan berikut untuk pengukuran kerugian kredit ekspektasian, kecuali untuk piutang usaha yang menerapkan pendekatan sederhana sebagaimana dijelaskan di bawah ini.
Tahap 1  Instrumen keuangan yang risiko kreditnya tidak mengalami peningkatan signifikan sejak pengakuan awal dan untuknya cadangan kerugian diukur sebesar kerugian kredit ekspektasian 12 bulan. Tahap 2  Instrumen keuangan yang risiko kreditnya telah mengalami peningkatan signifikan sejak pengakuan awal, namun belum merupakan aset keuangan yang mengalami penurunan nilai kredit, sehingga cadangan kerugian diukur sebesar kerugian kredit ekspektasian sepanjang umur instrumen. Tahap 3  Aset keuangan yang telah mengalami penurunan nilai kredit pada akhir setiap Periode Pelaporan Relevan (namun bukan merupakan aset keuangan yang dibeli atau berasal dari aset yang telah mengalami penurunan nilai kredit sejak awal), sehingga cadangan kerugian diukur sebesar kerugian kredit ekspektasian sepanjang umur instrumen.
Pendekatan Sederhana
Grup menerapkan  approach dalam pengukuran kerugian kredit ekspektasian, yang menggunakan cadangan kerugian sepanjang umur untuk seluruh piutang usaha dan aset kontrak yang tidak memiliki komponen pembiayaan signifikan. Untuk semua aset keuangan lainnya, Grup menggunakan general approach. Pendekatan umum ini mencakup penelaahan terhadap adanya peningkatan signifikan dalam risiko kredit pihak lawan sejak awal pengakuan. Penelaahan kerugian kredit ekspektasian mencakup asumsi mengenai risiko gagal bayar dan tingkat kerugian yang diharapkan. Dalam pengukuran kerugian kredit ekspektasian, piutang usaha dikelompokkan berdasarkan karakteristik risiko kredit yang serupa dan jumlah hari keterlambatan pembayaran. Grup menetapkan provision matrix yang didasarkan pada pengalaman kerugian kredit historis, yang disesuaikan dengan faktor proyeksi ke depan yang spesifik bagi Grup dan kondisi ekonomi.</t>
  </si>
  <si>
    <t>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disusutkan dengan menggunakan metode garis-lurus dari tanggal permulaan hingga tanggal yang lebih awal antara akhir masa manfaat aset hak-guna atau akhir masa sewa.</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</si>
  <si>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Exploration and evaluation assets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dalam pengembangan pada akun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</si>
  <si>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(Catatan 2f).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 - bersih untuk piutang usaha dan piutang lain-lain.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 - bersih pada laporan laba rugi.</t>
  </si>
  <si>
    <t>Liabilitas kontinjensi tidak diakui di dalam laporan keuangan konsolidasian. Liabilitas kontinjensi diungkapkan di dalam catatan atas laporan keuangan konsolidasian kecuali kemungkinan arus keluar sumber daya ekonomi adalah kecil.
Aset kontinjensi tidak diakui di dalam laporan keuangan konsolidasian, namun diungkapkan di dalam catatan atas laporan keuangan konsolidasian jika terdapat kemungkinan suatu arus masuk manfaat ekonomis mengalir ke dalam Perusahaan.
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</si>
  <si>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2030-12-05</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</si>
  <si>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</si>
  <si>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PT Aneka Tambang Tbk</t>
  </si>
  <si>
    <t>Aset dan atau liabilitas pajak kini terdiri dari liabilitas kepada, atau klaim dari Kantor Pelayanan Pajak
terkait dengan periode kini dan periode sebelumnya pelaporan, yang belum dibayar pada tanggal
laporan posisi keuangan konsolidasian. Pendapatan aset dan 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komprehensif lain
konsolidasian.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Income taxes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</si>
  <si>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Grup menerapkan PSAK No. 110,  Keuangan Konsolidasian kecuali beberapa hal berikut yang diterapkan secara prospektif:
(i) Rugi entitas anak yang menyebabkan saldo defisit bagi Kepentingan Non-Pengendali ()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Perusahaanmemperoleh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Menghentikan pengakuan aset (termasuk goodwill) dan liabilitas entitas anak,Menghentikan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hanya apabila tidak terdapat bukti penurunan nilai secara langsung dalam ekuitas dan diatribusikan pada pemilik entitas induk.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</si>
  <si>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Kebijakan akuntansi yang diadopsi adalah konsisten dengan kebijakan akuntansi                  tahun keuangan sebelumnya, kecuali bagi pengadopsian PSAK dan ISAK baru dan revisian yang berlaku efektif pada atau setelah tanggal 
1 Januari 2026. Perubahan kebijakan akuntansi Grup, dibuat sebagaimana disyaratkan sesuai dengan ketentuan transisi yang relevan terkait dengan PSAK dan ISAK tersebut.
Penerapan standar baru, amandemen dan penyesuaian yang telah diterbitkan, dan yang akan berlaku efektif untuk periode buku yang dimulai pada atau setelah 1 Januari 2026 namun tidak berdampak secara subtansial terhadap kebijakan akuntansi Grup dan tidak berpengaruh material terhadap laporan keuangan konsolidasian adalah sebagai berikut:
	Amendemen PSAK No. 109,  Keuangan.
	Amandemen PSAK No. 107,  Keuangan: Pengungkapan.
	Revisi PSAK No. 338  Bisnis Entitas Sepengendali.
Pada tanggal penyelesaian laporan keuangan konsolidasian ini, Grup sedang mempelajari dampak yang mungkin timbul dari penerapan standar baru, amandemen dan penyesuaian tahunan pada laporan keuangan konsolidasian Grup.</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</si>
  <si>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31 Maret 2026 dan 31 Desember 2025, kurs nilai tukar yang digunakan adalah sebagai berikut (dalam Dolar AS penuh):
Rupiah Indonesia 10.000 (Rp) = 0.56
Dolar Australia (A$) = 0.70
Euro (EUR) = 1.15
Yuan Tiongkok (CNY) = 0.15</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</si>
  <si>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</si>
  <si>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Laba per saham dasar dihitung dengan membagi laba periode berjalan yang iatribusikan kepada
pemilik Perusahaan induk dengan jumlah rata-rata tertimbang saham biasa yang beredar pada periode
yang bersangkutan.Laba per saham dilusian dihitung dengan membagi laba periode berjalan
yangdiatribusikan kepada pemilik Perusahaan induk dengan jumlah rata-rata tertimbang saham biasa
telah disesuaikan dengan dampak dari semua efek berpotensi saham biasa yang dilutif.</t>
  </si>
  <si>
    <t>PT Merdeka Mining Servis</t>
  </si>
  <si>
    <t>SOFR + Margin</t>
  </si>
  <si>
    <t>Fasilitas Sindikasi Bergulir AS$150.000.000
Pada tanggal 10 April 2026, Perusahaan telah menandatangani Perjanjian Fasilitas untuk Fasilitas Kredit Bergulir dalam Satu Mata Uang Tunggal (Single Currency Revolving Credit Facility Agreement) dengan jumlah pokok pinjaman sebesar AS$150.000.000 dengan (i) Kasikornbank Public Company Limited, 
PT Bank Central Asia Tbk, PT Bank CIMB Niaga Tbk, 
PT Bank Danamon Indonesia Tbk, PT Bank Maspion Indonesia Tbk sebagai mandated lead arrangers, 
(ii) lembaga-lembaga keuangan yang tercantum dalam perjanjian fasilitas sebagai para kreditur awal, dan (iii) PT Bank Central Asia Tbk sebagai agen dari para pihak pembiayaan (selain pihaknya sendiri) ( Sindikasi Bergulir AS$150.000.000). Tanggal jatuh tempo akhir atas fasilitas ini adalah tanggal yang jatuh 12 bulan setelah tanggal penyelesaian, yaitu 10 April 2027, dengan tunduk pada opsi perpanjangan.
Para pemberi pinjaman berdasarkan Fasilitas Sindikasi Bergulir AS$150.000.000 adalah Kasikornbank Public Company Limited,  PT Bank Central Asia Tbk, PT Bank CIMB Niaga Tbk, PT Bank Danamon Indonesia Tbk, dan PT Bank Maspion Indonesia Tbk.
Fasilitas ini ditujukan untuk (i) semua tujuan korporasi umum dari Grup, termasuk tetapi tidak terbatas pada pembiayaan belanja modal, pembiayaan intra-grup dari Grup (termasuk, tetapi tidak terbatas pada melalui penyertaan modal atau pinjaman pemegang saham), dan persyaratan modal kerja lain dari Grup dan (ii) pembayaran biaya transaksi dan pengeluaran terkait dengan Fasilitas Sindikasi Bergulir AS$150.000.000.
Pinjaman berdasarkan Fasilitas Sindikasi Bergulir AS$150.000.000 ini dikenakan bunga dengan tingkat suku bunga acuan majemuk kumulatif Secured Overnight Financing Rate (SOFR) ditambah marjin tertentu dengan periode bunga 1 (satu) bulan, 3 (tiga) bulan, atau 6 (enam) bulan. Masing-masing dari pinjaman tersebut harus dibayarkan kembali pada tanggal terakhir jangka waktu bunga terkait yang dipilih.
Tidak terdapat batasan pemenuhan rasio keuangan tertentu yang harus dipenuhi oleh Perusahaan berdasarkan Fasilitas Sindikasi Bergulir AS$150.000.000 tersebut. Fasilitas ini tidak dijamin secara khusus dengan aset yang dimiliki oleh Perusahaan.
Selama periode berjalan, Perusahaan telah melakukan penarikan saldo pokok atas fasilitas ini sebesar AS$150.000.000.
Saldo pokok pinjaman yang terutang dari fasilitas ini per 30 Juni 2026 dan 31 Desember 2025 masing-masing sebesar AS$150.000.000 dan Nihil.</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</si>
  <si>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</si>
  <si>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Penerapan dari standar baru berikut berlaku efektif mulai 1 Januari 2027. Penerapan retrospektif diwajibkan, sehingga informasi komparatif untuk tahun keuangan yang berakhir pada 31 Desember 2026 akan disajikan ulang sesuai dengan standar ini.
	PSAK No. 118,  Penyajian dan Pengungkapan Dalam Laporan Keuangan.
Amendemen di atas berlaku efektif mulai 1 Januari 2027, tetapi penerapan dini diperkenankan. 
Pada tanggal penyelesaian laporan keuangan konsolidasian ini, Grup sedang mempelajari dampak yang mungkin timbul dari penerapan standar baru, amandemen dan penyesuaian tahunan pada laporan keuangan konsolidasian Grup.</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</si>
  <si>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</si>
  <si>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2027-04-10</t>
  </si>
  <si>
    <t>Sesuai dengan penerapan PSAK 115. Grup melakukan 5 (lima) langkah analisa berikut dalam menentukan pengakuan pendapatannya:
Mengidentifikasi kontrak dengan pelanggan;
Mengidentifikasi kewajiban di dalam kontrak terkait penyerahan barang atau jasa yang memiliki karateristik;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jasa diakui pada sepanjang waktu tertentu dengan menerapkan metode input berdasarkan biaya yang terjadi dan penggunaan jam kerja alat berat.
Pengakuan beban
Beban diakui pada saat terjadinya (dasar akrual).</t>
  </si>
  <si>
    <t>Karena sifatnya yang jangka pendek maka nilai wajar utang usaha diperkirakan sama dengan nilai tercatatnya.</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</si>
  <si>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</si>
  <si>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Berdasarkan reviu kami, tidak terdapat hal yang menjadi perhatian kami yang menyebabkan kami yakin bahwa informasi keuangan konsolidasian interim terlampir tidak menyajikan secara wajar, dalam semua hal yang material, posisi keuangan konsolidasian interim PT Merdeka Gold Resources Tbk dan entitas anak tanggal 30 Juni 2026, serta kinerja keuangan konsolidasian interim dan arus kas konsolidasian interimnya untuk periode enam bulan yang berakhir pada tanggal tersebut, sesuai dengan Standar Akuntansi Keuangan di Indonesia.</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</si>
  <si>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</si>
  <si>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Events after reporting period
atas laporan keuangan konsolidasian apabila jumlahnya material</t>
  </si>
  <si>
    <t>Fasilitas Sindikasi Kredit Bergulir AS$50.000.000
Pada tanggal 13 September 2024, Perusahaan menerima fasilitas pembiayaan sindikasi berdasarkan dokumen berikut:
a.        Suatu Perjanjian Fasilitas Kredit Bergulir sejumlah AS$50.000.000 yang ditandatangani oleh dan antara, antara lain, Perusahaan sebagai debitur, lembaga-lembaga keuangan yang tercantum dalam perjanjian fasilitas terkait sebagai para pemberi pinjaman, PT Bank HSBC Indonesia sebagai agen fasilitas, wali amanat jaminan, dan agen jaminan ( Fasilitas Kredit Bergulir AS$50.000.000); dan
b.	Suatu Perjanjian Kerangka Kerja Pembayaran Awal Pinjaman Gabungan yang ditandatangani oleh dan antara, antara lain, Perusahaan sebagai debitur, GSM dan PETS sebagai para obligor,
PT Bank HSBC Indonesia sebagai agen fasilitas, wali amanat jaminan, dan agen Jaminan ( Kerangka Kerja Gabungan).
Para pemberi pinjaman berdasarkan Perjanjian Fasilitas Kredit Bergulir AS$50.000.000, adalah 
Barclays Bank PLC, PT Bank HSBC Indonesia, ING Bank N.V., Cabang Singapura, Natixis, Cabang Singapura, Oversea-Chinese Banking Corporation Limited, 
PT Bank Negara Indonesia (Persero) Tbk, PT Bank OCBC NISP Tbk, dan Soci G Cabang Singapura.
Perusahaan akan menggunakan semua jumlah yang dipinjam olehnya berdasarkan fasilitas pembiayaan ini terhadap semua tujuan umum perusahaan grup.
Jangka waktu ketersediaan atas fasilitas pembiayaan ini yaitu sampai dengan dan termasuk tanggal yang jatuh satu bulan sebelum tanggal jatuh tempo akhir. Tanggal jatuh tempo akhir atas fasilitas ini yaitu tanggal yang jatuh 18 bulan setelah tanggal penyelesaian, yaitu 13 Maret 2026.
Pinjaman berdasarkan fasilitas pembiayaan ini dikenakan bunga dengan tingkat suku bunga acuan majemuk kumulatif Secured Overnight Financing Rate (SOFR) ditambah margin tertentu dengan periode bunga 1 (satu) bulan, 3 (tiga) bulan atau periode lain sebagaimana disepakati antara Perusahaan, agen fasilitas, dan seluruh pemberi pinjaman. Masing-masing dari pinjaman tersebut harus dibayarkan kembali pada tanggal terakhir jangka waktu bunga terkait yang dipilih.
Tidak terdapat batasan pemenuhan rasio keuangan tertentu yang harus dipenuhi oleh Perusahaan berdasarkan fasilitas pembiayaan tersebut.
Fasilitas pembiayaan tersebut dijamin dengan jaminan-jaminan berikut:
a.	gadai atas saham MCG  di Perusahaan.
b.	gadai atas saham MCG  di GSM.
c.	gadai atas saham Perusahaan di GSM.
d.	gadai atas saham Perusahaan di PBT.
e.	gadai atas saham Perusahaan di PETS.
f.	gadai atas saham PEG di PETS.
g.	gadai atas saham PBT di PETS.
h.	gadai atas rekening Perusahaan.
i.	gadai atas rekening GSM.
j.	gadai atas rekening PETS.
Pada tanggal 24 September 2024, Perusahaan melakukan penarikan pokok atas fasilitas perjanjian ini sebesar AS$5.000.000.
Pada tahun 2025, Perusahaan melakukan beberapa kali penarikan dengan total sebesar AS$45.000.000.
Pada tanggal 11 Juli 2025, Perusahaan telah melunasi seluruh saldo terutang berdasarkan perjanjian ini sebesar AS$50.000.000. Selanjutnya, pada tanggal 
14 Juli 2025, PT Bank HSBC Indonesia selaku agen fasilitas telah mengonfirmasi pelepasan seluruh jaminan atas fasilitas, dan pada tanggal 15 Juli 2025  perjanjian fasilitas ini diakhiri.
Saldo pokok pinjaman yang terutang dari fasilitas ini per 30 Juni 2026 dan 31 Desember 2025 sebesar Nihil.
Fasilitas Sindikasi Bergulir AS$150.000.000
Pada tanggal 10 April 2026, Perusahaan telah menandatangani Perjanjian Fasilitas untuk Fasilitas Kredit Bergulir dalam Satu Mata Uang Tunggal (Single Currency Revolving Credit Facility Agreement) dengan jumlah pokok pinjaman sebesar AS$150.000.000 dengan (i) Kasikornbank Public Company Limited, 
PT Bank Central Asia Tbk, PT Bank CIMB Niaga Tbk, 
PT Bank Danamon Indonesia Tbk, PT Bank Maspion Indonesia Tbk sebagai mandated lead arrangers, 
(ii) lembaga-lembaga keuangan yang tercantum dalam perjanjian fasilitas sebagai para kreditur awal, dan (iii) PT Bank Central Asia Tbk sebagai agen dari para pihak pembiayaan (selain pihaknya sendiri) ( Sindikasi Bergulir AS$150.000.000). Tanggal jatuh tempo akhir atas fasilitas ini adalah tanggal yang jatuh 12 bulan setelah tanggal penyelesaian, yaitu 10 April 2027, dengan tunduk pada opsi perpanjangan.
Para pemberi pinjaman berdasarkan Fasilitas Sindikasi Bergulir AS$150.000.000 adalah Kasikornbank Public Company Limited,  PT Bank Central Asia Tbk, PT Bank CIMB Niaga Tbk, PT Bank Danamon Indonesia Tbk, dan PT Bank Maspion Indonesia Tbk.
Fasilitas ini ditujukan untuk (i) semua tujuan korporasi umum dari Grup, termasuk tetapi tidak terbatas pada pembiayaan belanja modal, pembiayaan intra-grup dari Grup (termasuk, tetapi tidak terbatas pada melalui penyertaan modal atau pinjaman pemegang saham), dan persyaratan modal kerja lain dari Grup dan (ii) pembayaran biaya transaksi dan pengeluaran terkait dengan Fasilitas Sindikasi Bergulir AS$150.000.000.
Pinjaman berdasarkan Fasilitas Sindikasi Bergulir AS$150.000.000 ini dikenakan bunga dengan tingkat suku bunga acuan majemuk kumulatif Secured Overnight Financing Rate (SOFR) ditambah marjin tertentu dengan periode bunga 1 (satu) bulan, 3 (tiga) bulan, atau 6 (enam) bulan. Masing-masing dari pinjaman tersebut harus dibayarkan kembali pada tanggal terakhir jangka waktu bunga terkait yang dipilih.
Tidak terdapat batasan pemenuhan rasio keuangan tertentu yang harus dipenuhi oleh Perusahaan berdasarkan Fasilitas Sindikasi Bergulir AS$150.000.000 tersebut. Fasilitas ini tidak dijamin secara khusus dengan aset yang dimiliki oleh Perusahaan.
Selama periode berjalan, Perusahaan telah melakukan penarikan saldo pokok atas fasilitas ini sebesar AS$150.000.000.
Saldo pokok pinjaman yang terutang dari fasilitas ini per 30 Juni 2026 dan 31 Desember 2025 masing-masing sebesar AS$150.000.000 dan Nihil.
Fasilitas Sindikasi Kredit Bergulir AS$350.000.000
Pada tanggal 4 Desember 2025, PBT, PETS, dan GSM menerima fasilitas pembiayaan sindikasi berdasarkan dokumen berikut:
a.	Suatu Perjanjian Fasilitas Kredit Bergulir sejumlah AS$350.000.000 yang ditandatangani oleh dan antara, antara lain, PBT, PETS, dan GSM sebagai para debitur, lembaga-lembaga keuangan yang tercantum sebagai para pemberi pinjaman, PT Bank UOB Indonesia sebagai agen fasilitas, wali amanat jaminan dan agen jaminan  ( Fasilitas Sindikasi Bergulir AS$350.000.000); dan
b.	Suatu Perjanjian Kerangka Kerja Pembayaran Awal Pinjaman Gabungan yang ditandatangani oleh dan antara, antara lain, PBT, PETS, and GSM sebagai para debitur, Perusahaan sebagai pemberi jaminan, lembaga-lembaga keuangan yang tercantum sebagai para pemberi pinjaman, PT Bank UOB Indonesia sebagai agen fasilitas, wali amanat jaminan dan agen jaminan.
Para pemberi pinjaman berdasarkan Perjanjian Fasilitas Sindikasi Bergulir AS$350.000.000, adalah Cr Agricole Corporate and Investment Bank, Cabang Singapura, ING Bank N.V., Cabang Singapura, Natixis, Cabang Singapura, Oversea-Chinese Banking Corporation Limited, Singapura, PT Bank DBS Indonesia, PT Bank HSBC Indonesia, PT Bank KEB Hana Indonesia, PT Bank Maybank Indonesia Tbk, PT Bank Mizuho Indonesia, PT Bank Negara Indonesia (Persero) Tbk., PT Bank OCBC NISP Tbk, PT Bank UOB Indonesia, dan Soci G bertindak melalui Cabang Singapura.
Para debitur akan menggunakan semua jumlah yang dipinjam olehnya berdasarkan fasilitas pembiayaan ini terhadap (i) pembayaran lebih awal dan/atau pelunasan semua jumlah yang masih terutang dari para debitur kepada Perusahaan dan (ii) semua keperluan korporasi umum para debitur dan entitas anaknya.
Jangka waktu ketersediaan atas fasilitas pembiayaan berdasarkan Perjanjian Fasilitas Sindikasi Bergulir AS$350.000.000 yaitu sampai dengan dan termasuk tanggal yang jatuh satu bulan sebelum tanggal jatuh tempo akhir. Tanggal jatuh tempo akhir atas fasilitas ini yaitu tanggal yang jatuh 60 bulan setelah tanggal penyelesaian, yaitu 5 Desember 2030.
Pinjaman berdasarkan Perjanjian Fasilitas Sindikasi Bergulir AS$350.000.000 dikenakan bunga dengan tingkat suku bunga acuan majemuk kumulatif Secured Overnight Financing Rate (SOFR) ditambah margin tertentu dengan periode bunga 1 (satu) bulan, 3 (tiga) bulan atau periode lain sebagaimana disepakati antara debitur tersebut, agen fasilitas, dan seluruh pemberi pinjaman. Masing-masing dari pinjaman tersebut harus dibayarkan kembali pada tanggal terakhir jangka waktu bunga terkait yang dipilih.
Setiap debitur harus memastikan bahwa setiap saat rasio Utang Bersih Terkonsolidasi terhadap EBITDA Terkonsolidasi kurang dari 5,00 : 1,00 berdasarkan Fasilitas Bergulir Sindikasi senilai US$350.000.000.
Fasilitas pembiayaan tersebut dijamin dengan jaminan-jaminan berikut:
-	Gadai saham milik Perusahaan di GSM.
-	Gadai saham milik Perusahaan di PETS.
-	Gadai saham milik Perusahaan di PBT.
-	Gadai saham milik PBT di PETS.
-	Gadai rekening milik PETS. 
-	Gadai rekening milik PBT. 
-	Gadai rekening milik GSM.
Pada tanggal 11 Desember 2025, Grup melakukan penarikan pokok atas fasilitas ini sebesar AS$265.000.000.	
Selama periode berjalan, Grup melakukan penarikan pokok atas fasilitas ini sebesar AS$65.000.000 dan pelunasan sebagian pokok pinjaman atas fasilitas ini sebesar AS$80.000.000.
Saldo pokok pinjaman yang terutang dari fasilitas ini per 30 Juni 2026 dan 31 Desember 2025 masing-masing sebesar AS$250.000.000 dan AS$265.000.000.</t>
  </si>
  <si>
    <t>Grup memberikan imbalan pasti atas imbalan 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Biaya jasa kini, biaya bunga, biaya jasa lalu yang telah menjadi hak karyawan, dan dampak kurtailmen atau penyelesaian (jika ada) diakui pada laporan laba rugi komprehensif konsolidasian tahun berjalan.
Biaya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Keuntungan/(kerugian) aktuaria tidak direklasifikasi ke laba rugi pada periode berikutnya.
Imbalan kerja jangka panjang lainnya
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</si>
  <si>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Perusahaan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dan
-	Grup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disusutkan dengan menggunakan metode garis-lurus dari tanggal permulaan hingga tanggal yang lebih awal antara akhir masa manfaat aset hak-guna atau akhir masa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Sewa aset tetap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</si>
  <si>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Persediaan emas terdiri dari persediaan bijih di stockpiles, barang dalam proses dan barang jadi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suku cadang dan perlengkapan dinilai pada biaya perolehan atau nilai realisasi bersih mana yang lebih rendah.
Biaya perolehan suku cadang ditentukan dengan metode rata-rata tertimbang. Provisi persediaan usang dan bergerak lambat ditentukan berdasarkan estimasi penggunaan atau penjualan masing-masing jenis persediaan pada masa mendatang.</t>
  </si>
  <si>
    <t>Pada tanggal 30 Juni 2026 dan 31 Desember 2025, tidak terdapat cadangan kerugian penurunan nilai, karena manajemen berkeyakinan semua persediaan dapat digunakan dan nilai realisasi neto persediaan masih melebihi nilai tercatat persediaan.
Pada tanggal 30 Juni 2026, persediaan barang jadi Grup telah diasuransikan dengan nilai pertanggungan keseluruhan sebesar AS$15.000.000 (31 Desember 2025: Nihil).
Manajemen berkeyakinan bahwa nilai pertanggungan asuransi memadai untuk menutup kemungkinan risiko kerugian yang timbul.
Persediaan yang diakui sebagai beban pokok pendapatan untuk periode yang berakhir pada 
30 Juni 2026 adalahAS$12.394.407 (31 Desember 2025: Nihil).</t>
  </si>
  <si>
    <t>10 April 2027</t>
  </si>
  <si>
    <t>Pada tanggal 30 Juni 2026 dan 31 Desember 2025, aset tetap Grup telah diasuransikan dengan memadai terhadap semua risiko kerusakan dengan jumlah pertanggungan sebesar AS$309.429.226 dan AS$318.769.618. Manajemen Grup berkeyakinan bahwa aset tetap telah diasuransikan secara memadai.
Pada tanggal 30 Juni 2026 dan 31 Desember 2025, manajemen berkeyakinan bahwa tidak diperlukan cadangan kerugian penyisihan penurunan nilai untuk aset tetap.
Pada tanggal 30 Juni 2026, aset hak-guna tertentu dengan nilai tercatat sebesar AS$68.999.493
(31 Desember 2025: AS$32.803.630) dijaminkan terhadap liabilitas sewa tertentu (Catatan 14).
Pada tanggal 30 Juni 2026 dan 31 Desember 2025, harga perolehan atas aset tetap Grup yang telah habis nilai tercatat tetapi masih dipakai adalah sebesar AS$559.095.</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</si>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</sst>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2850</v>
      </c>
      <c r="C23" s="24" t="s">
        <v>53</v>
      </c>
    </row>
    <row r="24" spans="1:3" ht="15.75" thickBot="1">
      <c r="A24" s="25" t="s">
        <v>54</v>
      </c>
      <c r="B24" s="26" t="s">
        <v>2849</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t="s">
        <v>2882</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2855</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6.2141582E7</v>
      </c>
      <c r="C8" s="38" t="n">
        <v>4.5308297E7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0.0</v>
      </c>
      <c r="C20" s="38" t="n">
        <v>8921.0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0.0</v>
      </c>
      <c r="C38" s="38" t="n">
        <v>88907.0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5.5780895E7</v>
      </c>
      <c r="C42" s="38" t="n">
        <v>1.0515055E7</v>
      </c>
      <c r="D42" s="39" t="s">
        <v>484</v>
      </c>
    </row>
    <row r="43" spans="1:4" ht="15.75" thickBot="1">
      <c r="A43" s="37" t="s">
        <v>489</v>
      </c>
      <c r="B43" s="38"/>
      <c r="C43" s="38"/>
      <c r="D43" s="39" t="s">
        <v>490</v>
      </c>
    </row>
    <row r="44" spans="1:4" ht="15.75" thickBot="1">
      <c r="A44" s="37" t="s">
        <v>491</v>
      </c>
      <c r="B44" s="38" t="n">
        <v>594783.0</v>
      </c>
      <c r="C44" s="38" t="n">
        <v>1155634.0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4545020.0</v>
      </c>
      <c r="C49" s="38" t="n">
        <v>3823898.0</v>
      </c>
      <c r="D49" s="39" t="s">
        <v>502</v>
      </c>
    </row>
    <row r="50" spans="1:4" ht="15.75" thickBot="1">
      <c r="A50" s="37" t="s">
        <v>503</v>
      </c>
      <c r="B50" s="38"/>
      <c r="C50" s="38"/>
      <c r="D50" s="39" t="s">
        <v>504</v>
      </c>
    </row>
    <row r="51" spans="1:4" ht="26.25" thickBot="1">
      <c r="A51" s="37" t="s">
        <v>505</v>
      </c>
      <c r="B51" s="38" t="n">
        <v>330401.0</v>
      </c>
      <c r="C51" s="38" t="n">
        <v>330401.0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1.23392681E8</v>
      </c>
      <c r="C58" s="42" t="n">
        <v>6.1231113E7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1.7900453E7</v>
      </c>
      <c r="C79" s="38" t="n">
        <v>1.0628136E7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4.6512965E7</v>
      </c>
      <c r="C87" s="38" t="n">
        <v>3.607578E7</v>
      </c>
      <c r="D87" s="39" t="s">
        <v>578</v>
      </c>
    </row>
    <row r="88" spans="1:4" ht="15.75" thickBot="1">
      <c r="A88" s="37" t="s">
        <v>579</v>
      </c>
      <c r="B88" s="38" t="n">
        <v>7549562.0</v>
      </c>
      <c r="C88" s="38" t="n">
        <v>7401728.0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4.65474732E8</v>
      </c>
      <c r="C105" s="38" t="n">
        <v>3.17194992E8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t="n">
        <v>0.0</v>
      </c>
      <c r="D110" s="39" t="s">
        <v>623</v>
      </c>
    </row>
    <row r="111" spans="1:4" ht="15.75" thickBot="1">
      <c r="A111" s="37" t="s">
        <v>624</v>
      </c>
      <c r="B111" s="38"/>
      <c r="C111" s="38"/>
      <c r="D111" s="39" t="s">
        <v>625</v>
      </c>
    </row>
    <row r="112" spans="1:4" ht="15.75" thickBot="1">
      <c r="A112" s="37" t="s">
        <v>626</v>
      </c>
      <c r="B112" s="38" t="n">
        <v>3.01279849E8</v>
      </c>
      <c r="C112" s="38" t="n">
        <v>3.05584435E8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t="n">
        <v>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2219284.0</v>
      </c>
      <c r="C126" s="38" t="n">
        <v>2522024.0</v>
      </c>
      <c r="D126" s="39" t="s">
        <v>654</v>
      </c>
    </row>
    <row r="127" spans="1:4" ht="15.75" thickBot="1">
      <c r="A127" s="40" t="s">
        <v>655</v>
      </c>
      <c r="B127" s="42" t="n">
        <v>8.40936845E8</v>
      </c>
      <c r="C127" s="42" t="n">
        <v>6.79407095E8</v>
      </c>
      <c r="D127" s="34" t="s">
        <v>656</v>
      </c>
    </row>
    <row r="128" spans="1:4" ht="15.75" thickBot="1">
      <c r="A128" s="36" t="s">
        <v>657</v>
      </c>
      <c r="B128" s="42" t="n">
        <v>9.64329526E8</v>
      </c>
      <c r="C128" s="42" t="n">
        <v>7.40638208E8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1.49010935E8</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1.9334758E7</v>
      </c>
      <c r="C135" s="38" t="n">
        <v>2.000621E7</v>
      </c>
      <c r="D135" s="39" t="s">
        <v>672</v>
      </c>
    </row>
    <row r="136" spans="1:4" ht="15.75" thickBot="1">
      <c r="A136" s="44" t="s">
        <v>673</v>
      </c>
      <c r="B136" s="38" t="n">
        <v>4876128.0</v>
      </c>
      <c r="C136" s="38" t="n">
        <v>3250996.0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19033.0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1.10072605E8</v>
      </c>
      <c r="C145" s="38" t="n">
        <v>3.2587389E7</v>
      </c>
      <c r="D145" s="39" t="s">
        <v>692</v>
      </c>
    </row>
    <row r="146" spans="1:4" ht="26.25" thickBot="1">
      <c r="A146" s="41" t="s">
        <v>693</v>
      </c>
      <c r="B146" s="38"/>
      <c r="C146" s="38"/>
      <c r="D146" s="39" t="s">
        <v>694</v>
      </c>
    </row>
    <row r="147" spans="1:4" ht="15.75" thickBot="1">
      <c r="A147" s="41" t="s">
        <v>695</v>
      </c>
      <c r="B147" s="38" t="n">
        <v>1363693.0</v>
      </c>
      <c r="C147" s="38" t="n">
        <v>1404203.0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11264.0</v>
      </c>
      <c r="C168" s="38" t="n">
        <v>25889.0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2.009625E7</v>
      </c>
      <c r="C184" s="38" t="n">
        <v>1.0575045E7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3.04765633E8</v>
      </c>
      <c r="C198" s="42" t="n">
        <v>6.7849732E7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6849251.0</v>
      </c>
      <c r="C201" s="38" t="n">
        <v>6705285.0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2.46136053E8</v>
      </c>
      <c r="C206" s="38" t="n">
        <v>2.60403819E8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3.986348E7</v>
      </c>
      <c r="C216" s="38" t="n">
        <v>1.861828E7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3577924.0</v>
      </c>
      <c r="C238" s="38" t="n">
        <v>4901358.0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1570561.0</v>
      </c>
      <c r="C242" s="38" t="n">
        <v>1221816.0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2.97997269E8</v>
      </c>
      <c r="C246" s="42" t="n">
        <v>2.91850558E8</v>
      </c>
      <c r="D246" s="34" t="s">
        <v>894</v>
      </c>
    </row>
    <row r="247" spans="1:4" ht="15.75" thickBot="1">
      <c r="A247" s="40" t="s">
        <v>895</v>
      </c>
      <c r="B247" s="42" t="n">
        <v>6.02762902E8</v>
      </c>
      <c r="C247" s="42" t="n">
        <v>3.5970029E8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1.39149609E8</v>
      </c>
      <c r="C250" s="38" t="n">
        <v>1.52891444E8</v>
      </c>
      <c r="D250" s="39" t="s">
        <v>902</v>
      </c>
    </row>
    <row r="251" spans="1:4" ht="15.75" thickBot="1">
      <c r="A251" s="41" t="s">
        <v>903</v>
      </c>
      <c r="B251" s="38"/>
      <c r="C251" s="38"/>
      <c r="D251" s="39" t="s">
        <v>904</v>
      </c>
    </row>
    <row r="252" spans="1:4" ht="15.75" thickBot="1">
      <c r="A252" s="41" t="s">
        <v>905</v>
      </c>
      <c r="B252" s="38" t="n">
        <v>3.02462644E8</v>
      </c>
      <c r="C252" s="38" t="n">
        <v>3.02462644E8</v>
      </c>
      <c r="D252" s="39" t="s">
        <v>906</v>
      </c>
    </row>
    <row r="253" spans="1:4" ht="15.75" thickBot="1">
      <c r="A253" s="41" t="s">
        <v>907</v>
      </c>
      <c r="B253" s="45" t="n">
        <v>0.0</v>
      </c>
      <c r="C253" s="45" t="n">
        <v>1.3741835E7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-3761453.0</v>
      </c>
      <c r="C257" s="38" t="n">
        <v>732219.0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52991.0</v>
      </c>
      <c r="C262" s="38" t="n">
        <v>51116.0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-7.6376658E7</v>
      </c>
      <c r="C268" s="38" t="n">
        <v>-6.1499283E7</v>
      </c>
      <c r="D268" s="39" t="s">
        <v>938</v>
      </c>
    </row>
    <row r="269" spans="1:4" ht="39" thickBot="1">
      <c r="A269" s="43" t="s">
        <v>939</v>
      </c>
      <c r="B269" s="42" t="n">
        <v>3.61527133E8</v>
      </c>
      <c r="C269" s="42" t="n">
        <v>3.80896305E8</v>
      </c>
      <c r="D269" s="34" t="s">
        <v>940</v>
      </c>
    </row>
    <row r="270" spans="1:4" ht="15.75" thickBot="1">
      <c r="A270" s="37" t="s">
        <v>941</v>
      </c>
      <c r="B270" s="38"/>
      <c r="C270" s="38"/>
      <c r="D270" s="39" t="s">
        <v>942</v>
      </c>
    </row>
    <row r="271" spans="1:4" ht="15.75" thickBot="1">
      <c r="A271" s="37" t="s">
        <v>943</v>
      </c>
      <c r="B271" s="38" t="n">
        <v>39491.0</v>
      </c>
      <c r="C271" s="38" t="n">
        <v>41613.0</v>
      </c>
      <c r="D271" s="39" t="s">
        <v>944</v>
      </c>
    </row>
    <row r="272" spans="1:4" ht="15.75" thickBot="1">
      <c r="A272" s="40" t="s">
        <v>945</v>
      </c>
      <c r="B272" s="42" t="n">
        <v>3.61566624E8</v>
      </c>
      <c r="C272" s="42" t="n">
        <v>3.80937918E8</v>
      </c>
      <c r="D272" s="34" t="s">
        <v>946</v>
      </c>
    </row>
    <row r="273" spans="1:4" ht="15.75" thickBot="1">
      <c r="A273" s="36" t="s">
        <v>947</v>
      </c>
      <c r="B273" s="42" t="n">
        <v>9.64329526E8</v>
      </c>
      <c r="C273" s="42" t="n">
        <v>7.40638208E8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3.085739E7</v>
      </c>
      <c r="C6" s="72" t="n">
        <v>83786.0</v>
      </c>
      <c r="D6" s="73" t="s">
        <v>1092</v>
      </c>
    </row>
    <row r="7" spans="1:4" ht="15.75" thickBot="1">
      <c r="A7" s="71" t="s">
        <v>1093</v>
      </c>
      <c r="B7" s="74" t="n">
        <v>1.7394058E7</v>
      </c>
      <c r="C7" s="74" t="n">
        <v>65105.0</v>
      </c>
      <c r="D7" s="73" t="s">
        <v>1094</v>
      </c>
    </row>
    <row r="8" spans="1:4" ht="15.75" thickBot="1">
      <c r="A8" s="75" t="s">
        <v>1095</v>
      </c>
      <c r="B8" s="76" t="n">
        <v>1.3463332E7</v>
      </c>
      <c r="C8" s="76" t="n">
        <v>18681.0</v>
      </c>
      <c r="D8" s="70" t="s">
        <v>1096</v>
      </c>
    </row>
    <row r="9" spans="1:4" ht="15.75" thickBot="1">
      <c r="A9" s="71" t="s">
        <v>1097</v>
      </c>
      <c r="B9" s="74"/>
      <c r="C9" s="74"/>
      <c r="D9" s="73" t="s">
        <v>1098</v>
      </c>
    </row>
    <row r="10" spans="1:4" ht="15.75" thickBot="1">
      <c r="A10" s="71" t="s">
        <v>1099</v>
      </c>
      <c r="B10" s="74" t="n">
        <v>1.0576726E7</v>
      </c>
      <c r="C10" s="74" t="n">
        <v>3524162.0</v>
      </c>
      <c r="D10" s="73" t="s">
        <v>1100</v>
      </c>
    </row>
    <row r="11" spans="1:4" ht="15.75" thickBot="1">
      <c r="A11" s="71" t="s">
        <v>1101</v>
      </c>
      <c r="B11" s="72" t="n">
        <v>606117.0</v>
      </c>
      <c r="C11" s="72" t="n">
        <v>377314.0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1.2491214E7</v>
      </c>
      <c r="C15" s="74" t="n">
        <v>1.0978389E7</v>
      </c>
      <c r="D15" s="73" t="s">
        <v>1110</v>
      </c>
    </row>
    <row r="16" spans="1:4" ht="26.25" thickBot="1">
      <c r="A16" s="71" t="s">
        <v>1111</v>
      </c>
      <c r="B16" s="72" t="n">
        <v>1408185.0</v>
      </c>
      <c r="C16" s="72" t="n">
        <v>62959.0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7293778.0</v>
      </c>
      <c r="C24" s="74" t="n">
        <v>155157.0</v>
      </c>
      <c r="D24" s="73" t="s">
        <v>1128</v>
      </c>
    </row>
    <row r="25" spans="1:4" ht="15.75" thickBot="1">
      <c r="A25" s="71" t="s">
        <v>1129</v>
      </c>
      <c r="B25" s="72"/>
      <c r="C25" s="72"/>
      <c r="D25" s="73" t="s">
        <v>1130</v>
      </c>
    </row>
    <row r="26" spans="1:4" ht="26.25" thickBot="1">
      <c r="A26" s="75" t="s">
        <v>1131</v>
      </c>
      <c r="B26" s="76" t="n">
        <v>-1.4884084E7</v>
      </c>
      <c r="C26" s="76" t="n">
        <v>-1.4198754E7</v>
      </c>
      <c r="D26" s="70" t="s">
        <v>1132</v>
      </c>
    </row>
    <row r="27" spans="1:4" ht="15.75" thickBot="1">
      <c r="A27" s="71" t="s">
        <v>1133</v>
      </c>
      <c r="B27" s="72" t="n">
        <v>5012.0</v>
      </c>
      <c r="C27" s="72" t="n">
        <v>-1852250.0</v>
      </c>
      <c r="D27" s="73" t="s">
        <v>1134</v>
      </c>
    </row>
    <row r="28" spans="1:4" ht="26.25" thickBot="1">
      <c r="A28" s="75" t="s">
        <v>1135</v>
      </c>
      <c r="B28" s="76" t="n">
        <v>-1.4879072E7</v>
      </c>
      <c r="C28" s="76" t="n">
        <v>-1.6051004E7</v>
      </c>
      <c r="D28" s="70" t="s">
        <v>1136</v>
      </c>
    </row>
    <row r="29" spans="1:4" ht="15.75" thickBot="1">
      <c r="A29" s="71" t="s">
        <v>1137</v>
      </c>
      <c r="B29" s="72"/>
      <c r="C29" s="72"/>
      <c r="D29" s="73" t="s">
        <v>1138</v>
      </c>
    </row>
    <row r="30" spans="1:4" ht="15.75" thickBot="1">
      <c r="A30" s="75" t="s">
        <v>1139</v>
      </c>
      <c r="B30" s="76" t="n">
        <v>-1.4879072E7</v>
      </c>
      <c r="C30" s="76" t="n">
        <v>-1.6051004E7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1875.0</v>
      </c>
      <c r="C34" s="72" t="n">
        <v>10245.0</v>
      </c>
      <c r="D34" s="73" t="s">
        <v>1148</v>
      </c>
    </row>
    <row r="35" spans="1:4" ht="51.75" thickBot="1">
      <c r="A35" s="78" t="s">
        <v>1149</v>
      </c>
      <c r="B35" s="72"/>
      <c r="C35" s="72"/>
      <c r="D35" s="73" t="s">
        <v>1150</v>
      </c>
    </row>
    <row r="36" spans="1:4" ht="51.75" thickBot="1">
      <c r="A36" s="79" t="s">
        <v>1151</v>
      </c>
      <c r="B36" s="76" t="n">
        <v>1875.0</v>
      </c>
      <c r="C36" s="76" t="n">
        <v>10245.0</v>
      </c>
      <c r="D36" s="70" t="s">
        <v>1152</v>
      </c>
    </row>
    <row r="37" spans="1:4" ht="39" thickBot="1">
      <c r="A37" s="77" t="s">
        <v>1153</v>
      </c>
      <c r="B37" s="69"/>
      <c r="C37" s="69"/>
      <c r="D37" s="70" t="s">
        <v>1154</v>
      </c>
    </row>
    <row r="38" spans="1:4" ht="26.25" thickBot="1">
      <c r="A38" s="78" t="s">
        <v>1155</v>
      </c>
      <c r="B38" s="72" t="n">
        <v>-4494097.0</v>
      </c>
      <c r="C38" s="72" t="n">
        <v>224440.0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-4494097.0</v>
      </c>
      <c r="C50" s="76" t="n">
        <v>224440.0</v>
      </c>
      <c r="D50" s="70" t="s">
        <v>1180</v>
      </c>
    </row>
    <row r="51" spans="1:4" ht="39" thickBot="1">
      <c r="A51" s="77" t="s">
        <v>1181</v>
      </c>
      <c r="B51" s="76" t="n">
        <v>-4492222.0</v>
      </c>
      <c r="C51" s="76" t="n">
        <v>234685.0</v>
      </c>
      <c r="D51" s="70" t="s">
        <v>1182</v>
      </c>
    </row>
    <row r="52" spans="1:4" ht="15.75" thickBot="1">
      <c r="A52" s="75" t="s">
        <v>1183</v>
      </c>
      <c r="B52" s="76" t="n">
        <v>-1.9371294E7</v>
      </c>
      <c r="C52" s="76" t="n">
        <v>-1.5816319E7</v>
      </c>
      <c r="D52" s="70" t="s">
        <v>1184</v>
      </c>
    </row>
    <row r="53" spans="1:4" ht="15.75" thickBot="1">
      <c r="A53" s="75" t="s">
        <v>1185</v>
      </c>
      <c r="B53" s="69"/>
      <c r="C53" s="69"/>
      <c r="D53" s="70" t="s">
        <v>1186</v>
      </c>
    </row>
    <row r="54" spans="1:4" ht="26.25" thickBot="1">
      <c r="A54" s="80" t="s">
        <v>1187</v>
      </c>
      <c r="B54" s="72" t="n">
        <v>-1.4877375E7</v>
      </c>
      <c r="C54" s="72" t="n">
        <v>-1.6050363E7</v>
      </c>
      <c r="D54" s="73" t="s">
        <v>1188</v>
      </c>
    </row>
    <row r="55" spans="1:4" ht="26.25" thickBot="1">
      <c r="A55" s="80" t="s">
        <v>1189</v>
      </c>
      <c r="B55" s="72" t="n">
        <v>-1697.0</v>
      </c>
      <c r="C55" s="72" t="n">
        <v>-641.0</v>
      </c>
      <c r="D55" s="73" t="s">
        <v>1190</v>
      </c>
    </row>
    <row r="56" spans="1:4" ht="26.25" thickBot="1">
      <c r="A56" s="75" t="s">
        <v>1191</v>
      </c>
      <c r="B56" s="69"/>
      <c r="C56" s="69"/>
      <c r="D56" s="70" t="s">
        <v>1192</v>
      </c>
    </row>
    <row r="57" spans="1:4" ht="26.25" thickBot="1">
      <c r="A57" s="80" t="s">
        <v>1193</v>
      </c>
      <c r="B57" s="72" t="n">
        <v>-1.9369172E7</v>
      </c>
      <c r="C57" s="72" t="n">
        <v>-1.5815704E7</v>
      </c>
      <c r="D57" s="73" t="s">
        <v>1194</v>
      </c>
    </row>
    <row r="58" spans="1:4" ht="39" thickBot="1">
      <c r="A58" s="80" t="s">
        <v>1195</v>
      </c>
      <c r="B58" s="72" t="n">
        <v>-2122.0</v>
      </c>
      <c r="C58" s="72" t="n">
        <v>-615.0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v>
      </c>
      <c r="C61" s="81" t="n">
        <v>-0.0011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1.52891444E8</v>
      </c>
      <c r="C8" s="140"/>
      <c r="D8" s="140" t="n">
        <v>3.02462644E8</v>
      </c>
      <c r="E8" s="140" t="n">
        <v>-1.3741835E7</v>
      </c>
      <c r="F8" s="140"/>
      <c r="G8" s="140"/>
      <c r="H8" s="140"/>
      <c r="I8" s="140"/>
      <c r="J8" s="140" t="n">
        <v>732219.0</v>
      </c>
      <c r="K8" s="140"/>
      <c r="L8" s="140"/>
      <c r="M8" s="140"/>
      <c r="N8" s="140"/>
      <c r="O8" s="140" t="n">
        <v>51116.0</v>
      </c>
      <c r="P8" s="140"/>
      <c r="Q8" s="140"/>
      <c r="R8" s="140"/>
      <c r="S8" s="140"/>
      <c r="T8" s="140"/>
      <c r="U8" s="140"/>
      <c r="V8" s="140"/>
      <c r="W8" s="140" t="n">
        <v>-6.1499283E7</v>
      </c>
      <c r="X8" s="141" t="n">
        <v>3.80896305E8</v>
      </c>
      <c r="Y8" s="140"/>
      <c r="Z8" s="140" t="n">
        <v>41613.0</v>
      </c>
      <c r="AA8" s="141" t="n">
        <v>3.80937918E8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1.52891444E8</v>
      </c>
      <c r="C14" s="141"/>
      <c r="D14" s="141" t="n">
        <v>3.02462644E8</v>
      </c>
      <c r="E14" s="141" t="n">
        <v>-1.3741835E7</v>
      </c>
      <c r="F14" s="141"/>
      <c r="G14" s="141"/>
      <c r="H14" s="141"/>
      <c r="I14" s="141"/>
      <c r="J14" s="141" t="n">
        <v>732219.0</v>
      </c>
      <c r="K14" s="141"/>
      <c r="L14" s="141"/>
      <c r="M14" s="141"/>
      <c r="N14" s="141"/>
      <c r="O14" s="141" t="n">
        <v>51116.0</v>
      </c>
      <c r="P14" s="141"/>
      <c r="Q14" s="141"/>
      <c r="R14" s="141"/>
      <c r="S14" s="141"/>
      <c r="T14" s="141"/>
      <c r="U14" s="141"/>
      <c r="V14" s="141"/>
      <c r="W14" s="141" t="n">
        <v>-6.1499283E7</v>
      </c>
      <c r="X14" s="141" t="n">
        <v>3.80896305E8</v>
      </c>
      <c r="Y14" s="141"/>
      <c r="Z14" s="141" t="n">
        <v>41613.0</v>
      </c>
      <c r="AA14" s="141" t="n">
        <v>3.80937918E8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-1.4877375E7</v>
      </c>
      <c r="X15" s="141" t="n">
        <v>-1.4877375E7</v>
      </c>
      <c r="Y15" s="140"/>
      <c r="Z15" s="140" t="n">
        <v>-1697.0</v>
      </c>
      <c r="AA15" s="141" t="n">
        <v>-1.4879072E7</v>
      </c>
      <c r="AB15" s="142" t="s">
        <v>1330</v>
      </c>
    </row>
    <row r="16" spans="1:28" ht="15.75" thickBot="1">
      <c r="A16" s="139" t="s">
        <v>1331</v>
      </c>
      <c r="B16" s="140"/>
      <c r="C16" s="140"/>
      <c r="D16" s="140"/>
      <c r="E16" s="140"/>
      <c r="F16" s="140"/>
      <c r="G16" s="140"/>
      <c r="H16" s="140"/>
      <c r="I16" s="140"/>
      <c r="J16" s="140" t="n">
        <v>-4493672.0</v>
      </c>
      <c r="K16" s="140"/>
      <c r="L16" s="140"/>
      <c r="M16" s="140"/>
      <c r="N16" s="140"/>
      <c r="O16" s="140" t="n">
        <v>1875.0</v>
      </c>
      <c r="P16" s="140"/>
      <c r="Q16" s="140"/>
      <c r="R16" s="140"/>
      <c r="S16" s="140"/>
      <c r="T16" s="140"/>
      <c r="U16" s="140"/>
      <c r="V16" s="140"/>
      <c r="W16" s="140"/>
      <c r="X16" s="141" t="n">
        <v>-4491797.0</v>
      </c>
      <c r="Y16" s="140"/>
      <c r="Z16" s="140" t="n">
        <v>-425.0</v>
      </c>
      <c r="AA16" s="141" t="n">
        <v>-4492222.0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-1.3741835E7</v>
      </c>
      <c r="C25" s="140"/>
      <c r="D25" s="140"/>
      <c r="E25" s="140" t="n">
        <v>1.3741835E7</v>
      </c>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1.39149609E8</v>
      </c>
      <c r="C42" s="141"/>
      <c r="D42" s="141" t="n">
        <v>3.02462644E8</v>
      </c>
      <c r="E42" s="141" t="n">
        <v>0.0</v>
      </c>
      <c r="F42" s="141"/>
      <c r="G42" s="141"/>
      <c r="H42" s="141"/>
      <c r="I42" s="141"/>
      <c r="J42" s="141" t="n">
        <v>-3761453.0</v>
      </c>
      <c r="K42" s="141"/>
      <c r="L42" s="141"/>
      <c r="M42" s="141"/>
      <c r="N42" s="141"/>
      <c r="O42" s="141" t="n">
        <v>52991.0</v>
      </c>
      <c r="P42" s="141"/>
      <c r="Q42" s="141"/>
      <c r="R42" s="141"/>
      <c r="S42" s="141"/>
      <c r="T42" s="141"/>
      <c r="U42" s="141"/>
      <c r="V42" s="141"/>
      <c r="W42" s="141" t="n">
        <v>-7.6376658E7</v>
      </c>
      <c r="X42" s="141" t="n">
        <v>3.61527133E8</v>
      </c>
      <c r="Y42" s="141"/>
      <c r="Z42" s="141" t="n">
        <v>39491.0</v>
      </c>
      <c r="AA42" s="141" t="n">
        <v>3.61566624E8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1.38115077E8</v>
      </c>
      <c r="C8" s="155"/>
      <c r="D8" s="155" t="n">
        <v>1.68263807E8</v>
      </c>
      <c r="E8" s="155"/>
      <c r="F8" s="155"/>
      <c r="G8" s="155"/>
      <c r="H8" s="155"/>
      <c r="I8" s="155"/>
      <c r="J8" s="155" t="n">
        <v>573877.0</v>
      </c>
      <c r="K8" s="155"/>
      <c r="L8" s="155"/>
      <c r="M8" s="155"/>
      <c r="N8" s="155"/>
      <c r="O8" s="155" t="n">
        <v>47024.0</v>
      </c>
      <c r="P8" s="155"/>
      <c r="Q8" s="155"/>
      <c r="R8" s="155"/>
      <c r="S8" s="155"/>
      <c r="T8" s="155"/>
      <c r="U8" s="155"/>
      <c r="V8" s="155"/>
      <c r="W8" s="155" t="n">
        <v>-3.4006973E7</v>
      </c>
      <c r="X8" s="156" t="n">
        <v>2.72992812E8</v>
      </c>
      <c r="Y8" s="155"/>
      <c r="Z8" s="155" t="n">
        <v>43803.0</v>
      </c>
      <c r="AA8" s="156" t="n">
        <v>2.73036615E8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1.38115077E8</v>
      </c>
      <c r="C14" s="156"/>
      <c r="D14" s="156" t="n">
        <v>1.68263807E8</v>
      </c>
      <c r="E14" s="156"/>
      <c r="F14" s="156"/>
      <c r="G14" s="156"/>
      <c r="H14" s="156"/>
      <c r="I14" s="156"/>
      <c r="J14" s="156" t="n">
        <v>573877.0</v>
      </c>
      <c r="K14" s="156"/>
      <c r="L14" s="156"/>
      <c r="M14" s="156"/>
      <c r="N14" s="156"/>
      <c r="O14" s="156" t="n">
        <v>47024.0</v>
      </c>
      <c r="P14" s="156"/>
      <c r="Q14" s="156"/>
      <c r="R14" s="156"/>
      <c r="S14" s="156"/>
      <c r="T14" s="156"/>
      <c r="U14" s="156"/>
      <c r="V14" s="156"/>
      <c r="W14" s="156" t="n">
        <v>-3.4006973E7</v>
      </c>
      <c r="X14" s="156" t="n">
        <v>2.72992812E8</v>
      </c>
      <c r="Y14" s="156"/>
      <c r="Z14" s="156" t="n">
        <v>43803.0</v>
      </c>
      <c r="AA14" s="156" t="n">
        <v>2.73036615E8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-1.6050363E7</v>
      </c>
      <c r="X15" s="156" t="n">
        <v>-1.6050363E7</v>
      </c>
      <c r="Y15" s="155"/>
      <c r="Z15" s="155" t="n">
        <v>-641.0</v>
      </c>
      <c r="AA15" s="156" t="n">
        <v>-1.6051004E7</v>
      </c>
      <c r="AB15" s="157" t="s">
        <v>1330</v>
      </c>
    </row>
    <row r="16" spans="1:28" ht="15.75" thickBot="1">
      <c r="A16" s="154" t="s">
        <v>1331</v>
      </c>
      <c r="B16" s="155"/>
      <c r="C16" s="155"/>
      <c r="D16" s="155"/>
      <c r="E16" s="155"/>
      <c r="F16" s="155"/>
      <c r="G16" s="155"/>
      <c r="H16" s="155"/>
      <c r="I16" s="155"/>
      <c r="J16" s="155" t="n">
        <v>224415.0</v>
      </c>
      <c r="K16" s="155"/>
      <c r="L16" s="155"/>
      <c r="M16" s="155"/>
      <c r="N16" s="155"/>
      <c r="O16" s="155" t="n">
        <v>10244.0</v>
      </c>
      <c r="P16" s="155"/>
      <c r="Q16" s="155"/>
      <c r="R16" s="155"/>
      <c r="S16" s="155"/>
      <c r="T16" s="155"/>
      <c r="U16" s="155"/>
      <c r="V16" s="155"/>
      <c r="W16" s="155"/>
      <c r="X16" s="156" t="n">
        <v>234659.0</v>
      </c>
      <c r="Y16" s="155"/>
      <c r="Z16" s="155" t="n">
        <v>26.0</v>
      </c>
      <c r="AA16" s="156" t="n">
        <v>234685.0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1.38115077E8</v>
      </c>
      <c r="C42" s="156"/>
      <c r="D42" s="156" t="n">
        <v>1.68263807E8</v>
      </c>
      <c r="E42" s="156" t="n">
        <v>0.0</v>
      </c>
      <c r="F42" s="156"/>
      <c r="G42" s="156"/>
      <c r="H42" s="156"/>
      <c r="I42" s="156"/>
      <c r="J42" s="156" t="n">
        <v>798292.0</v>
      </c>
      <c r="K42" s="156"/>
      <c r="L42" s="156"/>
      <c r="M42" s="156"/>
      <c r="N42" s="156"/>
      <c r="O42" s="156" t="n">
        <v>57268.0</v>
      </c>
      <c r="P42" s="156"/>
      <c r="Q42" s="156"/>
      <c r="R42" s="156"/>
      <c r="S42" s="156"/>
      <c r="T42" s="156"/>
      <c r="U42" s="156"/>
      <c r="V42" s="156"/>
      <c r="W42" s="156" t="n">
        <v>-5.0057336E7</v>
      </c>
      <c r="X42" s="156" t="n">
        <v>2.57177108E8</v>
      </c>
      <c r="Y42" s="156"/>
      <c r="Z42" s="156" t="n">
        <v>43188.0</v>
      </c>
      <c r="AA42" s="156" t="n">
        <v>2.57220296E8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3.0866311E7</v>
      </c>
      <c r="C8" s="171" t="n">
        <v>36982.0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4.6991934E7</v>
      </c>
      <c r="C16" s="173" t="n">
        <v>1.4661131E7</v>
      </c>
      <c r="D16" s="172" t="s">
        <v>1408</v>
      </c>
    </row>
    <row r="17" spans="1:4" ht="15.75" thickBot="1">
      <c r="A17" s="170" t="s">
        <v>1409</v>
      </c>
      <c r="B17" s="173" t="n">
        <v>8411287.0</v>
      </c>
      <c r="C17" s="173" t="n">
        <v>431540.0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-2.453691E7</v>
      </c>
      <c r="C24" s="174" t="n">
        <v>-1.5055689E7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606117.0</v>
      </c>
      <c r="C32" s="171" t="n">
        <v>377314.0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1651708.0</v>
      </c>
      <c r="C37" s="173" t="n">
        <v>854198.0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-2.5582501E7</v>
      </c>
      <c r="C47" s="174" t="n">
        <v>-1.5532573E7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8.396046E7</v>
      </c>
      <c r="C65" s="173" t="n">
        <v>5.8819549E7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0.0</v>
      </c>
      <c r="C70" s="173" t="n">
        <v>4330103.0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2672204.0</v>
      </c>
      <c r="C74" s="173" t="n">
        <v>8014151.0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-8.6632664E7</v>
      </c>
      <c r="C113" s="174" t="n">
        <v>-7.1163803E7</v>
      </c>
      <c r="D113" s="167" t="s">
        <v>1602</v>
      </c>
    </row>
    <row r="114" spans="1:4" ht="15.75" thickBot="1">
      <c r="A114" s="168" t="s">
        <v>1603</v>
      </c>
      <c r="B114" s="166"/>
      <c r="C114" s="166"/>
      <c r="D114" s="167" t="s">
        <v>1604</v>
      </c>
    </row>
    <row r="115" spans="1:4" ht="15.75" thickBot="1">
      <c r="A115" s="175" t="s">
        <v>1605</v>
      </c>
      <c r="B115" s="171" t="n">
        <v>2.15E8</v>
      </c>
      <c r="C115" s="171" t="n">
        <v>4.5E7</v>
      </c>
      <c r="D115" s="172" t="s">
        <v>1606</v>
      </c>
    </row>
    <row r="116" spans="1:4" ht="15.75" thickBot="1">
      <c r="A116" s="175" t="s">
        <v>1607</v>
      </c>
      <c r="B116" s="173" t="n">
        <v>8.0E7</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1.4130498E7</v>
      </c>
      <c r="C133" s="171" t="n">
        <v>7720223.0</v>
      </c>
      <c r="D133" s="172" t="s">
        <v>1642</v>
      </c>
    </row>
    <row r="134" spans="1:4" ht="26.25" thickBot="1">
      <c r="A134" s="175" t="s">
        <v>1643</v>
      </c>
      <c r="B134" s="173" t="n">
        <v>7695891.0</v>
      </c>
      <c r="C134" s="173" t="n">
        <v>3677752.0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1.2353325E7</v>
      </c>
      <c r="C171" s="173" t="n">
        <v>1702892.0</v>
      </c>
      <c r="D171" s="172" t="s">
        <v>1718</v>
      </c>
    </row>
    <row r="172" spans="1:4" ht="39" thickBot="1">
      <c r="A172" s="175" t="s">
        <v>1719</v>
      </c>
      <c r="B172" s="171"/>
      <c r="C172" s="171"/>
      <c r="D172" s="172" t="s">
        <v>1720</v>
      </c>
    </row>
    <row r="173" spans="1:4" ht="26.25" thickBot="1">
      <c r="A173" s="175" t="s">
        <v>1721</v>
      </c>
      <c r="B173" s="171" t="n">
        <v>-1156000.0</v>
      </c>
      <c r="C173" s="171" t="n">
        <v>-143925.0</v>
      </c>
      <c r="D173" s="172" t="s">
        <v>1722</v>
      </c>
    </row>
    <row r="174" spans="1:4" ht="39" thickBot="1">
      <c r="A174" s="169" t="s">
        <v>1723</v>
      </c>
      <c r="B174" s="174" t="n">
        <v>1.27925282E8</v>
      </c>
      <c r="C174" s="174" t="n">
        <v>4.7195654E7</v>
      </c>
      <c r="D174" s="167" t="s">
        <v>1724</v>
      </c>
    </row>
    <row r="175" spans="1:4" ht="26.25" thickBot="1">
      <c r="A175" s="168" t="s">
        <v>1725</v>
      </c>
      <c r="B175" s="174" t="n">
        <v>1.5710117E7</v>
      </c>
      <c r="C175" s="174" t="n">
        <v>-3.9500722E7</v>
      </c>
      <c r="D175" s="167" t="s">
        <v>1726</v>
      </c>
    </row>
    <row r="176" spans="1:4" ht="26.25" thickBot="1">
      <c r="A176" s="176" t="s">
        <v>1727</v>
      </c>
      <c r="B176" s="171" t="n">
        <v>4.5308297E7</v>
      </c>
      <c r="C176" s="171" t="n">
        <v>6.7334348E7</v>
      </c>
      <c r="D176" s="172" t="s">
        <v>1728</v>
      </c>
    </row>
    <row r="177" spans="1:4" ht="26.25" thickBot="1">
      <c r="A177" s="176" t="s">
        <v>1729</v>
      </c>
      <c r="B177" s="171" t="n">
        <v>1123168.0</v>
      </c>
      <c r="C177" s="171" t="n">
        <v>-178064.0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6.2141582E7</v>
      </c>
      <c r="C180" s="174" t="n">
        <v>2.7655562E7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2867</v>
      </c>
      <c r="C7" s="202" t="s">
        <v>1934</v>
      </c>
    </row>
    <row r="8" spans="1:3" ht="75" customHeight="1" thickBot="1">
      <c r="A8" s="200" t="s">
        <v>421</v>
      </c>
      <c r="B8" s="201" t="s">
        <v>2852</v>
      </c>
      <c r="C8" s="202" t="s">
        <v>422</v>
      </c>
    </row>
    <row r="9" spans="1:3" ht="75" customHeight="1" thickBot="1">
      <c r="A9" s="200" t="s">
        <v>1935</v>
      </c>
      <c r="B9" s="201" t="s">
        <v>2861</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2877</v>
      </c>
      <c r="C18" s="202" t="s">
        <v>1944</v>
      </c>
    </row>
    <row r="19" spans="1:3" ht="75" customHeight="1" thickBot="1">
      <c r="A19" s="200" t="s">
        <v>1945</v>
      </c>
      <c r="B19" s="201" t="s">
        <v>2879</v>
      </c>
      <c r="C19" s="202" t="s">
        <v>1946</v>
      </c>
    </row>
    <row r="20" spans="1:3" ht="75" customHeight="1" thickBot="1">
      <c r="A20" s="200" t="s">
        <v>1947</v>
      </c>
      <c r="B20" s="201" t="s">
        <v>2869</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t="s">
        <v>2853</v>
      </c>
      <c r="C23" s="202" t="s">
        <v>1954</v>
      </c>
    </row>
    <row r="24" spans="1:3" ht="75" customHeight="1" thickBot="1">
      <c r="A24" s="200" t="s">
        <v>1022</v>
      </c>
      <c r="B24" s="201" t="s">
        <v>2862</v>
      </c>
      <c r="C24" s="202" t="s">
        <v>1023</v>
      </c>
    </row>
    <row r="25" spans="1:3" ht="75" customHeight="1" thickBot="1">
      <c r="A25" s="200" t="s">
        <v>1955</v>
      </c>
      <c r="B25" s="201" t="s">
        <v>2886</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2860</v>
      </c>
      <c r="C47" s="202" t="s">
        <v>623</v>
      </c>
    </row>
    <row r="48" spans="1:3" ht="75" customHeight="1" thickBot="1">
      <c r="A48" s="200" t="s">
        <v>1989</v>
      </c>
      <c r="B48" s="201"/>
      <c r="C48" s="202" t="s">
        <v>1990</v>
      </c>
    </row>
    <row r="49" spans="1:3" ht="75" customHeight="1" thickBot="1">
      <c r="A49" s="200" t="s">
        <v>1036</v>
      </c>
      <c r="B49" s="201" t="s">
        <v>2887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2884</v>
      </c>
      <c r="C60" s="202" t="s">
        <v>2009</v>
      </c>
    </row>
    <row r="61" spans="1:3" ht="75" customHeight="1" thickBot="1">
      <c r="A61" s="200" t="s">
        <v>2010</v>
      </c>
      <c r="B61" s="201"/>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50704.0</v>
      </c>
      <c r="D6" s="207"/>
      <c r="E6" s="208"/>
      <c r="F6" s="207"/>
      <c r="G6" s="207"/>
      <c r="H6" s="207"/>
      <c r="I6" s="207"/>
      <c r="J6" s="208"/>
      <c r="K6" s="209" t="n">
        <v>50704.0</v>
      </c>
      <c r="L6" s="210" t="s">
        <v>2026</v>
      </c>
      <c r="M6" s="684" t="s">
        <v>2027</v>
      </c>
    </row>
    <row r="7" spans="1:13" ht="26.25" thickBot="1">
      <c r="A7" s="682"/>
      <c r="B7" s="206" t="s">
        <v>2028</v>
      </c>
      <c r="C7" s="207" t="n">
        <v>5.1904861E7</v>
      </c>
      <c r="D7" s="207"/>
      <c r="E7" s="208"/>
      <c r="F7" s="207" t="n">
        <v>6.9360072E7</v>
      </c>
      <c r="G7" s="207"/>
      <c r="H7" s="207"/>
      <c r="I7" s="207"/>
      <c r="J7" s="208"/>
      <c r="K7" s="209" t="n">
        <v>1.21264933E8</v>
      </c>
      <c r="L7" s="210" t="s">
        <v>2029</v>
      </c>
      <c r="M7" s="684"/>
    </row>
    <row r="8" spans="1:13" ht="15.75" thickBot="1">
      <c r="A8" s="682"/>
      <c r="B8" s="206" t="s">
        <v>2030</v>
      </c>
      <c r="C8" s="207" t="n">
        <v>151864.0</v>
      </c>
      <c r="D8" s="207"/>
      <c r="E8" s="208"/>
      <c r="F8" s="207"/>
      <c r="G8" s="207"/>
      <c r="H8" s="207"/>
      <c r="I8" s="207"/>
      <c r="J8" s="208"/>
      <c r="K8" s="209" t="n">
        <v>151864.0</v>
      </c>
      <c r="L8" s="210" t="s">
        <v>2031</v>
      </c>
      <c r="M8" s="684"/>
    </row>
    <row r="9" spans="1:13" ht="15.75" thickBot="1">
      <c r="A9" s="682"/>
      <c r="B9" s="206" t="s">
        <v>2032</v>
      </c>
      <c r="C9" s="207" t="n">
        <v>4332726.0</v>
      </c>
      <c r="D9" s="207" t="n">
        <v>4538884.0</v>
      </c>
      <c r="E9" s="208"/>
      <c r="F9" s="207"/>
      <c r="G9" s="207"/>
      <c r="H9" s="207"/>
      <c r="I9" s="207"/>
      <c r="J9" s="208"/>
      <c r="K9" s="209" t="n">
        <v>8871610.0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165341.0</v>
      </c>
      <c r="D11" s="207"/>
      <c r="E11" s="208"/>
      <c r="F11" s="207"/>
      <c r="G11" s="207"/>
      <c r="H11" s="207"/>
      <c r="I11" s="207"/>
      <c r="J11" s="208"/>
      <c r="K11" s="209" t="n">
        <v>165341.0</v>
      </c>
      <c r="L11" s="210" t="s">
        <v>2037</v>
      </c>
      <c r="M11" s="684"/>
    </row>
    <row r="12" spans="1:13" ht="15.75" thickBot="1">
      <c r="A12" s="682"/>
      <c r="B12" s="206" t="s">
        <v>2038</v>
      </c>
      <c r="C12" s="207" t="n">
        <v>241890.0</v>
      </c>
      <c r="D12" s="207"/>
      <c r="E12" s="208"/>
      <c r="F12" s="207"/>
      <c r="G12" s="207"/>
      <c r="H12" s="207"/>
      <c r="I12" s="207"/>
      <c r="J12" s="208"/>
      <c r="K12" s="209" t="n">
        <v>241890.0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7.6864702E7</v>
      </c>
      <c r="D19" s="207"/>
      <c r="E19" s="208"/>
      <c r="F19" s="207" t="n">
        <v>9.4632871E7</v>
      </c>
      <c r="G19" s="207"/>
      <c r="H19" s="207"/>
      <c r="I19" s="207"/>
      <c r="J19" s="208"/>
      <c r="K19" s="209" t="n">
        <v>1.71497573E8</v>
      </c>
      <c r="L19" s="210" t="s">
        <v>2053</v>
      </c>
      <c r="M19" s="684"/>
    </row>
    <row r="20" spans="1:13" ht="15.75" thickBot="1">
      <c r="A20" s="682"/>
      <c r="B20" s="211" t="s">
        <v>2054</v>
      </c>
      <c r="C20" s="209" t="n">
        <v>1.33712088E8</v>
      </c>
      <c r="D20" s="209" t="n">
        <v>4538884.0</v>
      </c>
      <c r="E20" s="208"/>
      <c r="F20" s="209" t="n">
        <v>1.63992943E8</v>
      </c>
      <c r="G20" s="209"/>
      <c r="H20" s="209"/>
      <c r="I20" s="209"/>
      <c r="J20" s="208"/>
      <c r="K20" s="209" t="n">
        <v>3.02243915E8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4.2983788E7</v>
      </c>
      <c r="D23" s="207" t="n">
        <v>4.1455034E7</v>
      </c>
      <c r="E23" s="208"/>
      <c r="F23" s="207"/>
      <c r="G23" s="207"/>
      <c r="H23" s="207"/>
      <c r="I23" s="207"/>
      <c r="J23" s="208"/>
      <c r="K23" s="209" t="n">
        <v>8.4438822E7</v>
      </c>
      <c r="L23" s="210" t="s">
        <v>2061</v>
      </c>
      <c r="M23" s="684"/>
    </row>
    <row r="24" spans="1:13" ht="15.75" thickBot="1">
      <c r="A24" s="682"/>
      <c r="B24" s="206" t="s">
        <v>2062</v>
      </c>
      <c r="C24" s="207" t="n">
        <v>53281.0</v>
      </c>
      <c r="D24" s="207"/>
      <c r="E24" s="208"/>
      <c r="F24" s="207"/>
      <c r="G24" s="207"/>
      <c r="H24" s="207"/>
      <c r="I24" s="207"/>
      <c r="J24" s="208"/>
      <c r="K24" s="209" t="n">
        <v>53281.0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4.3037069E7</v>
      </c>
      <c r="D34" s="209" t="n">
        <v>4.1455034E7</v>
      </c>
      <c r="E34" s="208"/>
      <c r="F34" s="209"/>
      <c r="G34" s="209"/>
      <c r="H34" s="209"/>
      <c r="I34" s="209"/>
      <c r="J34" s="208"/>
      <c r="K34" s="209" t="n">
        <v>8.4492103E7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1.55425474E8</v>
      </c>
      <c r="D41" s="207" t="n">
        <v>1.14986576E8</v>
      </c>
      <c r="E41" s="208"/>
      <c r="F41" s="207" t="n">
        <v>-1.63992943E8</v>
      </c>
      <c r="G41" s="207"/>
      <c r="H41" s="207"/>
      <c r="I41" s="207"/>
      <c r="J41" s="208"/>
      <c r="K41" s="209" t="n">
        <v>1.06419107E8</v>
      </c>
      <c r="L41" s="210" t="s">
        <v>2095</v>
      </c>
      <c r="M41" s="684"/>
    </row>
    <row r="42" spans="1:13" ht="15.75" thickBot="1">
      <c r="A42" s="682"/>
      <c r="B42" s="211" t="s">
        <v>2096</v>
      </c>
      <c r="C42" s="209" t="n">
        <v>1.55425474E8</v>
      </c>
      <c r="D42" s="209" t="n">
        <v>1.14986576E8</v>
      </c>
      <c r="E42" s="208"/>
      <c r="F42" s="209" t="n">
        <v>-1.63992943E8</v>
      </c>
      <c r="G42" s="209"/>
      <c r="H42" s="209"/>
      <c r="I42" s="209"/>
      <c r="J42" s="208"/>
      <c r="K42" s="209" t="n">
        <v>1.06419107E8</v>
      </c>
      <c r="L42" s="212" t="s">
        <v>2097</v>
      </c>
      <c r="M42" s="684"/>
    </row>
    <row r="43" spans="1:13" ht="15.75" thickBot="1">
      <c r="A43" s="683"/>
      <c r="B43" s="211" t="s">
        <v>612</v>
      </c>
      <c r="C43" s="209" t="n">
        <v>3.32174631E8</v>
      </c>
      <c r="D43" s="209" t="n">
        <v>1.60980494E8</v>
      </c>
      <c r="E43" s="208"/>
      <c r="F43" s="209" t="n">
        <v>0.0</v>
      </c>
      <c r="G43" s="209"/>
      <c r="H43" s="209"/>
      <c r="I43" s="209"/>
      <c r="J43" s="208"/>
      <c r="K43" s="209" t="n">
        <v>4.93155125E8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3530207.0</v>
      </c>
      <c r="D45" s="207" t="n">
        <v>2886575.0</v>
      </c>
      <c r="E45" s="208"/>
      <c r="F45" s="207"/>
      <c r="G45" s="207"/>
      <c r="H45" s="207"/>
      <c r="I45" s="207"/>
      <c r="J45" s="208"/>
      <c r="K45" s="209" t="n">
        <v>6416782.0</v>
      </c>
      <c r="L45" s="210" t="s">
        <v>2029</v>
      </c>
      <c r="M45" s="684"/>
    </row>
    <row r="46" spans="1:13" ht="15.75" thickBot="1">
      <c r="A46" s="682"/>
      <c r="B46" s="206" t="s">
        <v>2030</v>
      </c>
      <c r="C46" s="207" t="n">
        <v>151864.0</v>
      </c>
      <c r="D46" s="207"/>
      <c r="E46" s="208"/>
      <c r="F46" s="207"/>
      <c r="G46" s="207"/>
      <c r="H46" s="207"/>
      <c r="I46" s="207"/>
      <c r="J46" s="208"/>
      <c r="K46" s="209" t="n">
        <v>151864.0</v>
      </c>
      <c r="L46" s="210" t="s">
        <v>2031</v>
      </c>
      <c r="M46" s="684"/>
    </row>
    <row r="47" spans="1:13" ht="15.75" thickBot="1">
      <c r="A47" s="682"/>
      <c r="B47" s="206" t="s">
        <v>2032</v>
      </c>
      <c r="C47" s="207" t="n">
        <v>29990.0</v>
      </c>
      <c r="D47" s="207" t="n">
        <v>17646.0</v>
      </c>
      <c r="E47" s="208"/>
      <c r="F47" s="207"/>
      <c r="G47" s="207"/>
      <c r="H47" s="207"/>
      <c r="I47" s="207"/>
      <c r="J47" s="208"/>
      <c r="K47" s="209" t="n">
        <v>47636.0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165326.0</v>
      </c>
      <c r="D49" s="207" t="n">
        <v>15.0</v>
      </c>
      <c r="E49" s="208"/>
      <c r="F49" s="207"/>
      <c r="G49" s="207"/>
      <c r="H49" s="207"/>
      <c r="I49" s="207"/>
      <c r="J49" s="208"/>
      <c r="K49" s="209" t="n">
        <v>165341.0</v>
      </c>
      <c r="L49" s="210" t="s">
        <v>2037</v>
      </c>
      <c r="M49" s="684"/>
    </row>
    <row r="50" spans="1:13" ht="15.75" thickBot="1">
      <c r="A50" s="682"/>
      <c r="B50" s="206" t="s">
        <v>2038</v>
      </c>
      <c r="C50" s="207" t="n">
        <v>241890.0</v>
      </c>
      <c r="D50" s="207"/>
      <c r="E50" s="208"/>
      <c r="F50" s="207"/>
      <c r="G50" s="207"/>
      <c r="H50" s="207"/>
      <c r="I50" s="207"/>
      <c r="J50" s="208"/>
      <c r="K50" s="209" t="n">
        <v>241890.0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667344.0</v>
      </c>
      <c r="D57" s="207" t="n">
        <v>4526324.0</v>
      </c>
      <c r="E57" s="208"/>
      <c r="F57" s="207"/>
      <c r="G57" s="207"/>
      <c r="H57" s="207"/>
      <c r="I57" s="207"/>
      <c r="J57" s="208"/>
      <c r="K57" s="209" t="n">
        <v>5193668.0</v>
      </c>
      <c r="L57" s="210" t="s">
        <v>2053</v>
      </c>
      <c r="M57" s="684"/>
    </row>
    <row r="58" spans="1:13" ht="15.75" thickBot="1">
      <c r="A58" s="682"/>
      <c r="B58" s="211" t="s">
        <v>2054</v>
      </c>
      <c r="C58" s="209" t="n">
        <v>4786621.0</v>
      </c>
      <c r="D58" s="209" t="n">
        <v>7430560.0</v>
      </c>
      <c r="E58" s="208"/>
      <c r="F58" s="209"/>
      <c r="G58" s="209"/>
      <c r="H58" s="209"/>
      <c r="I58" s="209"/>
      <c r="J58" s="208"/>
      <c r="K58" s="209" t="n">
        <v>1.2217181E7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1.0180158E7</v>
      </c>
      <c r="D61" s="207" t="n">
        <v>5259171.0</v>
      </c>
      <c r="E61" s="208"/>
      <c r="F61" s="207"/>
      <c r="G61" s="207"/>
      <c r="H61" s="207"/>
      <c r="I61" s="207"/>
      <c r="J61" s="208"/>
      <c r="K61" s="209" t="n">
        <v>1.5439329E7</v>
      </c>
      <c r="L61" s="210" t="s">
        <v>2061</v>
      </c>
      <c r="M61" s="684"/>
    </row>
    <row r="62" spans="1:13" ht="15.75" thickBot="1">
      <c r="A62" s="682"/>
      <c r="B62" s="206" t="s">
        <v>2062</v>
      </c>
      <c r="C62" s="207" t="n">
        <v>12860.0</v>
      </c>
      <c r="D62" s="207" t="n">
        <v>11023.0</v>
      </c>
      <c r="E62" s="208"/>
      <c r="F62" s="207"/>
      <c r="G62" s="207"/>
      <c r="H62" s="207"/>
      <c r="I62" s="207"/>
      <c r="J62" s="208"/>
      <c r="K62" s="209" t="n">
        <v>23883.0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1.0193018E7</v>
      </c>
      <c r="D72" s="209" t="n">
        <v>5270194.0</v>
      </c>
      <c r="E72" s="208"/>
      <c r="F72" s="209"/>
      <c r="G72" s="209"/>
      <c r="H72" s="209"/>
      <c r="I72" s="209"/>
      <c r="J72" s="208"/>
      <c r="K72" s="209" t="n">
        <v>1.5463212E7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1.4979639E7</v>
      </c>
      <c r="D81" s="209" t="n">
        <v>1.2700754E7</v>
      </c>
      <c r="E81" s="208"/>
      <c r="F81" s="209"/>
      <c r="G81" s="209"/>
      <c r="H81" s="209"/>
      <c r="I81" s="209"/>
      <c r="J81" s="208"/>
      <c r="K81" s="209" t="n">
        <v>2.7680393E7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3.17194992E8</v>
      </c>
      <c r="D85" s="213"/>
      <c r="E85" s="213"/>
      <c r="F85" s="213"/>
      <c r="G85" s="213"/>
      <c r="H85" s="213"/>
      <c r="I85" s="213"/>
      <c r="J85" s="213"/>
      <c r="K85" s="209" t="n">
        <v>4.65474732E8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50704.0</v>
      </c>
      <c r="D6" s="218"/>
      <c r="E6" s="219"/>
      <c r="F6" s="218"/>
      <c r="G6" s="218"/>
      <c r="H6" s="218"/>
      <c r="I6" s="218"/>
      <c r="J6" s="219"/>
      <c r="K6" s="220" t="n">
        <v>50704.0</v>
      </c>
      <c r="L6" s="221" t="s">
        <v>2026</v>
      </c>
      <c r="M6" s="698" t="s">
        <v>2027</v>
      </c>
    </row>
    <row r="7" spans="1:13" ht="26.25" thickBot="1">
      <c r="A7" s="695"/>
      <c r="B7" s="217" t="s">
        <v>2028</v>
      </c>
      <c r="C7" s="218" t="n">
        <v>4013757.0</v>
      </c>
      <c r="D7" s="218"/>
      <c r="E7" s="219" t="n">
        <v>30057.0</v>
      </c>
      <c r="F7" s="218" t="n">
        <v>4.7921161E7</v>
      </c>
      <c r="G7" s="218"/>
      <c r="H7" s="218"/>
      <c r="I7" s="218"/>
      <c r="J7" s="219"/>
      <c r="K7" s="220" t="n">
        <v>5.1904861E7</v>
      </c>
      <c r="L7" s="221" t="s">
        <v>2029</v>
      </c>
      <c r="M7" s="698"/>
    </row>
    <row r="8" spans="1:13" ht="15.75" thickBot="1">
      <c r="A8" s="695"/>
      <c r="B8" s="217" t="s">
        <v>2030</v>
      </c>
      <c r="C8" s="218" t="n">
        <v>186167.0</v>
      </c>
      <c r="D8" s="218"/>
      <c r="E8" s="219" t="n">
        <v>34303.0</v>
      </c>
      <c r="F8" s="218"/>
      <c r="G8" s="218"/>
      <c r="H8" s="218"/>
      <c r="I8" s="218"/>
      <c r="J8" s="219"/>
      <c r="K8" s="220" t="n">
        <v>151864.0</v>
      </c>
      <c r="L8" s="221" t="s">
        <v>2031</v>
      </c>
      <c r="M8" s="698"/>
    </row>
    <row r="9" spans="1:13" ht="15.75" thickBot="1">
      <c r="A9" s="695"/>
      <c r="B9" s="217" t="s">
        <v>2032</v>
      </c>
      <c r="C9" s="218" t="n">
        <v>1098456.0</v>
      </c>
      <c r="D9" s="218" t="n">
        <v>3234270.0</v>
      </c>
      <c r="E9" s="219"/>
      <c r="F9" s="218"/>
      <c r="G9" s="218"/>
      <c r="H9" s="218"/>
      <c r="I9" s="218"/>
      <c r="J9" s="219"/>
      <c r="K9" s="220" t="n">
        <v>4332726.0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311693.0</v>
      </c>
      <c r="D11" s="218"/>
      <c r="E11" s="219" t="n">
        <v>146352.0</v>
      </c>
      <c r="F11" s="218"/>
      <c r="G11" s="218"/>
      <c r="H11" s="218"/>
      <c r="I11" s="218"/>
      <c r="J11" s="219"/>
      <c r="K11" s="220" t="n">
        <v>165341.0</v>
      </c>
      <c r="L11" s="221" t="s">
        <v>2037</v>
      </c>
      <c r="M11" s="698"/>
    </row>
    <row r="12" spans="1:13" ht="15.75" thickBot="1">
      <c r="A12" s="695"/>
      <c r="B12" s="217" t="s">
        <v>2038</v>
      </c>
      <c r="C12" s="218" t="n">
        <v>241890.0</v>
      </c>
      <c r="D12" s="218"/>
      <c r="E12" s="219"/>
      <c r="F12" s="218"/>
      <c r="G12" s="218"/>
      <c r="H12" s="218"/>
      <c r="I12" s="218"/>
      <c r="J12" s="219"/>
      <c r="K12" s="220" t="n">
        <v>241890.0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t="n">
        <v>7.6864702E7</v>
      </c>
      <c r="G19" s="218"/>
      <c r="H19" s="218"/>
      <c r="I19" s="218"/>
      <c r="J19" s="219"/>
      <c r="K19" s="220" t="n">
        <v>7.6864702E7</v>
      </c>
      <c r="L19" s="221" t="s">
        <v>2053</v>
      </c>
      <c r="M19" s="698"/>
    </row>
    <row r="20" spans="1:13" ht="15.75" thickBot="1">
      <c r="A20" s="695"/>
      <c r="B20" s="222" t="s">
        <v>2054</v>
      </c>
      <c r="C20" s="220" t="n">
        <v>5902667.0</v>
      </c>
      <c r="D20" s="220" t="n">
        <v>3234270.0</v>
      </c>
      <c r="E20" s="219" t="n">
        <v>210712.0</v>
      </c>
      <c r="F20" s="220" t="n">
        <v>1.24785863E8</v>
      </c>
      <c r="G20" s="220"/>
      <c r="H20" s="220"/>
      <c r="I20" s="220"/>
      <c r="J20" s="219"/>
      <c r="K20" s="220" t="n">
        <v>1.33712088E8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3.083932E7</v>
      </c>
      <c r="D23" s="218" t="n">
        <v>1.2144468E7</v>
      </c>
      <c r="E23" s="219"/>
      <c r="F23" s="218"/>
      <c r="G23" s="218"/>
      <c r="H23" s="218"/>
      <c r="I23" s="218"/>
      <c r="J23" s="219"/>
      <c r="K23" s="220" t="n">
        <v>4.2983788E7</v>
      </c>
      <c r="L23" s="221" t="s">
        <v>2061</v>
      </c>
      <c r="M23" s="698"/>
    </row>
    <row r="24" spans="1:13" ht="15.75" thickBot="1">
      <c r="A24" s="695"/>
      <c r="B24" s="217" t="s">
        <v>2062</v>
      </c>
      <c r="C24" s="218" t="n">
        <v>101596.0</v>
      </c>
      <c r="D24" s="218" t="n">
        <v>53281.0</v>
      </c>
      <c r="E24" s="219" t="n">
        <v>101596.0</v>
      </c>
      <c r="F24" s="218"/>
      <c r="G24" s="218"/>
      <c r="H24" s="218"/>
      <c r="I24" s="218"/>
      <c r="J24" s="219"/>
      <c r="K24" s="220" t="n">
        <v>53281.0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3.0940916E7</v>
      </c>
      <c r="D34" s="220" t="n">
        <v>1.2197749E7</v>
      </c>
      <c r="E34" s="219" t="n">
        <v>101596.0</v>
      </c>
      <c r="F34" s="220"/>
      <c r="G34" s="220"/>
      <c r="H34" s="220"/>
      <c r="I34" s="220"/>
      <c r="J34" s="219"/>
      <c r="K34" s="220" t="n">
        <v>4.3037069E7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1.17054052E8</v>
      </c>
      <c r="D41" s="218" t="n">
        <v>1.63157285E8</v>
      </c>
      <c r="E41" s="219" t="n">
        <v>0.0</v>
      </c>
      <c r="F41" s="218" t="n">
        <v>-1.24785863E8</v>
      </c>
      <c r="G41" s="218"/>
      <c r="H41" s="218"/>
      <c r="I41" s="218"/>
      <c r="J41" s="219"/>
      <c r="K41" s="220" t="n">
        <v>1.55425474E8</v>
      </c>
      <c r="L41" s="221" t="s">
        <v>2095</v>
      </c>
      <c r="M41" s="698"/>
    </row>
    <row r="42" spans="1:13" ht="15.75" thickBot="1">
      <c r="A42" s="695"/>
      <c r="B42" s="222" t="s">
        <v>2096</v>
      </c>
      <c r="C42" s="220" t="n">
        <v>1.17054052E8</v>
      </c>
      <c r="D42" s="220" t="n">
        <v>1.63157285E8</v>
      </c>
      <c r="E42" s="219" t="n">
        <v>0.0</v>
      </c>
      <c r="F42" s="220" t="n">
        <v>-1.24785863E8</v>
      </c>
      <c r="G42" s="220"/>
      <c r="H42" s="220"/>
      <c r="I42" s="220"/>
      <c r="J42" s="219"/>
      <c r="K42" s="220" t="n">
        <v>1.55425474E8</v>
      </c>
      <c r="L42" s="223" t="s">
        <v>2097</v>
      </c>
      <c r="M42" s="698"/>
    </row>
    <row r="43" spans="1:13" ht="15.75" thickBot="1">
      <c r="A43" s="696"/>
      <c r="B43" s="222" t="s">
        <v>612</v>
      </c>
      <c r="C43" s="220" t="n">
        <v>1.53897635E8</v>
      </c>
      <c r="D43" s="220" t="n">
        <v>1.78589304E8</v>
      </c>
      <c r="E43" s="219" t="n">
        <v>312308.0</v>
      </c>
      <c r="F43" s="220" t="n">
        <v>0.0</v>
      </c>
      <c r="G43" s="220"/>
      <c r="H43" s="220"/>
      <c r="I43" s="220"/>
      <c r="J43" s="219"/>
      <c r="K43" s="220" t="n">
        <v>3.32174631E8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1025961.0</v>
      </c>
      <c r="D45" s="218" t="n">
        <v>2534302.0</v>
      </c>
      <c r="E45" s="219" t="n">
        <v>30056.0</v>
      </c>
      <c r="F45" s="218"/>
      <c r="G45" s="218"/>
      <c r="H45" s="218"/>
      <c r="I45" s="218"/>
      <c r="J45" s="219"/>
      <c r="K45" s="220" t="n">
        <v>3530207.0</v>
      </c>
      <c r="L45" s="221" t="s">
        <v>2029</v>
      </c>
      <c r="M45" s="698"/>
    </row>
    <row r="46" spans="1:13" ht="15.75" thickBot="1">
      <c r="A46" s="695"/>
      <c r="B46" s="217" t="s">
        <v>2030</v>
      </c>
      <c r="C46" s="218" t="n">
        <v>166814.0</v>
      </c>
      <c r="D46" s="218" t="n">
        <v>19353.0</v>
      </c>
      <c r="E46" s="219" t="n">
        <v>34303.0</v>
      </c>
      <c r="F46" s="218"/>
      <c r="G46" s="218"/>
      <c r="H46" s="218"/>
      <c r="I46" s="218"/>
      <c r="J46" s="219"/>
      <c r="K46" s="220" t="n">
        <v>151864.0</v>
      </c>
      <c r="L46" s="221" t="s">
        <v>2031</v>
      </c>
      <c r="M46" s="698"/>
    </row>
    <row r="47" spans="1:13" ht="15.75" thickBot="1">
      <c r="A47" s="695"/>
      <c r="B47" s="217" t="s">
        <v>2032</v>
      </c>
      <c r="C47" s="218" t="n">
        <v>8634.0</v>
      </c>
      <c r="D47" s="218" t="n">
        <v>21356.0</v>
      </c>
      <c r="E47" s="219"/>
      <c r="F47" s="218"/>
      <c r="G47" s="218"/>
      <c r="H47" s="218"/>
      <c r="I47" s="218"/>
      <c r="J47" s="219"/>
      <c r="K47" s="220" t="n">
        <v>29990.0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290280.0</v>
      </c>
      <c r="D49" s="218" t="n">
        <v>21398.0</v>
      </c>
      <c r="E49" s="219" t="n">
        <v>146352.0</v>
      </c>
      <c r="F49" s="218"/>
      <c r="G49" s="218"/>
      <c r="H49" s="218"/>
      <c r="I49" s="218"/>
      <c r="J49" s="219"/>
      <c r="K49" s="220" t="n">
        <v>165326.0</v>
      </c>
      <c r="L49" s="221" t="s">
        <v>2037</v>
      </c>
      <c r="M49" s="698"/>
    </row>
    <row r="50" spans="1:13" ht="15.75" thickBot="1">
      <c r="A50" s="695"/>
      <c r="B50" s="217" t="s">
        <v>2038</v>
      </c>
      <c r="C50" s="218" t="n">
        <v>241890.0</v>
      </c>
      <c r="D50" s="218"/>
      <c r="E50" s="219"/>
      <c r="F50" s="218"/>
      <c r="G50" s="218"/>
      <c r="H50" s="218"/>
      <c r="I50" s="218"/>
      <c r="J50" s="219"/>
      <c r="K50" s="220" t="n">
        <v>241890.0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667344.0</v>
      </c>
      <c r="E57" s="219"/>
      <c r="F57" s="218"/>
      <c r="G57" s="218"/>
      <c r="H57" s="218"/>
      <c r="I57" s="218"/>
      <c r="J57" s="219"/>
      <c r="K57" s="220" t="n">
        <v>667344.0</v>
      </c>
      <c r="L57" s="221" t="s">
        <v>2053</v>
      </c>
      <c r="M57" s="698"/>
    </row>
    <row r="58" spans="1:13" ht="15.75" thickBot="1">
      <c r="A58" s="695"/>
      <c r="B58" s="222" t="s">
        <v>2054</v>
      </c>
      <c r="C58" s="220" t="n">
        <v>1733579.0</v>
      </c>
      <c r="D58" s="220" t="n">
        <v>3263753.0</v>
      </c>
      <c r="E58" s="219" t="n">
        <v>210711.0</v>
      </c>
      <c r="F58" s="220"/>
      <c r="G58" s="220"/>
      <c r="H58" s="220"/>
      <c r="I58" s="220"/>
      <c r="J58" s="219"/>
      <c r="K58" s="220" t="n">
        <v>4786621.0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3396080.0</v>
      </c>
      <c r="D61" s="218" t="n">
        <v>6784078.0</v>
      </c>
      <c r="E61" s="219"/>
      <c r="F61" s="218"/>
      <c r="G61" s="218"/>
      <c r="H61" s="218"/>
      <c r="I61" s="218"/>
      <c r="J61" s="219"/>
      <c r="K61" s="220" t="n">
        <v>1.0180158E7</v>
      </c>
      <c r="L61" s="221" t="s">
        <v>2061</v>
      </c>
      <c r="M61" s="698"/>
    </row>
    <row r="62" spans="1:13" ht="15.75" thickBot="1">
      <c r="A62" s="695"/>
      <c r="B62" s="217" t="s">
        <v>2062</v>
      </c>
      <c r="C62" s="218" t="n">
        <v>44024.0</v>
      </c>
      <c r="D62" s="218" t="n">
        <v>26407.0</v>
      </c>
      <c r="E62" s="219" t="n">
        <v>57571.0</v>
      </c>
      <c r="F62" s="218"/>
      <c r="G62" s="218"/>
      <c r="H62" s="218"/>
      <c r="I62" s="218"/>
      <c r="J62" s="219"/>
      <c r="K62" s="220" t="n">
        <v>12860.0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3440104.0</v>
      </c>
      <c r="D72" s="220" t="n">
        <v>6810485.0</v>
      </c>
      <c r="E72" s="219" t="n">
        <v>57571.0</v>
      </c>
      <c r="F72" s="220"/>
      <c r="G72" s="220"/>
      <c r="H72" s="220"/>
      <c r="I72" s="220"/>
      <c r="J72" s="219"/>
      <c r="K72" s="220" t="n">
        <v>1.0193018E7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5173683.0</v>
      </c>
      <c r="D81" s="220" t="n">
        <v>1.0074238E7</v>
      </c>
      <c r="E81" s="219" t="n">
        <v>268282.0</v>
      </c>
      <c r="F81" s="220" t="n">
        <v>0.0</v>
      </c>
      <c r="G81" s="220"/>
      <c r="H81" s="220"/>
      <c r="I81" s="220"/>
      <c r="J81" s="219"/>
      <c r="K81" s="220" t="n">
        <v>1.4979639E7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1.48723952E8</v>
      </c>
      <c r="D85" s="224"/>
      <c r="E85" s="224"/>
      <c r="F85" s="224"/>
      <c r="G85" s="224"/>
      <c r="H85" s="224"/>
      <c r="I85" s="224"/>
      <c r="J85" s="224"/>
      <c r="K85" s="220" t="n">
        <v>3.17194992E8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t="s">
        <v>2872</v>
      </c>
      <c r="G7" s="273" t="n">
        <v>83786.0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83786.0</v>
      </c>
      <c r="H18" s="278" t="s">
        <v>2149</v>
      </c>
    </row>
    <row r="19" spans="1:8" ht="15.75" thickBot="1">
      <c r="A19" s="271" t="s">
        <v>2150</v>
      </c>
      <c r="B19" s="272" t="s">
        <v>2865</v>
      </c>
      <c r="C19" s="273" t="n">
        <v>3.085739E7</v>
      </c>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3.085739E7</v>
      </c>
      <c r="D30" s="278" t="s">
        <v>2173</v>
      </c>
      <c r="E30" s="275" t="s">
        <v>2172</v>
      </c>
      <c r="F30" s="276"/>
      <c r="G30" s="277"/>
      <c r="H30" s="278" t="s">
        <v>2173</v>
      </c>
    </row>
    <row r="31" spans="1:8" ht="15.75" thickBot="1">
      <c r="A31" s="275" t="s">
        <v>2174</v>
      </c>
      <c r="B31" s="276"/>
      <c r="C31" s="277" t="n">
        <v>3.085739E7</v>
      </c>
      <c r="D31" s="278" t="s">
        <v>2175</v>
      </c>
      <c r="E31" s="275" t="s">
        <v>2174</v>
      </c>
      <c r="F31" s="276"/>
      <c r="G31" s="277" t="n">
        <v>83786.0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3.085739E7</v>
      </c>
      <c r="D7" s="320" t="s">
        <v>2293</v>
      </c>
      <c r="E7" s="317" t="s">
        <v>2292</v>
      </c>
      <c r="F7" s="318" t="s">
        <v>2872</v>
      </c>
      <c r="G7" s="319" t="n">
        <v>83786.0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3.085739E7</v>
      </c>
      <c r="D18" s="324" t="s">
        <v>2315</v>
      </c>
      <c r="E18" s="321" t="s">
        <v>2314</v>
      </c>
      <c r="F18" s="322"/>
      <c r="G18" s="323" t="n">
        <v>83786.0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t="n">
        <v>8921.0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8921.0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8921.0</v>
      </c>
      <c r="K42" s="334"/>
      <c r="L42" s="332" t="n">
        <v>8921.0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1.1276762E7</v>
      </c>
      <c r="C33" s="434" t="n">
        <v>0.0</v>
      </c>
      <c r="D33" s="435" t="s">
        <v>2516</v>
      </c>
    </row>
    <row r="34" spans="1:4" ht="15.75" thickBot="1">
      <c r="A34" s="433" t="s">
        <v>2517</v>
      </c>
      <c r="B34" s="434" t="n">
        <v>1.3325422E7</v>
      </c>
      <c r="C34" s="434" t="n">
        <v>968414.0</v>
      </c>
      <c r="D34" s="435" t="s">
        <v>2518</v>
      </c>
    </row>
    <row r="35" spans="1:4" ht="15.75" thickBot="1">
      <c r="A35" s="433" t="s">
        <v>2519</v>
      </c>
      <c r="B35" s="434" t="n">
        <v>2.3613053E7</v>
      </c>
      <c r="C35" s="434" t="n">
        <v>4632688.0</v>
      </c>
      <c r="D35" s="435" t="s">
        <v>2520</v>
      </c>
    </row>
    <row r="36" spans="1:4" ht="15.75" thickBot="1">
      <c r="A36" s="433" t="s">
        <v>2521</v>
      </c>
      <c r="B36" s="434" t="n">
        <v>7565658.0</v>
      </c>
      <c r="C36" s="434" t="n">
        <v>4913953.0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5.5780895E7</v>
      </c>
      <c r="C59" s="437" t="n">
        <v>1.0515055E7</v>
      </c>
      <c r="D59" s="430" t="s">
        <v>2568</v>
      </c>
    </row>
    <row r="60" spans="1:4" ht="26.25" thickBot="1">
      <c r="A60" s="436" t="s">
        <v>2569</v>
      </c>
      <c r="B60" s="438"/>
      <c r="C60" s="438"/>
      <c r="D60" s="430" t="s">
        <v>2570</v>
      </c>
    </row>
    <row r="61" spans="1:4" ht="15.75" thickBot="1">
      <c r="A61" s="436" t="s">
        <v>968</v>
      </c>
      <c r="B61" s="437" t="n">
        <v>5.5780895E7</v>
      </c>
      <c r="C61" s="437" t="n">
        <v>1.0515055E7</v>
      </c>
      <c r="D61" s="430" t="s">
        <v>969</v>
      </c>
    </row>
    <row r="62" spans="1:4" ht="15.75" thickBot="1">
      <c r="A62" s="433" t="s">
        <v>483</v>
      </c>
      <c r="B62" s="434" t="n">
        <v>5.5780895E7</v>
      </c>
      <c r="C62" s="434" t="n">
        <v>1.0515055E7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1.8139681E7</v>
      </c>
      <c r="D7" s="482" t="s">
        <v>2321</v>
      </c>
      <c r="E7" s="843" t="s">
        <v>2322</v>
      </c>
      <c r="F7" s="840" t="s">
        <v>2172</v>
      </c>
      <c r="G7" s="480" t="s">
        <v>2321</v>
      </c>
      <c r="H7" s="481" t="n">
        <v>1.9854211E7</v>
      </c>
      <c r="I7" s="482" t="s">
        <v>2321</v>
      </c>
      <c r="J7" s="843" t="s">
        <v>2322</v>
      </c>
    </row>
    <row r="8" spans="1:10" ht="15.75" thickBot="1">
      <c r="A8" s="840"/>
      <c r="B8" s="480" t="s">
        <v>2323</v>
      </c>
      <c r="C8" s="481" t="n">
        <v>97215.0</v>
      </c>
      <c r="D8" s="482" t="s">
        <v>2323</v>
      </c>
      <c r="E8" s="843"/>
      <c r="F8" s="840"/>
      <c r="G8" s="480" t="s">
        <v>2323</v>
      </c>
      <c r="H8" s="481" t="n">
        <v>32615.0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539933.0</v>
      </c>
      <c r="D10" s="482" t="s">
        <v>2325</v>
      </c>
      <c r="E10" s="843"/>
      <c r="F10" s="840"/>
      <c r="G10" s="480" t="s">
        <v>2325</v>
      </c>
      <c r="H10" s="481"/>
      <c r="I10" s="482" t="s">
        <v>2325</v>
      </c>
      <c r="J10" s="843"/>
    </row>
    <row r="11" spans="1:10" ht="15.75" thickBot="1">
      <c r="A11" s="840"/>
      <c r="B11" s="480" t="s">
        <v>2326</v>
      </c>
      <c r="C11" s="481" t="n">
        <v>25489.0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532440.0</v>
      </c>
      <c r="D17" s="482" t="s">
        <v>2332</v>
      </c>
      <c r="E17" s="843"/>
      <c r="F17" s="840"/>
      <c r="G17" s="480" t="s">
        <v>2332</v>
      </c>
      <c r="H17" s="481" t="n">
        <v>119384.0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1.9334758E7</v>
      </c>
      <c r="D19" s="485" t="s">
        <v>2336</v>
      </c>
      <c r="E19" s="844"/>
      <c r="F19" s="841"/>
      <c r="G19" s="483" t="s">
        <v>2335</v>
      </c>
      <c r="H19" s="484" t="n">
        <v>2.000621E7</v>
      </c>
      <c r="I19" s="485" t="s">
        <v>2336</v>
      </c>
      <c r="J19" s="844"/>
    </row>
    <row r="20" spans="1:10" ht="15.75" thickBot="1">
      <c r="A20" s="839" t="s">
        <v>2148</v>
      </c>
      <c r="B20" s="480" t="s">
        <v>2321</v>
      </c>
      <c r="C20" s="481" t="n">
        <v>4876128.0</v>
      </c>
      <c r="D20" s="482" t="s">
        <v>2321</v>
      </c>
      <c r="E20" s="842" t="s">
        <v>2337</v>
      </c>
      <c r="F20" s="839" t="s">
        <v>2148</v>
      </c>
      <c r="G20" s="480" t="s">
        <v>2321</v>
      </c>
      <c r="H20" s="481" t="n">
        <v>3250996.0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4876128.0</v>
      </c>
      <c r="D32" s="485" t="s">
        <v>2336</v>
      </c>
      <c r="E32" s="844"/>
      <c r="F32" s="841"/>
      <c r="G32" s="483" t="s">
        <v>2335</v>
      </c>
      <c r="H32" s="484" t="n">
        <v>3250996.0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1.9329439E7</v>
      </c>
      <c r="C13" s="552" t="n">
        <v>0.0</v>
      </c>
      <c r="D13" s="551" t="s">
        <v>2716</v>
      </c>
    </row>
    <row r="14" spans="1:4" ht="15.75" thickBot="1">
      <c r="A14" s="549" t="s">
        <v>2717</v>
      </c>
      <c r="B14" s="552" t="n">
        <v>4999651.0</v>
      </c>
      <c r="C14" s="552" t="n">
        <v>0.0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6672346.0</v>
      </c>
      <c r="C20" s="552" t="n">
        <v>0.0</v>
      </c>
      <c r="D20" s="551" t="s">
        <v>2730</v>
      </c>
    </row>
    <row r="21" spans="1:4" ht="15.75" thickBot="1">
      <c r="A21" s="549" t="s">
        <v>2731</v>
      </c>
      <c r="B21" s="552" t="n">
        <v>8239145.0</v>
      </c>
      <c r="C21" s="552" t="n">
        <v>18948.0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1.5301496E7</v>
      </c>
      <c r="C24" s="552" t="n">
        <v>0.0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5466116.0</v>
      </c>
      <c r="C27" s="552" t="n">
        <v>46157.0</v>
      </c>
      <c r="D27" s="551" t="s">
        <v>2744</v>
      </c>
    </row>
    <row r="28" spans="1:4" ht="15.75" thickBot="1">
      <c r="A28" s="553" t="s">
        <v>2745</v>
      </c>
      <c r="B28" s="554" t="n">
        <v>6.0008193E7</v>
      </c>
      <c r="C28" s="554" t="n">
        <v>65105.0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6.0008193E7</v>
      </c>
      <c r="C31" s="554" t="n">
        <v>65105.0</v>
      </c>
      <c r="D31" s="548" t="s">
        <v>2752</v>
      </c>
    </row>
    <row r="32" spans="1:4" ht="15.75" thickBot="1">
      <c r="A32" s="549" t="s">
        <v>2753</v>
      </c>
      <c r="B32" s="550" t="n">
        <v>5601102.0</v>
      </c>
      <c r="C32" s="550" t="n">
        <v>0.0</v>
      </c>
      <c r="D32" s="551" t="s">
        <v>2754</v>
      </c>
    </row>
    <row r="33" spans="1:4" ht="15.75" thickBot="1">
      <c r="A33" s="549" t="s">
        <v>2755</v>
      </c>
      <c r="B33" s="552"/>
      <c r="C33" s="552"/>
      <c r="D33" s="551" t="s">
        <v>2756</v>
      </c>
    </row>
    <row r="34" spans="1:4" ht="15.75" thickBot="1">
      <c r="A34" s="549" t="s">
        <v>2757</v>
      </c>
      <c r="B34" s="550" t="n">
        <v>4.8215237E7</v>
      </c>
      <c r="C34" s="550" t="n">
        <v>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1.7394058E7</v>
      </c>
      <c r="C39" s="554" t="n">
        <v>65105.0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4.0E8</v>
      </c>
      <c r="D277" s="569" t="n">
        <v>4.0E8</v>
      </c>
      <c r="E277" s="889"/>
      <c r="F277" s="570" t="s">
        <v>2332</v>
      </c>
      <c r="G277" s="886"/>
      <c r="H277" s="568" t="s">
        <v>2332</v>
      </c>
      <c r="I277" s="569" t="n">
        <v>2.65E8</v>
      </c>
      <c r="J277" s="569" t="n">
        <v>2.65E8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4.0E8</v>
      </c>
      <c r="E279" s="890"/>
      <c r="F279" s="574" t="s">
        <v>2336</v>
      </c>
      <c r="G279" s="887"/>
      <c r="H279" s="571" t="s">
        <v>2335</v>
      </c>
      <c r="I279" s="572"/>
      <c r="J279" s="573" t="n">
        <v>2.65E8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4.0E8</v>
      </c>
      <c r="E310" s="570" t="s">
        <v>2803</v>
      </c>
      <c r="F310" s="574" t="s">
        <v>2336</v>
      </c>
      <c r="G310" s="568" t="s">
        <v>2802</v>
      </c>
      <c r="H310" s="571" t="s">
        <v>2335</v>
      </c>
      <c r="I310" s="572"/>
      <c r="J310" s="573" t="n">
        <v>2.65E8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4.0E8</v>
      </c>
      <c r="C314" s="573" t="n">
        <v>2.65E8</v>
      </c>
      <c r="D314" s="574" t="s">
        <v>2804</v>
      </c>
    </row>
    <row r="315" spans="1:12" ht="26.25" thickBot="1">
      <c r="A315" s="577" t="s">
        <v>2805</v>
      </c>
      <c r="B315" s="569" t="n">
        <v>4853012.0</v>
      </c>
      <c r="C315" s="569" t="n">
        <v>4596181.0</v>
      </c>
      <c r="D315" s="570" t="s">
        <v>2806</v>
      </c>
    </row>
    <row r="316" spans="1:12" ht="15.75" thickBot="1">
      <c r="A316" s="578" t="s">
        <v>2807</v>
      </c>
      <c r="B316" s="573" t="n">
        <v>3.95146988E8</v>
      </c>
      <c r="C316" s="573" t="n">
        <v>2.60403819E8</v>
      </c>
      <c r="D316" s="574" t="s">
        <v>2808</v>
      </c>
    </row>
    <row r="317" spans="1:12" ht="39" thickBot="1">
      <c r="A317" s="579" t="s">
        <v>749</v>
      </c>
      <c r="B317" s="569"/>
      <c r="C317" s="569"/>
      <c r="D317" s="570" t="s">
        <v>750</v>
      </c>
    </row>
    <row r="318" spans="1:12" ht="26.25" thickBot="1">
      <c r="A318" s="579" t="s">
        <v>813</v>
      </c>
      <c r="B318" s="569" t="n">
        <v>2.46136053E8</v>
      </c>
      <c r="C318" s="569" t="n">
        <v>2.60403819E8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2.5E8</v>
      </c>
      <c r="D257" s="595" t="s">
        <v>2863</v>
      </c>
      <c r="E257" s="595"/>
      <c r="F257" s="595" t="s">
        <v>2873</v>
      </c>
      <c r="G257" s="904"/>
      <c r="H257" s="596" t="s">
        <v>2332</v>
      </c>
      <c r="I257" s="901"/>
      <c r="J257" s="593" t="s">
        <v>2332</v>
      </c>
      <c r="K257" s="594" t="n">
        <v>2.65E8</v>
      </c>
      <c r="L257" s="595" t="s">
        <v>2863</v>
      </c>
      <c r="M257" s="595"/>
      <c r="N257" s="595" t="s">
        <v>2873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2.5E8</v>
      </c>
      <c r="D287" s="598" t="s">
        <v>2863</v>
      </c>
      <c r="E287" s="598"/>
      <c r="F287" s="598" t="s">
        <v>2873</v>
      </c>
      <c r="G287" s="596" t="s">
        <v>2803</v>
      </c>
      <c r="H287" s="599" t="s">
        <v>2336</v>
      </c>
      <c r="I287" s="593" t="s">
        <v>2802</v>
      </c>
      <c r="J287" s="597" t="s">
        <v>2335</v>
      </c>
      <c r="K287" s="598" t="n">
        <v>2.65E8</v>
      </c>
      <c r="L287" s="598" t="s">
        <v>2863</v>
      </c>
      <c r="M287" s="598"/>
      <c r="N287" s="598" t="s">
        <v>2873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t="n">
        <v>1.49010935E8</v>
      </c>
      <c r="D277" s="604" t="n">
        <v>1.49010935E8</v>
      </c>
      <c r="E277" s="916"/>
      <c r="F277" s="605" t="s">
        <v>2332</v>
      </c>
      <c r="G277" s="913"/>
      <c r="H277" s="603" t="s">
        <v>2332</v>
      </c>
      <c r="I277" s="604" t="n">
        <v>0.0</v>
      </c>
      <c r="J277" s="604" t="n">
        <v>0.0</v>
      </c>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1.49010935E8</v>
      </c>
      <c r="E279" s="917"/>
      <c r="F279" s="609" t="s">
        <v>2336</v>
      </c>
      <c r="G279" s="914"/>
      <c r="H279" s="606" t="s">
        <v>2335</v>
      </c>
      <c r="I279" s="607"/>
      <c r="J279" s="608" t="n">
        <v>0.0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1.49010935E8</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1.5E8</v>
      </c>
      <c r="D257" s="649" t="s">
        <v>2878</v>
      </c>
      <c r="E257" s="649"/>
      <c r="F257" s="649" t="s">
        <v>2873</v>
      </c>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1.5E8</v>
      </c>
      <c r="D287" s="652" t="s">
        <v>2890</v>
      </c>
      <c r="E287" s="652"/>
      <c r="F287" s="652" t="s">
        <v>2873</v>
      </c>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