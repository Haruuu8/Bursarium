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emtk_checker_0112_2024_0_155_1722406255351\excel-submitted\"/>
    </mc:Choice>
  </mc:AlternateContent>
  <xr:revisionPtr revIDLastSave="0" documentId="13_ncr:1_{3AAACB9A-FB3D-4D42-8D7C-C7AAD734A040}" xr6:coauthVersionLast="36" xr6:coauthVersionMax="36" xr10:uidLastSave="{00000000-0000-0000-0000-000000000000}"/>
  <bookViews>
    <workbookView xWindow="0" yWindow="0" windowWidth="17970" windowHeight="5535" firstSheet="25" activeTab="31"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4">'1670000'!$C$4</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<sst xmlns="http://schemas.openxmlformats.org/spreadsheetml/2006/main" count="8784" uniqueCount="2237">
  <si>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</si>
  <si>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</si>
  <si>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</si>
  <si>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</si>
  <si>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</si>
  <si>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</si>
  <si>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</si>
  <si>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</si>
  <si>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</si>
  <si>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</si>
  <si>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startDate</t>
    <phoneticPr fontId="0"/>
  </si>
  <si>
    <t>endDate</t>
    <phoneticPr fontId="0"/>
  </si>
  <si>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</si>
  <si>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</si>
  <si>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</si>
  <si>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</si>
  <si>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</si>
  <si>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</si>
  <si>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</si>
  <si>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</si>
  <si>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</si>
  <si>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</si>
  <si>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</si>
  <si>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</si>
  <si>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</si>
  <si>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</si>
  <si>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</si>
  <si>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</si>
  <si>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</si>
  <si>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</si>
  <si>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</si>
  <si>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</si>
  <si>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</si>
  <si>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</si>
  <si>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</si>
  <si>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</si>
  <si>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</si>
  <si>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</si>
  <si>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</si>
  <si>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</si>
  <si>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</si>
  <si>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</si>
  <si>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</si>
  <si>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</si>
  <si>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</si>
  <si>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</si>
  <si>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</si>
  <si>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</si>
  <si>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</si>
  <si>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</si>
  <si>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</si>
  <si>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</si>
  <si>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</si>
  <si>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</si>
  <si>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</si>
  <si>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</si>
  <si>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</si>
  <si>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</si>
  <si>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</si>
  <si>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</si>
  <si>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</si>
  <si>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</si>
  <si>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</si>
  <si>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</si>
  <si>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</si>
  <si>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</si>
  <si>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</si>
  <si>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</si>
  <si>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</si>
  <si>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</si>
  <si>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</si>
  <si>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</si>
  <si>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</si>
  <si>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</si>
  <si>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</si>
  <si>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</si>
  <si>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</si>
  <si>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</si>
  <si>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</si>
  <si>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</si>
  <si>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</si>
  <si>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</si>
  <si>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</si>
  <si>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</si>
  <si>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</si>
  <si>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</si>
  <si>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</si>
  <si>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</si>
  <si>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</si>
  <si>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</si>
  <si>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</si>
  <si>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</si>
  <si>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</si>
  <si>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</si>
  <si>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</si>
  <si>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</si>
  <si>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</si>
  <si>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</si>
  <si>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</si>
  <si>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</si>
  <si>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</si>
  <si>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</si>
  <si>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</si>
  <si>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</si>
  <si>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</si>
  <si>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</si>
  <si>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</si>
  <si>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</si>
  <si>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</si>
  <si>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</si>
  <si>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</si>
  <si>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</si>
  <si>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</si>
  <si>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</si>
  <si>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</si>
  <si>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</si>
  <si>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</si>
  <si>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</si>
  <si>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</si>
  <si>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</si>
  <si>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</si>
  <si>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</si>
  <si>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</si>
  <si>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</si>
  <si>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</si>
  <si>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</si>
  <si>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</si>
  <si>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</si>
  <si>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</si>
  <si>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</si>
  <si>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</si>
  <si>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</si>
  <si>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</si>
  <si>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</si>
  <si>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</si>
  <si>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</si>
  <si>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</si>
  <si>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</si>
  <si>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</si>
  <si>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</si>
  <si>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</si>
  <si>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</si>
  <si>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</si>
  <si>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</si>
  <si>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</si>
  <si>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</si>
  <si>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</si>
  <si>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</si>
  <si>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</si>
  <si>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</si>
  <si>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</si>
  <si>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</si>
  <si>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</si>
  <si>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</si>
  <si>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</si>
  <si>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</si>
  <si>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</si>
  <si>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</si>
  <si>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</si>
  <si>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</si>
  <si>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</si>
  <si>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</si>
  <si>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</si>
  <si>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</si>
  <si>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</si>
  <si>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</si>
  <si>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</si>
  <si>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</si>
  <si>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</si>
  <si>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</si>
  <si>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</si>
  <si>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</si>
  <si>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</si>
  <si>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</si>
  <si>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</si>
  <si>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</si>
  <si>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</si>
  <si>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</si>
  <si>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</si>
  <si>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</si>
  <si>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</si>
  <si>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</si>
  <si>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</si>
  <si>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</si>
  <si>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</si>
  <si>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</si>
  <si>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</si>
  <si>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</si>
  <si>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</si>
  <si>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</si>
  <si>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</si>
  <si>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</si>
  <si>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</si>
  <si>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</si>
  <si>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</si>
  <si>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</si>
  <si>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</si>
  <si>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</si>
  <si>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</si>
  <si>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</si>
  <si>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</si>
  <si>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</si>
  <si>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</si>
  <si>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</si>
  <si>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</si>
  <si>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</si>
  <si>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</si>
  <si>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</si>
  <si>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</si>
  <si>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</si>
  <si>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</si>
  <si>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</si>
  <si>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</si>
  <si>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</si>
  <si>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</si>
  <si>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</si>
  <si>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</si>
  <si>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</si>
  <si>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</si>
  <si>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</si>
  <si>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</si>
  <si>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</si>
  <si>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</si>
  <si>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</si>
  <si>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</si>
  <si>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</si>
  <si>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</si>
  <si>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</si>
  <si>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</si>
  <si>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</si>
  <si>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</si>
  <si>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</si>
  <si>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</si>
  <si>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</si>
  <si>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</si>
  <si>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</si>
  <si>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</si>
  <si>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</si>
  <si>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</si>
  <si>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</si>
  <si>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</si>
  <si>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</si>
  <si>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</si>
  <si>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</si>
  <si>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</si>
  <si>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</si>
  <si>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</si>
  <si>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</si>
  <si>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</si>
  <si>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</si>
  <si>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</si>
  <si>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</si>
  <si>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</si>
  <si>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</si>
  <si>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</si>
  <si>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</si>
  <si>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</si>
  <si>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</si>
  <si>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</si>
  <si>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</si>
  <si>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</si>
  <si>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</si>
  <si>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</si>
  <si>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</si>
  <si>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</si>
  <si>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</si>
  <si>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</si>
  <si>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</si>
  <si>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</si>
  <si>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</si>
  <si>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</si>
  <si>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</si>
  <si>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</si>
  <si>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</si>
  <si>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</si>
  <si>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</si>
  <si>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</si>
  <si>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</si>
  <si>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</si>
  <si>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</si>
  <si>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</si>
  <si>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</si>
  <si>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</si>
  <si>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</si>
  <si>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</si>
  <si>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</si>
  <si>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</si>
  <si>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</si>
  <si>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</si>
  <si>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</si>
  <si>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</si>
  <si>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</si>
  <si>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</si>
  <si>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</si>
  <si>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</si>
  <si>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</si>
  <si>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</si>
  <si>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</si>
  <si>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</si>
  <si>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</si>
  <si>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</si>
  <si>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</si>
  <si>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</si>
  <si>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</si>
  <si>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</si>
  <si>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</si>
  <si>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</si>
  <si>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</si>
  <si>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</si>
  <si>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</si>
  <si>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</si>
  <si>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</si>
  <si>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</si>
  <si>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</si>
  <si>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</si>
  <si>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</si>
  <si>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</si>
  <si>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</si>
  <si>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</si>
  <si>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</si>
  <si>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</si>
  <si>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</si>
  <si>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</si>
  <si>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</si>
  <si>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</si>
  <si>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</si>
  <si>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</si>
  <si>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</si>
  <si>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</si>
  <si>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</si>
  <si>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</si>
  <si>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</si>
  <si>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</si>
  <si>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</si>
  <si>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</si>
  <si>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</si>
  <si>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</si>
  <si>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</si>
  <si>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</si>
  <si>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</si>
  <si>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</si>
  <si>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</si>
  <si>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</si>
  <si>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</si>
  <si>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</si>
  <si>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</si>
  <si>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</si>
  <si>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</si>
  <si>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</si>
  <si>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</si>
  <si>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</si>
  <si>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</si>
  <si>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</si>
  <si>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</si>
  <si>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</si>
  <si>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</si>
  <si>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</si>
  <si>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</si>
  <si>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</si>
  <si>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</si>
  <si>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</si>
  <si>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</si>
  <si>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</si>
  <si>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</si>
  <si>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</si>
  <si>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</si>
  <si>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</si>
  <si>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</si>
  <si>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</si>
  <si>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</si>
  <si>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</si>
  <si>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</si>
  <si>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</si>
  <si>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</si>
  <si>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</si>
  <si>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</si>
  <si>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</si>
  <si>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</si>
  <si>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</si>
  <si>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</si>
  <si>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</si>
  <si>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</si>
  <si>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</si>
  <si>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</si>
  <si>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</si>
  <si>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</si>
  <si>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</si>
  <si>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</si>
  <si>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</si>
  <si>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</si>
  <si>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</si>
  <si>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</si>
  <si>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</si>
  <si>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</si>
  <si>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</si>
  <si>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</si>
  <si>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</si>
  <si>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</si>
  <si>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</si>
  <si>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</si>
  <si>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</si>
  <si>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</si>
  <si>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</si>
  <si>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</si>
  <si>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</si>
  <si>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</si>
  <si>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</si>
  <si>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</si>
  <si>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</si>
  <si>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</si>
  <si>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</si>
  <si>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</si>
  <si>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</si>
  <si>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</si>
  <si>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</si>
  <si>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</si>
  <si>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Said Amru</t>
  </si>
  <si>
    <t>AA544</t>
  </si>
  <si>
    <t>2023-01-01</t>
  </si>
  <si>
    <t>2022-12-31</t>
  </si>
  <si>
    <t>Purwantono, Sungkoro  Surja</t>
  </si>
  <si>
    <t>2023-12-31</t>
  </si>
  <si>
    <t>EMTK</t>
  </si>
  <si>
    <t>2024-06-30</t>
  </si>
  <si>
    <t>2024-01-01</t>
  </si>
  <si>
    <t>Elang Mahkota Teknologi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</si>
  <si>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</si>
  <si>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</si>
  <si>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</si>
  <si>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</si>
  <si>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</si>
  <si>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</si>
  <si>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</si>
  <si>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</si>
  <si>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</si>
  <si>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</si>
  <si>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</si>
  <si>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</si>
  <si>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</si>
  <si>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</si>
  <si>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</si>
  <si>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</si>
  <si>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</si>
  <si>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</si>
  <si>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</si>
  <si>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</si>
  <si>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</si>
  <si>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</si>
  <si>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</si>
  <si>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</si>
  <si>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</si>
  <si>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</si>
  <si>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</si>
  <si>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</si>
  <si>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</si>
  <si>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</si>
  <si>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</si>
  <si>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</si>
  <si>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</si>
  <si>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</si>
  <si>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</si>
  <si>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</si>
  <si>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</si>
  <si>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</si>
  <si>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</si>
  <si>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</si>
  <si>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</si>
  <si>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</si>
  <si>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</si>
  <si>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</si>
  <si>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</si>
  <si>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</si>
  <si>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</si>
  <si>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</si>
  <si>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</si>
  <si>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</si>
  <si>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</si>
  <si>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</si>
  <si>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</si>
  <si>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</si>
  <si>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</si>
  <si>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</si>
  <si>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</si>
  <si>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</si>
  <si>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</si>
  <si>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</si>
  <si>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</si>
  <si>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</si>
  <si>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</si>
  <si>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</si>
  <si>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</si>
  <si>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</si>
  <si>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</si>
  <si>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</si>
  <si>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</si>
  <si>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</si>
  <si>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</si>
  <si>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</si>
  <si>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</si>
  <si>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</si>
  <si>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</si>
  <si>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</si>
  <si>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</si>
  <si>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</si>
  <si>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</si>
  <si>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</si>
  <si>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</si>
  <si>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</si>
  <si>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</si>
  <si>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</si>
  <si>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</si>
  <si>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</si>
  <si>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</si>
  <si>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</si>
  <si>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</si>
  <si>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</si>
  <si>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</si>
  <si>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</si>
  <si>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</si>
  <si>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</si>
  <si>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</si>
  <si>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</si>
  <si>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</si>
  <si>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</si>
  <si>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</si>
  <si>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</si>
  <si>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</si>
  <si>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</si>
  <si>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</si>
  <si>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</si>
  <si>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</si>
  <si>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</si>
  <si>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</si>
  <si>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</si>
  <si>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</si>
  <si>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</si>
  <si>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</si>
  <si>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</si>
  <si>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</si>
  <si>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</si>
  <si>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</si>
  <si>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</si>
  <si>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</si>
  <si>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</si>
  <si>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</si>
  <si>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</si>
  <si>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</si>
  <si>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</si>
  <si>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</si>
  <si>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</si>
  <si>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</si>
  <si>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</si>
  <si>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</si>
  <si>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</si>
  <si>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</si>
  <si>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</si>
  <si>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</si>
  <si>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</si>
  <si>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</si>
  <si>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</si>
  <si>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</si>
  <si>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</si>
  <si>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</si>
  <si>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</si>
  <si>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</si>
  <si>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</si>
  <si>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</si>
  <si>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</si>
  <si>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</si>
  <si>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</si>
  <si>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</si>
  <si>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</si>
  <si>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</si>
  <si>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</si>
  <si>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</si>
  <si>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</si>
  <si>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</si>
  <si>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</si>
  <si>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</si>
  <si>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</si>
  <si>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</si>
  <si>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</si>
  <si>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</si>
  <si>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</si>
  <si>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</si>
  <si>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</si>
  <si>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</si>
  <si>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</si>
  <si>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</si>
  <si>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</si>
  <si>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</si>
  <si>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</si>
  <si>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</si>
  <si>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</si>
  <si>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</si>
  <si>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</si>
  <si>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</si>
  <si>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</si>
  <si>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</si>
  <si>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</si>
  <si>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</si>
  <si>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</si>
  <si>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</si>
  <si>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</si>
  <si>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</si>
  <si>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</si>
  <si>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</si>
  <si>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</si>
  <si>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</si>
  <si>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</si>
  <si>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</si>
  <si>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</si>
  <si>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</si>
  <si>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</si>
  <si>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</si>
  <si>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</si>
  <si>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</si>
  <si>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</si>
  <si>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</si>
  <si>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</si>
  <si>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</si>
  <si>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</si>
  <si>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</si>
  <si>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</si>
  <si>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</si>
  <si>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</si>
  <si>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</si>
  <si>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</si>
  <si>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</si>
  <si>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</si>
  <si>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</si>
  <si>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</si>
  <si>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</si>
  <si>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</si>
  <si>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</si>
  <si>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</si>
  <si>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</si>
  <si>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</si>
  <si>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</si>
  <si>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</si>
  <si>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</si>
  <si>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</si>
  <si>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</si>
  <si>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</si>
  <si>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</si>
  <si>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</si>
  <si>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</si>
  <si>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</si>
  <si>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</si>
  <si>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</si>
  <si>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</si>
  <si>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</si>
  <si>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</si>
  <si>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</si>
  <si>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</si>
  <si>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</si>
  <si>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</si>
  <si>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</si>
  <si>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</si>
  <si>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</si>
  <si>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</si>
  <si>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</si>
  <si>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</si>
  <si>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</si>
  <si>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</si>
  <si>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</si>
  <si>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</si>
  <si>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</si>
  <si>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</si>
  <si>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</si>
  <si>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</si>
  <si>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</si>
  <si>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</si>
  <si>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</si>
  <si>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</si>
  <si>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</si>
  <si>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</si>
  <si>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</si>
  <si>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</si>
  <si>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</si>
  <si>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</si>
  <si>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</si>
  <si>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</si>
  <si>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</si>
  <si>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</si>
  <si>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</si>
  <si>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</si>
  <si>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</si>
  <si>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</si>
  <si>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</si>
  <si>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</si>
  <si>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</si>
  <si>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</si>
  <si>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</si>
  <si>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</si>
  <si>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</si>
  <si>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</si>
  <si>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</si>
  <si>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</si>
  <si>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</si>
  <si>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</si>
  <si>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</si>
  <si>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</si>
  <si>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</si>
  <si>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</si>
  <si>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</si>
  <si>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</si>
  <si>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</si>
  <si>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</si>
  <si>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</si>
  <si>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</si>
  <si>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</si>
  <si>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</si>
  <si>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</si>
  <si>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</si>
  <si>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</si>
  <si>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</si>
  <si>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</si>
  <si>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</si>
  <si>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</si>
  <si>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</si>
  <si>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</si>
  <si>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</si>
  <si>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</si>
  <si>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</si>
  <si>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</si>
  <si>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</si>
  <si>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</si>
  <si>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</si>
  <si>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</si>
  <si>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</si>
  <si>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</si>
  <si>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</si>
  <si>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</si>
  <si>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</si>
  <si>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</si>
  <si>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</si>
  <si>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</si>
  <si>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</si>
  <si>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</si>
  <si>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</si>
  <si>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</si>
  <si>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</si>
  <si>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</si>
  <si>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</si>
  <si>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</si>
  <si>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</si>
  <si>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</si>
  <si>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</si>
  <si>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</si>
  <si>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</si>
  <si>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</si>
  <si>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</si>
  <si>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</si>
  <si>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</si>
  <si>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</si>
  <si>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</si>
  <si>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</si>
  <si>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</si>
  <si>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</si>
  <si>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</si>
  <si>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</si>
  <si>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</si>
  <si>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</si>
  <si>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</si>
  <si>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</si>
  <si>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</si>
  <si>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</si>
  <si>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</si>
  <si>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</si>
  <si>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</si>
  <si>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</si>
  <si>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</si>
  <si>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</si>
  <si>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</si>
  <si>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</si>
  <si>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</si>
  <si>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</si>
  <si>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</si>
  <si>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</si>
  <si>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</si>
  <si>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</si>
  <si>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</si>
  <si>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</si>
  <si>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</si>
  <si>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</si>
  <si>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</si>
  <si>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</si>
  <si>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</si>
  <si>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</si>
  <si>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</si>
  <si>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</si>
  <si>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</si>
  <si>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</si>
  <si>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</si>
  <si>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</si>
  <si>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</si>
  <si>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</si>
  <si>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</si>
  <si>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</si>
  <si>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</si>
  <si>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</si>
  <si>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</si>
  <si>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</si>
  <si>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</si>
  <si>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</si>
  <si>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</si>
  <si>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</si>
  <si>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</si>
  <si>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</si>
  <si>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</si>
  <si>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</si>
  <si>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</si>
  <si>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</si>
  <si>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</si>
  <si>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</si>
  <si>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</si>
  <si>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</si>
  <si>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</si>
  <si>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</si>
  <si>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</si>
  <si>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</si>
  <si>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</si>
  <si>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</si>
  <si>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</si>
  <si>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</si>
  <si>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</si>
  <si>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</si>
  <si>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</si>
  <si>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</si>
  <si>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</si>
  <si>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</si>
  <si>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</si>
  <si>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</si>
  <si>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</si>
  <si>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</si>
  <si>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</si>
  <si>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</si>
  <si>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</si>
  <si>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</si>
  <si>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</si>
  <si>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</si>
  <si>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</si>
  <si>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</si>
  <si>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</si>
  <si>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</si>
  <si>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</si>
  <si>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</si>
  <si>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</si>
  <si>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</si>
  <si>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</si>
  <si>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</si>
  <si>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</si>
  <si>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</si>
  <si>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</si>
  <si>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</si>
  <si>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</si>
  <si>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</si>
  <si>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</si>
  <si>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</si>
  <si>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</si>
  <si>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</si>
  <si>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</si>
  <si>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</si>
  <si>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</si>
  <si>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</si>
  <si>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</si>
  <si>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</si>
  <si>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</si>
  <si>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</si>
  <si>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</si>
  <si>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</si>
  <si>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</si>
  <si>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</si>
  <si>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</si>
  <si>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</si>
  <si>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</si>
  <si>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</si>
  <si>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</si>
  <si>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</si>
  <si>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</si>
  <si>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</si>
  <si>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</si>
  <si>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</si>
  <si>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</si>
  <si>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</si>
  <si>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</si>
  <si>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</si>
  <si>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</si>
  <si>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</si>
  <si>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</si>
  <si>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</si>
  <si>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</si>
  <si>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</si>
  <si>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</si>
  <si>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</si>
  <si>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</si>
  <si>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</si>
  <si>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</si>
  <si>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</si>
  <si>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</si>
  <si>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</si>
  <si>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</si>
  <si>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</si>
  <si>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</si>
  <si>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</si>
  <si>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</si>
  <si>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</si>
  <si>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</si>
  <si>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</si>
  <si>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</si>
  <si>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</si>
  <si>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</si>
  <si>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</si>
  <si>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</si>
  <si>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</si>
  <si>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</si>
  <si>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</si>
  <si>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</si>
  <si>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</si>
  <si>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</si>
  <si>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</si>
  <si>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</si>
  <si>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</si>
  <si>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</si>
  <si>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</si>
  <si>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</si>
  <si>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</si>
  <si>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</si>
  <si>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</si>
  <si>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</si>
  <si>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</si>
  <si>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</si>
  <si>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</si>
  <si>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</si>
  <si>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</si>
  <si>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</si>
  <si>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</si>
  <si>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</si>
  <si>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</si>
  <si>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</si>
  <si>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</si>
  <si>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</si>
  <si>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</si>
  <si>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</si>
  <si>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</si>
  <si>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</si>
  <si>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</si>
  <si>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</si>
  <si>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</si>
  <si>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</si>
  <si>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</si>
  <si>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</si>
  <si>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</si>
  <si>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</si>
  <si>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</si>
  <si>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</si>
  <si>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</si>
  <si>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</si>
  <si>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</si>
  <si>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</si>
  <si>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</si>
  <si>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</si>
  <si>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</si>
  <si>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</si>
  <si>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</si>
  <si>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</si>
  <si>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</si>
  <si>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</si>
  <si>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</si>
  <si>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</si>
  <si>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</si>
  <si>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</si>
  <si>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</si>
  <si>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</si>
  <si>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</si>
  <si>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</si>
  <si>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</si>
  <si>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</si>
  <si>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</si>
  <si>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</si>
  <si>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</si>
  <si>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</si>
  <si>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</si>
  <si>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</si>
  <si>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</si>
  <si>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</si>
  <si>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</si>
  <si>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</si>
  <si>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</si>
  <si>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</si>
  <si>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</si>
  <si>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</si>
  <si>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</si>
  <si>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</si>
  <si>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</si>
  <si>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</si>
  <si>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</si>
  <si>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</si>
  <si>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</si>
  <si>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</si>
  <si>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</si>
  <si>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</si>
  <si>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</si>
  <si>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</si>
  <si>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</si>
  <si>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</si>
  <si>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</si>
  <si>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</si>
  <si>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</si>
  <si>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</si>
  <si>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</si>
  <si>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</si>
  <si>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</si>
  <si>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</si>
  <si>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</si>
  <si>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</si>
  <si>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</si>
  <si>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</si>
  <si>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</si>
  <si>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</si>
  <si>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</si>
  <si>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</si>
  <si>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</si>
  <si>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</si>
  <si>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</si>
  <si>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</si>
  <si>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</si>
  <si>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</si>
  <si>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</si>
  <si>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</si>
  <si>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</si>
  <si>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</si>
  <si>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</si>
  <si>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</si>
  <si>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</si>
  <si>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</si>
  <si>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</si>
  <si>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</si>
  <si>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</si>
  <si>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</si>
  <si>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</si>
  <si>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</si>
  <si>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</si>
  <si>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</si>
  <si>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</si>
  <si>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</si>
  <si>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</si>
  <si>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</si>
  <si>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</si>
  <si>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</si>
  <si>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</si>
  <si>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</si>
  <si>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</si>
  <si>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</si>
  <si>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</si>
  <si>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</si>
  <si>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</si>
  <si>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</si>
  <si>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</si>
  <si>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</si>
  <si>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</si>
  <si>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</si>
  <si>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</si>
  <si>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</si>
  <si>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</si>
  <si>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</si>
  <si>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</si>
  <si>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</si>
  <si>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</si>
  <si>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</si>
  <si>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</si>
  <si>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</si>
  <si>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</si>
  <si>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</si>
  <si>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</si>
  <si>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</si>
  <si>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</si>
  <si>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</si>
  <si>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</si>
  <si>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</si>
  <si>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</si>
  <si>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</si>
  <si>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</si>
  <si>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</si>
  <si>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</si>
  <si>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</si>
  <si>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</si>
  <si>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</si>
  <si>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</si>
  <si>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</si>
  <si>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</si>
  <si>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</si>
  <si>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</si>
  <si>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</si>
  <si>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</si>
  <si>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</si>
  <si>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</si>
  <si>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</si>
  <si>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</si>
  <si>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</si>
  <si>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</si>
  <si>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</si>
  <si>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</si>
  <si>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</si>
  <si>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</si>
  <si>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</si>
  <si>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</si>
  <si>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</si>
  <si>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</si>
  <si>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</si>
  <si>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</si>
  <si>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</si>
  <si>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</si>
  <si>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</si>
  <si>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</si>
  <si>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</si>
  <si>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</si>
  <si>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</si>
  <si>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</si>
  <si>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</si>
  <si>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</si>
  <si>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</si>
  <si>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</si>
  <si>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</si>
  <si>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</si>
  <si>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</si>
  <si>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</si>
  <si>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</si>
  <si>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</si>
  <si>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</si>
  <si>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</si>
  <si>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</si>
  <si>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</si>
  <si>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</si>
  <si>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</si>
  <si>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</si>
  <si>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</si>
  <si>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</si>
  <si>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</si>
  <si>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</si>
  <si>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</si>
  <si>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</si>
  <si>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</si>
  <si>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</si>
  <si>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</si>
  <si>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</si>
  <si>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</si>
  <si>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</si>
  <si>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</si>
  <si>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</si>
  <si>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</si>
  <si>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</si>
  <si>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</si>
  <si>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</si>
  <si>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</si>
  <si>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</si>
  <si>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</si>
  <si>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</si>
  <si>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</si>
  <si>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</si>
  <si>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</si>
  <si>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</si>
  <si>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</si>
  <si>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</si>
  <si>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</si>
  <si>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</si>
  <si>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</si>
  <si>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</si>
  <si>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</si>
  <si>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</si>
  <si>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</si>
  <si>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</si>
  <si>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</si>
  <si>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</si>
  <si>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</si>
  <si>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</si>
  <si>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</si>
  <si>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</si>
  <si>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</si>
  <si>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</si>
  <si>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</si>
  <si>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</si>
  <si>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</si>
  <si>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</si>
  <si>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</si>
  <si>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</si>
  <si>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</si>
  <si>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</si>
  <si>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</si>
  <si>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</si>
  <si>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</si>
  <si>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</si>
  <si>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</si>
  <si>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</si>
  <si>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</si>
  <si>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</si>
  <si>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</si>
  <si>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</si>
  <si>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</si>
  <si>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</si>
  <si>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</si>
  <si>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</si>
  <si>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</si>
  <si>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</si>
  <si>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</si>
  <si>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</si>
  <si>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</si>
  <si>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</si>
  <si>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</si>
  <si>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</si>
  <si>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</si>
  <si>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</si>
  <si>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</si>
  <si>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</si>
  <si>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</si>
  <si>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</si>
  <si>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</si>
  <si>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</si>
  <si>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</si>
  <si>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</si>
  <si>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</si>
  <si>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</si>
  <si>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</si>
  <si>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</si>
  <si>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</si>
  <si>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</si>
  <si>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</si>
  <si>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</si>
  <si>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</si>
  <si>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</si>
  <si>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</si>
  <si>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</si>
  <si>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</si>
  <si>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</si>
  <si>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</si>
  <si>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</si>
  <si>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</si>
  <si>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</si>
  <si>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</si>
  <si>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</si>
  <si>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</si>
  <si>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</si>
  <si>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</si>
  <si>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</si>
  <si>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</si>
  <si>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</si>
  <si>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</si>
  <si>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</si>
  <si>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</si>
  <si>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</si>
  <si>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</si>
  <si>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</si>
  <si>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</si>
  <si>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</si>
  <si>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</si>
  <si>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</si>
  <si>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</si>
  <si>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</si>
  <si>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</si>
  <si>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</si>
  <si>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</si>
  <si>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</si>
  <si>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</si>
  <si>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</si>
  <si>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</si>
  <si>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</si>
  <si>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</si>
  <si>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</si>
  <si>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</si>
  <si>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</si>
  <si>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</si>
  <si>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</si>
  <si>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</si>
  <si>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</si>
  <si>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</si>
  <si>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</si>
  <si>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</si>
  <si>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</si>
  <si>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</si>
  <si>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</si>
  <si>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</si>
  <si>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</si>
  <si>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</si>
  <si>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</si>
  <si>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</si>
  <si>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</si>
  <si>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</si>
  <si>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</si>
  <si>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</si>
  <si>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</si>
  <si>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</si>
  <si>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</si>
  <si>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</si>
  <si>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</si>
  <si>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</si>
  <si>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</si>
  <si>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</si>
  <si>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</si>
  <si>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</si>
  <si>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</si>
  <si>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</si>
  <si>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</si>
  <si>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</si>
  <si>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</si>
  <si>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</si>
  <si>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</si>
  <si>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</si>
  <si>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</si>
  <si>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</si>
  <si>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</si>
  <si>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</si>
  <si>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</si>
  <si>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</si>
  <si>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</si>
  <si>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</si>
  <si>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</si>
  <si>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</si>
  <si>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</si>
  <si>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</si>
  <si>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</si>
  <si>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</si>
  <si>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</si>
  <si>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</si>
  <si>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</si>
  <si>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</si>
  <si>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</si>
  <si>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</si>
  <si>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</si>
  <si>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</si>
  <si>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</si>
  <si>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</si>
  <si>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</si>
  <si>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</si>
  <si>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</si>
  <si>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</si>
  <si>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</si>
  <si>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</si>
  <si>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</si>
  <si>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</si>
  <si>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</si>
  <si>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</si>
  <si>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</si>
  <si>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</si>
  <si>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</si>
  <si>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</si>
  <si>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</si>
  <si>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</si>
  <si>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</si>
  <si>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</si>
  <si>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</si>
  <si>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</si>
  <si>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</si>
  <si>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</si>
  <si>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</si>
  <si>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</si>
  <si>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</si>
  <si>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</si>
  <si>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</si>
  <si>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</si>
  <si>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</si>
  <si>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</si>
  <si>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</si>
  <si>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</si>
  <si>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</si>
  <si>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</si>
  <si>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</si>
  <si>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</si>
  <si>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</si>
  <si>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</si>
  <si>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</si>
  <si>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</si>
  <si>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</si>
  <si>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</si>
  <si>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</si>
  <si>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</si>
  <si>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</si>
  <si>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</si>
  <si>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</si>
  <si>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</si>
  <si>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</si>
  <si>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</si>
  <si>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</si>
  <si>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</si>
  <si>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</si>
  <si>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</si>
  <si>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</si>
  <si>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</si>
  <si>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</si>
  <si>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</si>
  <si>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</si>
  <si>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</si>
  <si>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</si>
  <si>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</si>
  <si>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</si>
  <si>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</si>
  <si>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</si>
  <si>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</si>
  <si>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</si>
  <si>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</si>
  <si>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</si>
  <si>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</si>
  <si>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</si>
  <si>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</si>
  <si>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</si>
  <si>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</si>
  <si>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</si>
  <si>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</si>
  <si>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</si>
  <si>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</si>
  <si>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</si>
  <si>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</si>
  <si>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</si>
  <si>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</si>
  <si>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</si>
  <si>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</si>
  <si>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</si>
  <si>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</si>
  <si>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</si>
  <si>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</si>
  <si>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</si>
  <si>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</si>
  <si>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</si>
  <si>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</si>
  <si>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</si>
  <si>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</si>
  <si>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</si>
  <si>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</si>
  <si>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</si>
  <si>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</si>
  <si>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</si>
  <si>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</si>
  <si>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</si>
  <si>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</si>
  <si>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</si>
  <si>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</si>
  <si>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</si>
  <si>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</si>
  <si>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</si>
  <si>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</si>
  <si>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</si>
  <si>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</si>
  <si>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</si>
  <si>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</si>
  <si>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</si>
  <si>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</si>
  <si>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</si>
  <si>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</si>
  <si>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</si>
  <si>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</si>
  <si>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</si>
  <si>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</si>
  <si>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</si>
  <si>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</si>
  <si>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</si>
  <si>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</si>
  <si>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</si>
  <si>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</si>
  <si>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</si>
  <si>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</si>
  <si>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</si>
  <si>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</si>
  <si>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</si>
  <si>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</si>
  <si>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</si>
  <si>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</si>
  <si>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</si>
  <si>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</si>
  <si>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</si>
  <si>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</si>
  <si>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</si>
  <si>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</si>
  <si>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</si>
  <si>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</si>
  <si>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</si>
  <si>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</si>
  <si>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</si>
  <si>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</si>
  <si>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</si>
  <si>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</si>
  <si>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</si>
  <si>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</si>
  <si>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</si>
  <si>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</si>
  <si>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</si>
  <si>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</si>
  <si>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</si>
  <si>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</si>
  <si>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</si>
  <si>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</si>
  <si>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</si>
  <si>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</si>
  <si>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</si>
  <si>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</si>
  <si>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</si>
  <si>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</si>
  <si>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</si>
  <si>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</si>
  <si>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</si>
  <si>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</si>
  <si>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</si>
  <si>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</si>
  <si>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</si>
  <si>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</si>
  <si>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</si>
  <si>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</si>
  <si>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</si>
  <si>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</si>
  <si>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</si>
  <si>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</si>
  <si>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</si>
  <si>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</si>
  <si>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</si>
  <si>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</si>
  <si>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</si>
  <si>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</si>
  <si>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</si>
  <si>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</si>
  <si>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</si>
  <si>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</si>
  <si>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</si>
  <si>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</si>
  <si>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</si>
  <si>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</si>
  <si>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</si>
  <si>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</si>
  <si>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</si>
  <si>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</si>
  <si>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</si>
  <si>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</si>
  <si>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The consolidated financial statements have been prepared and presented in accordance with Indonesian Financial Accounting Standards (), which comprise the Statements of Financial Accounting Standards () and Interpretations to Financial Accounting Standards () issued by the Financial Accounting Board of the Indonesian Institute of Accountants and Rule No. VIII.G.7 Attachment of Chairman of OJK decision No. KEP-347/BL/2012 dated June 25, 2012 on the Regulations and Guidelines on Financial Statement Presentation and Disclosures issued by OJK. These policies have been consistently applied to all years presented, unless otherwise stated.
Laporan keuangan konsolidasian telah disusun sesuai dengan PSAK 201: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The consolidated financial statements have been prepared in accordance with PSAK 201: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Laporan arus kas konsolidasian yang disajikan dengan menggunakan metode langsung, menyajikan penerimaan dan pengeluaran kas dan setara kas yang diklasifikasikan ke dalam aktivitas operasi, investasi dan pendanaan.
The consolidated statement of cash flows, which has been prepared using the direct method, presents receipts and disbursements of cash and cash equivalents classified into operating, investing and financing activities.
Tahun buku Kelompok Usaha adalah 1 Januari - 31 Desember.		
The annual financial reporting period of  the Group is January 1 - December 31.
Mata uang pelaporan yang digunakan dalam laporan keuangan konsolidasian adalah Rupiah yang merupakan mata uang fungsional sebagian besar Kelompok Usaha.		
The reporting currency used in the consolidated financial statements is the Indonesian Rupiah which is the functional currency of most entities within the Group.
Kebijakan akuntansi yang diterapkan oleh Kelompok Usaha adalah selaras bagi tahun yang dicakup oleh laporan keuangan konsolidasian, kecuali untuk standar akuntansi baru dan revisi seperti diungkapkan pada Catatan 2b dibawah ini.		
The accounting policies adopted by the Group are consistently applied for the years covered by the consolidated financial statements, except for new and revised accounting standards as disclosed in the following Note 2b.
Kelompok Usaha telah menyusun laporan keuangan konsolidasian dengan dasar bahwa Kelompok Usaha akan terus beroperasi secara berkesinambungan.		
The Group has prepared the consolidated financial statements on the basis that it will continue to operate as a going concern.</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</si>
  <si>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</si>
  <si>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</si>
  <si>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memengaruhi imbal hasil tersebut melalui kekuasaannya atas investee.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Dengan demikian, Kelompok Usaha mengendalikan investee jika dan hanya jika Kelompok Usaha memiliki seluruh hal berikut ini:		
Thus, the Group controls an investee if and only if the Group has all of the following: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Umumnya, ada dugaan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Generally, there is a presumption that having the majority of voting rights results in control. To support this presumption and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Kelompok Usaha.		
i)	The contractual arrangements with the other vote holders of the investee,
ii)	Rights arising from other contractual arrangements, and
iii)	The Group voting rights and potential voting rights.
Kelompok Usaha menilai kembali apakah pengendaliannya melibatkan investee jika fakta dan keadaan menunjukkan bahwa ada perubahan pada satu atau lebih dari tiga elemen kembali. Konsolidasi entitas anak dimulai pada saat Kelompok Usaha memperoleh kendali atas entitas anak dan berhenti pada saat Kelompok Usaha kehilangan kendali atas entitas anak tersebut. Aset, liabilitas, penghasilan dan beban entitas anak yang diakuisisi selama tahun berjalan termasuk dalam laporan keuangan konsolidasian sejak tanggal Kelompok Usaha memperoleh kendali sampai dengan tanggal Kelompok Usaha tidak lagi mengendalikan entitas anak.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Kelompok Usaha.		
Profit or loss and each component of other comprehensive income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Seluruh aset dan liabilitas, ekuitas, penghasilan dan beban dan arus kas atas transaksi antar anggota Kelompok Usaha dieliminasi sepenuhnya pada saat konsolidasi.		
All intra-group assets and liabilities, equity, income, expenses and cash flows relating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A change in the parent ownership interest in a subsidiary, without a loss of control, is accounted for as an equity transaction. If the Group loses control over a subsidiary, it derecognizes the related assets (including goodwill), liabilities, NCI and other components of equity, while the difference is recognized in the profit or loss. Any investment retained is recognized at fair value.</t>
  </si>
  <si>
    <t>Principles of consolidation</t>
  </si>
  <si>
    <t>Kas dan setara kas terdiri dari kas, kas di bank, dan deposito berjangka dengan jangka waktu 3 (tiga) bulan atau kurang sejak tanggal penempatan dan tidak dijadikan sebagai jaminan pinjaman serta tanpa pembatasan penggunaan, dan mana yang memiliki risiko tidak signifikan dari perubahan nilai.		
Cash and cash equivalents consist of cash on hand, cash in banks, and time deposits with maturities of 3 (three) months or less at the time of placement and not restricted to use, and which are subject to an insignificant risk of changes in value.
Untuk tujuan laporan arus kas konsolidasian, kas dan setara kas terdiri dari kas, kas di bank, dan deposito berjangka seperti disebutkan di atas, dikurangi overdraft, jika ada.		
For the purpose of the consolidated statement of cash flows, cash on hand, cash in banks,  and time deposits as defined above, net of outstanding overdraft, if any.
Deposito berjangka dengan jangka waktu lebih dari 3 (tiga) bulan tapi tidak melebihi 1 (satu) tahun, deposito berjangka kurang dari 3 (tiga) bulan namun dijaminkan, investasi dalam reksadana, dan efek-efek dengan jangka waktu lebih dari 3 (tiga) bulan tapi tidak melebihi 1 (satu) tahun diklasifikasikan sebagai akun  Keuangan Lancar Lainnya pada laporan posisi keuangan konsolidasian.		
Time deposits with maturities of more than 3 (three) months but not exceeding 1 (one) year, time deposits with maturities less than 3 (three) months but pledged, investment in mutual fund, and securities with maturities of more than 3 (three) months but not exceeding 1 (one) year are classified in  Current Financial Assets account in the consolidated statements of financial position.</t>
  </si>
  <si>
    <t>Piutang usaha dan piutang lain-lain</t>
  </si>
  <si>
    <t>Trade and other receivables</t>
  </si>
  <si>
    <t>Persediaan</t>
  </si>
  <si>
    <t>Persediaan Materi Program		
Program Material Inventories
Persediaan konten program diukur berdasarkan nilai terendah antara nilai buku (biaya perolehan setelah dikurangi amortisasi) dengan nilai realisasi neto. Sedangkan, persediaan konten Vidio berlisensi diamortisasi selama masa manfaat masing-masing biaya dengan menggunakan metode garis lurus (straight-line) dan konten milik sendiri diamortisasi dengan metode dipercepat (accelerated method) dalam waktu lima tahun.		
Program content inventories are stated at the lower of book value (cost less amortization) or net realizable value. While Vidio licensed content inventory are amortized over their beneficial period using the straight-line method while owned contents are amortized using accelerated method in five years.
Biaya perolehan persediaan konten program dihitung dengan menggunakan metode identifikasi khusus (specific identification method). Persediaan konten program diamortisasi sebagai berikut: (i) untuk program film, sinetron dan mini seri diamortisasikan sebesar persentase tertentu (yang diestimasi oleh manajemen) atas jumlah penayangan sebagaimana disebutkan dalam perjanjian atau maksimum sebanyak dua kali penayangan, kecuali untuk film televisi (FTV) maksimum sebanyak tiga kali penayangan (ii) untuk program produksi sendiri, infotainment, berita, olahraga, dan program talk show diamortisasi sepenuhnya pada saat penayangan awal.		
Cost of program content inventories is determined by the specific identification method. Program content inventories are amortized as follows: (i) for film, series and mini series programs are amortized based on a certain percentage (which is estimated by the management) of the number of program runs as specified in the agreement or a maximum of two times runs, except for television film (FTV) which is a maximum of three times runs (ii) for in-house production, infotainment, news, sports, and talk-show programs are fully amortized on the first run.
Saldo persediaan konten program yang belum diamortisasi namun kontrak penayangannya telah berakhir dibebankan pada tahun kontrak tersebut berakhir.		
The unamortized cost of the program content inventories for which the related license contracts have expired, are charged to operations in the year the contract ended.
Pada akhir tahun pelaporan, manajemen melakukan penelaahan untuk menentukan adanya indikasi terjadinya penurunan nilai konten program dan melakukan penyesuaian, apabila diperlukan, ke estimasi nilai yang terpulihkan untuk penayangan di masa yang akan datang dan dibebankan sebagai kerugian pada usaha tahun berjalan.		
At the end of each reporting period, the management reviews the programs for any indications of impairment and adjusts the cost, when appropriate, to the estimated recoverable amount from future airing, as a loss in the current year operations.
Persediaan Selain Materi Program		
Inventories Other Than Program Material
Persediaan dinyatakan sebesar nilai terendah antara biaya perolehan atau nilai realisasi neto. Biaya perolehan ditentukan dengan metode rata-rata tertimbang. Penyisihan persediaan usang disajikan untuk mengurangi nilai tercatat persediaan ke nilai realisasi neto berdasarkan hasil penelaahan berkala terhadap kondisi fisik persediaan.		
Inventories are stated at the lower of cost or net realizable value. Cost is determined using the weighted average method. Allowance for inventories obsolescence is provided to reduce the carrying value of inventories to their net realizable value based on the periodic review of the physical condition of the inventories.
Nilai realisasi neto adalah taksiran harga jual yang wajar setelah dikurangi dengan taksiran biaya untuk menyelesaikan dan biaya untuk menjual persediaan barang yang dihasilkan.		
Net realizable value is the estimated selling price in the ordinary course of business less the estimated cost of completion and the estimated costs necessary to complete the sale.</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</si>
  <si>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</si>
  <si>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</si>
  <si>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</si>
  <si>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
Setelah pengakuan awal, aset tetap, kecuali tanah, dinyatakan pada biaya perolehan dikurangi akumulasi penyusutan dan rugi penurunan nilai.		
Subsequent to initial recognition, fixed assets, except land, are carried at cost less any subsequent accumulated depreciation and any impairment losses.
Penyusutan dimulai pada saat aset tersebut siap digunakan sesuai dengan maksud penggunaannya. Penyusutan aset tetap milik Perusahaan dihitung dengan menggunakan metode saldo menurun ganda (double-declining method), kecuali penyusutan bangunan dihitung dengan menggunakan metode garis lurus (straight-line method). Penyusutan aset tetap milik entitas anak dihitung dengan metode garis lurus (straight-line method). 		
Depreciation of an asset starts when it is available for its intended use. Depreciation of the Company fixed assets is computed using the double-declining method, except for buildings, whereby the depreciation is computed using the straight-line method. Depreciation of the subsidiaries fixed assets is computed using the straight-line method. 
Taksiran masa manfaat ekonomis aset tetap seperti berikut:		
The estimated useful lives of assets are as follows:
Tahun/Years		
Bangunan, prasarana dan instalasi 				
Buildings, infrastructure and installations : 3 - 30	
Peralatan kantor							
Office equipment : 3 - 8
Peralatan studio dan penyiaran					
Studio and broadcasting equipment : 4 - 20	
Kendaraan bermotor							
Vehicles : 4 - 8
Peralatan lainnya						
Other equipment : 3 - 25	
Penilaian aset tetap dilakukan atas penurunan dan kemungkinan penurunan nilai wajar aset jika terjadi peristiwa atau perubahan keadaan yang mengindikasikan bahwa nilai tercatat mungkin tidak dapat seluruhnya terealisasi.		
The carrying amounts of fixed assets are reviewed for impairment when events or changes in circumstances indicate that the carrying values may not be fully recoverable.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An item of fixed asset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nilai residu, umur manfaat dan metode penyusutan ditelaah, dan jika diperlukan disesuaikan secara prospektif.		
The asset residual value, useful life and method of depreciation are reviewed, and adjusted prospectively if appropriate, at each financial year end.
Nilai residu dari aset adalah estimasi jumlah yang dapat diperoleh Perusahaan dan entitas anaknya dari pelepasan aset, setelah dikurangi estimasi biaya pelepasan, ketika aset telah mencapai akhir umur dan dalam kondisi yang diharapkan pada akhir umur manfaatnya.		
The residual value of an asset is the estimated amount that the Company and its subsidiaries would currently obtain from disposal of the asset, after deducting the estimated costs of disposal, if the asset were already of the age and in the condition expected at the end of its useful life.
Tanah dinyatakan sebesar biaya perolehan dan tidak disusutkan.	
Land is stated at cost and not depreciated.
Aset dalam penyelesaian dinyatakan sebesar biaya perolehan dan disajikan sebagai bagian dari aset tetap. Akumulasi biaya perolehan akan direklasifikasi ke akun aset tetap yang bersangkutan pada saat aset yang bersangkutan telah selesai dikerjakan dan siap untuk digunakan. Aset tetap dalam penyelesaian tidak disusutkan sampai memenuhi syarat pengakuan sebagai aset tetap.		
Construction in progress is stated at cost and presented as part of the fixed assets. The accumulated costs will be reclassified to the appropriate fixed assets account when construction is substantially completed and the asset is ready for its intended use. Assets under construction are not depreciated until they fulfill criteria for recognition as fixed assets as disclosed above.
Beban pemeliharaan dan perbaikan dibebankan pada operasi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		
Repairs and maintenance are taken to the profit or loss when these are incurred. The cost of major renovation and restoration is included in the carrying amount of the related fixed asset when it is probable that future economic benefits in excess of the originally assessed standard of performance of the existing asset will flow to the Group, and is depreciated over the remaining useful life of the related asset.</t>
  </si>
  <si>
    <t>Fixed assets</t>
  </si>
  <si>
    <t>Tanah belum dikembangkan</t>
  </si>
  <si>
    <t>Aset biologis</t>
  </si>
  <si>
    <t>Biological assets</t>
  </si>
  <si>
    <t>Penurunan nilai aset nonkeuangan</t>
  </si>
  <si>
    <t>Pada setiap akhir periode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		
The Group assesses at each annual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konsolidasian sebagai biaya  Penurunan Nilai. Dalam menghitung nilai pakai, estimasi arus kas masa depan neto didiskontokan ke nilai kini dengan menggunakan tingkat diskonto sebelum pajak yang menggambarkan penilaian pasar kini dari nilai waktu uang dan risiko spesifik atas aset.		
An asset recoverable amount is the higher of the asset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Impairment losses of continuing operations are recognized in the consolidated statements of profit or loss and other comprehensive income as  Losses. In assessing the value in use, the estimated net future cash flows are discounted to their present value using a pre-tax discount rate that reflects current market assessments of the time value of money and the risks specific to the asset.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In determining fair value less costs to sell, recent market transactions are taken into account, if available. If no such transactions can be identified, an appropriate valuation model is used by the Group to determine the fair value of the assets. These calculations are corroborated by valuation multiples or other available fair value indicators.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An assessment is made at each end of reporting period as to whether there is any indication that previously recognized impairment losses recognized for an asset other than goodwill may no longer exist or may have decreased. If such indication exists, the recoverable amount is estimated.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periode sebelumnya.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 the carrying amount that would have been determined, net of depreciation, had no impairment loss been recognized for the asset in prior period.
Pembalikan rugi penurunan nilai diakui sebagai laba rugi. Setelah pembalikan tersebut, penyusutan aset tersebut disesuaikan di periode mendatang untuk mengalokasikan jumlah tercatat aset yang direvisi, dikurangi nilai sisanya, dengan dasar yang sistematis selama sisa umur manfaatnya.		
Reversal of an impairment loss is recognized in profit or loss. After such a reversal, the depreciation charge on the said asset is adjusted in future period to allocate the asset revised carrying amount, less any residual value, on a systematic basis over its remaining useful life.
Goodwill hanya diuji untuk menentukan adanya penurunan nilai pada setiap pelaporan tahunan dan ketika terdapat suatu indikasi bahwa nilai tercatatnya mengalami penurunan nilai. Penurunan nilai bagi goodwill ditetapkan dengan menentukan jumlah tercatat tiap UPK (atau kelompok UPK) dimana goodwill terkait. Jika jumlah terpulihkan UPK kurang dari jumlah tercatatnya, maka rugi penurunan nilai diakui. Rugi penurunan nilai atas goodwill tidak dapat dibalik pada periode berikutnya.		
Goodwill is tested for impairment in each annual reporting period and when circumstances indicate that the carrying value may be impaired. Impairment is determined for goodwill by assessing the recoverable amount of each CGU (or group of CGUs) to which the goodwill relates. If the recoverable amount of the CGU is less than its carrying amount, an impairment loss is recognized. Impairment losses relating to goodwill cannot be reversed in future period.
Manajemen berpendapat bahwa tidak ada indikasi penurunan nilai pada aset tetap dan aset non-keuangan tidak lancar lainnya yang disajikan dalam laporan posisi keuangan konsolidasian pada tanggal 30 Juni 2024.		
Management believes that there is no indication of impairment in values for fixed assets and other non-current non-financial assets presented in the consolidated statement of financial position as of June 30, 2024.</t>
  </si>
  <si>
    <t>Impairment of non-financial assets</t>
  </si>
  <si>
    <t>Utang usaha dan liabilitas lain-lain</t>
  </si>
  <si>
    <t>Trade payables and other liabilities</t>
  </si>
  <si>
    <t>Pengakuan pendapatan dan beban</t>
  </si>
  <si>
    <t>Kelompok Usaha menerapkan PSAK 115,  dari Kontrak dengan Pelanggan yang mensyaratkan pengakuan pendapatan untuk memenuhi 5 (lima) langkah analisis sebagai berikut:		
The Group has adopted PSAK 115,  from Contracts with Customers which requires revenue recognition to fulfill 5 (five) steps of assessment as follows:
1.	Identifikasi kontrak dengan pelanggan.		
1.	Identify contract(s) with a customer.
2.	Identifikasi kewajiban pelaksanaan dalam kontrak. Kewajiban pelaksanaan merupakan janji-janji dalam kontrak untuk menyerahkan barang atau jasa yang memiliki karakteristik berbeda ke pelanggan.	
2.	Identify the performance obligations in the contract. Performance obligations are promises in a contract to transfer to a customer goods or services that are distinct.
3.	Menetapkan harga transaksi, setelah dikurangi diskon, retur, insentif penjualan dan pajak pertambahan nilai, yang berhak diperoleh suatu entitas sebagai kompensasi atas diserahkannya barang atau jasa yang dijanjikan di kontrak.		
3.	Determine the transaction price, net of discounts, returns, sales incentives and value added tax, which an entity expects to be entitled in exchange for transferring the promised goods or services to a customer.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Pengakuan pendapatan ketika kewajiban pelaksanaan telah dipenuhi dengan menyerahkan barang atau jasa yang dijanjikan ke pelanggan (ketika pelanggan telah memiliki kendali atas barang atau jasa tersebut).		
5.	Recognise revenue when performance obligation is satisfied by transferring a promised goods or services to a customer (which is when the customer obtains control of those goods or services).
Pendapatan dalam hubungan keagenan dicatat sebesar jumlah tagihan bruto kepada pelanggan ketika Kelompok Usaha bertindak sebagai principal dalam penjualan barang dan jasa. Pendapatan dicatat sebesar jumlah bersih yang diperoleh (jumlah yang dibayarkan pelanggan dikurangi jumlah yang dibayarkan kepada pemasok) ketika secara substansi, Kelompok Usaha bertindak sebagai agen dan memperoleh komisi dari pemasok atas penjualan barang dan jasa.		
Revenues in the agency relationship are recorded at the amount of gross invoices to customers when the Group acts as principal in the sale of goods and services. Revenues are recorded at the net amount earned (the amount paid by the customer minus the amount paid to the supplier) when substantially, the Group acts as an agent and obtains commissions from suppliers for the sale of goods and services.
Kelompok Usaha mengevaluasi perjanjian pendapatannya terhadap kriteria spesifik untuk menentukan apakah Kelompok Usaha bertindak sebagai prinsipal atau agen. Kriteria spesifik berikut juga harus dipenuhi sebelum pendapatan diakui: pendapatan dari iklan televisi diakui pada saat iklan yang bersangkutan ditayangkan. Penerimaan kas dari pelanggan sehubungan dengan transaksi penjualan yang belum memenuhi kriteria pengakuan pendapatan dicatat sebagai bagian dari akun  Muka Pelanggan dalam laporan posisi keuangan konsolidasian.		
The Group assesses its revenue arrangements against specific criteria to determine if it is acting as principal or agent. The following specific recognition criteria must also be met before revenue is recognized: revenue from television advertisement is recognized when the related advertisement is aired. Cash received from customer related to the sales transactions which have not fulfilled the criteria for revenue recognition are recorded as part of  from Customers account in the consolidated statement of financial position.
Beban diakui pada saat terjadinya (asas akrual).		
Expenses are recognized when they are incurred (accrual basis).</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</si>
  <si>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</si>
  <si>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</si>
  <si>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</si>
  <si>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</si>
  <si>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224: Pengungkapan pihak-pihak berelasi.		
The Company and subsidiaries have transactions with related parties as defined in PSAK 224: Related party disclosures.
Transaksi ini dilakukan berdasarkan persyaratan yang disetujui oleh kedua belah pihak, yang mungkin tidak sama dengan transaksi lain yang dilakukan dengan pihak-pihak yang tidak berelasi. Transaksi dan saldo yang material dengan pihak berelasi diungkapkan dalam Catatan 38.		
The transactions are made based on terms agreed by the parties, which may not be the same as those made with unrelated parties. Significant transactions and balances with related parties are disclosed in Note 38.
Kecuali diungkapkan khusus sebagai pihak berelasi, maka pihak-pihak lain yang disebutkan dalam Catatan atas laporan keuangan konsolidasian merupakan pihak tidak berelasi.		
Unless specifically identified as related parties, the parties disclosed in the Notes to the consolidated financial statements are unrelated parties.</t>
  </si>
  <si>
    <t>Transactions with related parties</t>
  </si>
  <si>
    <t>Pajak penghasilan</t>
  </si>
  <si>
    <t>Pajak Tangguhan			
Deferred Tax
Beban pajak tahun berjalan ditetapkan berdasarkan taksiran penghasilan kena pajak tahun berjalan. Aset dan liabilitas pajak tangguhan diakui atas perbedaan temporer aset dan liabilitas antara pelaporan komersial dan pajak pada setiap tanggal pelaporan.		     	
Current tax expense is provided based on the estimated taxable income for the current year. Deferred tax assets and liabilities are recognized for temporary differences between the financial and the tax bases of assets and liabilities at each reporting date.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kecuali:
i)	jika aset pajak tangguhan timbul dari pengakuan awal aset atau liabilitas dalam transaksi yang bukan transaksi kombinasi bisnis dan tidak memengaruhi laba akuntansi maupun laba kena pajak atau 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Deferred tax assets are recognized for all deductible temporary differences and carry forward of unused tax losses to the extent that it is probable that future taxable profits will be available against which the deductible temporary differences and carry forward of unused tax losses can be utilized,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pajak tangguhan yang tidak diakui ditinjau ulang pada setiap tanggal pelaporan dan akan diakui apabila besar kemungkinan bahwa laba kena pajak pada masa yang akan datang akan tersedia untuk pemulihannya.			
The carrying amount of deferred tax assets is reviewed at each reporting date and reduced to the extent that it is no longer probable that sufficient taxable profits will be available to allow all or part of the benefit of the deferred tax assets to be utilized. Unrecognized deferred tax assets are reassessed at each reporting date and are recognized to the extent that it has become probable that future taxable profit will allow the deferred tax assets to be recovered.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Deferred tax liabilities are recognized for all taxable temporary differences, except:
i)	where the deferred tax liability arises from the initial recognition of goodwill or of an asset or liability in a transaction that is not a business combination and, at the time of the transaction, affects neither the accounting profit nor taxable profit or loss;
ii)	dari perbedaan temporer kena pajak atas investasi pada entitas anak, yang saat pembalikannya dapat dikendalikan dan besar kemungkinannya bahwa beda temporer itu tidak akan dibalik dalam waktu dekat.	
ii)	in respect of taxable temporary differences associated with investments in subsidiaries, when the timing of the reversal of the temporary differences can be controlled and it is probable that the temporary differences will not reverse in the foreseeable future.
Aset dan kewajiban pajak tangguhan diukur berdasarkan tarif pajak yang akan berlaku pada tahun saat aset direalisasikan atau liabilitas diselesaikan berdasarkan peraturan perpajakan yang berlaku atau yang telah secara substantif telah diberlakukan pada akhir periode pelaporan. Pengaruh pajak terkait dengan penyisihan untuk dan/atau pembalikan seluruh perbedaan temporer selama periode berjalan, termasuk pengaruh perubahan tarif pajak, diakui sebagai  Pajak Penghasilan - Neto dan termasuk dalam laba atau rugi neto tahun berjalan, kecuali untuk transaksi-transaksi yang sebelumnya telah langsung dibebankan atau dikreditkan ke ekuitas.
Deferred tax assets and liabilities are measured at the tax rates that are expected to apply to the year when the asset is realized or the liability is settled based on tax laws that have been enacted or substantively enacted by the end of the reporting period. The related tax effects of the provisions for and/or reversals of all temporary differences during the period, including the effect of change in tax rates, are recognized as  Tax Expense - Net and included in the determination of net profit or loss for the year, except to the extent that they relate to items previously charged or credited to equity.
Perubahan terhadap kewajiban perpajakan diakui pada saat penetapan pajak diterima atau jika Kelompok Usaha mengajukan keberatan, pada saat keputusan atas keberatan telah ditetapkan.			
Amendments to tax obligations are recorded when an assessment is received or, if appealed against by the Group, when the result of the appeal is determined.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Tax benefits acquired as part of a business combination, but not satisfying the criteria for separate recognition at that date, are recognised subsequently if new information about facts and circumstances change. The adjustment is either treated as a reduction in goodwill (as long as it does not exceed goodwill) if it was incurred during the measurement period or recognized in profit or loss.
Kelompok Usaha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dimana jumlah liabilitas atau aset pajak tangguhan yang signifikan diharapkan untuk diselesaikan atau dipulihkan.			
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
Untuk setiap entitas yang dikonsolidasi, pengaruh pajak atas perbedaan temporer dan akumulasi rugi pajak, yang masing-masing dapat berupa aset atau liabilitas, disajikan dalam jumlah neto untuk masing-masing entitas tersebut.		
For each of the consolidated entities, the tax effects of temporary differences and tax loss carryover, which individually are either assets or liabilities, are shown at the applicable net amounts.
Pajak Pertambahan Nilai		
Value Added Tax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Revenue, expenses and assets are recognized net of the amount of VAT except:
	the VAT incurred on a purchase of assets or services is not recoverable, in which case the VAT is recognised as part of the cost of acquisition of the asset or as part of the expense item as applicable; and
	Receivables and payables that are stated with the amount of VAT included.
Jumlah PPN neto yang diajukan untuk direstitusi, atau terutang kepada, kantor pajak termasuk sebagai bagian dari aset atau liabilitas pada laporan posisi keuangan konsolidasian.		
The net amount of VAT which is claimed for restitution from, or payable to, the taxation authorities is included as part of assets or liabilities in the consolidated statement of financial position.
Pajak Kini		
Current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Interests and penalties are presented as part of other operating income or expenses since they are not considered as part of the income tax expense.
Current income tax relating to items recognized directly in equity is recognized in equity and not in the statement of profit or loss. Management periodically evaluates positions taken in the Annual Notification Letter (SPT) with respect to situations in which applicable tax regulations are subject to interpretation and establishes provisions where appropriate.
Pajak Final		
Final Tax
Sesuai peraturan perpajakan di Indonesia, pajak final dikenakan atas nilai bruto transaksi, dan tetap dikenakan walaupun atas transaksi tersebut pelaku transaksi mengalami kerugian. 	
In accordance with the tax regulation in Indonesia, final tax is applied to the gross value of transactions, even when the parties carrying the transaction recognizing losses.
Pajak final tidak termasuk dalam lingkup yang diatur oleh PSAK 212: Pajak Penghasilan. 	
Final tax is scoped out from PSAK 212: Income Tax.</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</si>
  <si>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</si>
  <si>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</si>
  <si>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</si>
  <si>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</si>
  <si>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</si>
  <si>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</si>
  <si>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</si>
  <si>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Kelompok Usaha mengakui liabilitas diestimasi atas imbalan kerja karyawan berdasarkan peraturan Kelompok Usaha dan sesuai dengan Perjanjian Kerja Bersama dan Peraturan Pemerintah Pengganti Undang-undang tentang Cipta Kerja No. 2/2022 ( Cipta Kerja (UUCK)). Nilai kini kewajiban imbalan pasti, beban jasa kini dan beban jasa lalu ditentukan dengan menggunakan metode penilaian  Unit Credit.		
The Group provides post employment benefits under the Group regulations and under Collective Labor Agreement and Government Regulation in Lieu of Law No. 2/2022 (the  Kerja Law (UUCK)). The present value of defined benefit obligation, current service cost and past service cost is determined using  Unit Credit method.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The present value of the defined benefit obligation is determined by discounting the estimated future cash outflows using the yield at the end of the reporting period of long-term government bonds denominated in Rupiah in which the benefits will be paid and that have terms to maturity similar to the related pension obligation.
Pengukuran kembali yang timbul dari penyesuaian dan perubahan dalam asumsi-asumsi aktuarial langsung diakui seluruhnya melalui penghasilan komprehensif lainnya. Pengukuran kembali tidak direklasifikasi ke laba rugi pada periode berikutnya.			
Remeasurements arising from experience adjustments and changes in actuarial assumptions are directly recognized in other comprehensive income. Remeasurements are not reclassified to profit or loss in subsequent periods.
Biaya jasa lalu harus diakui sebagai beban pada saat yang lebih awal antara: 
i)	ketika program amendemen atau kurtailmen terjadi; dan 
ii)	ketika entitas mengakui biaya restrukturisasi atau imbalan terminasi terkait.			
Past service costs are recognized in profit or loss at the earlier between:
i)	the date of the plan amendment or curtailment, and
ii)	the date the Group recognizes related restructuring costs.
Bunga neto dihitung dengan menerapkan tingkat diskonto yang digunakan terhadap liabilitas imbalan kerja. Kelompok Usaha mengakui perubahan berikut pada kewajiban obligasi neto pada akun  pokok penjualan dan  umum dan administrasi pada laporan laba rugi dan penghasilan komprehensif lain konsolidan:
i)	Biaya jasa terdiri atas biaya jasa kini, biaya jasa lalu, keuntungan atau kerugian atas penyelesaian (curtailment) tidak rutin; dan
ii)	Beban atau penghasilan bunga neto.			
Net interest is calculated by applying the discount rate to the net defined benefit liability. The Group recognizes the following changes in the net defined benefit obligation under  of goods sold and  and administrative expenses as appropriate in the   consolidated statement of profit or loss and other comprehensive ime:
i)	Service costs comprising current service costs, past-service costs, gains or losses on curtailments and non-routine settlements; and
ii)	Net interest expense or income.</t>
  </si>
  <si>
    <t>Employee benefits</t>
  </si>
  <si>
    <t>Laba per saham</t>
  </si>
  <si>
    <t>Laba/(rugi) per saham dihitung berdasarkan rata-rata tertimbang jumlah saham yang beredar selama periode yang bersangkutan.			
Earnings/(loss) per share is computed based on the weighted average number of issued and fully paid shares during the period.
Perusahaan tidak mempunyai efek berpotensi saham biasa yang bersifat dilutif pada tanggal 30 Juni 2024 dan 31 Desember 2023, oleh karenanya, laba/(rugi) per saham dilusian tidak dihitung dan disajikan pada laporan laba rugi komprehensif konsolidasian.			
The Company has no outstanding dilutive potential ordinary shares as of June 30, 2024 and December 31, 2023, accordingly, no diluted earnings/(loss) per share is calculated and presented in the consolidated statements of comprehensive income.</t>
  </si>
  <si>
    <t>Earnings per share</t>
  </si>
  <si>
    <t>Dividen</t>
  </si>
  <si>
    <t>Dividends</t>
  </si>
  <si>
    <t>Pelaporan segmen</t>
  </si>
  <si>
    <t>Kelompok Usaha mengklasifikasikan informasi segmen primer (segmen bisnis) berdasarkan 
3 (tiga) area bisnis utama sebagai berikut:			
The Group classifies its primary segment (business segment) information into 3 (three) main business areas as follows:
	Media, mencakup stasiun televisi Free-to-Air () yang terdiri dari 6 (enam) stasiun televisi yaitu PT Indosiar Visual Mandiri (), PT Surya Citra Televisi (), PT Surya Citra Pesona (),
PT Citaprima Jakarta Televisi ( TV), PT Ajwa Berkah Televisi ( TV) dan PT Omni Intivision () dan penyiaran berlangganan televisi satelit yaitu PT Mediatama Televisi (), beserta perusahaan produksi dan distribusi konten, film dan video, megaportal website serta publikasi digital.		
	Media, representing Free-to-Air () of television broadcasting under the 6 (six) television channels, PT Indosiar Visual Mandiri (), PT Surya Citra Televisi (), PT Surya Citra Pesona (), PT Citaprima Jakarta Televisi ( TV), PT Ajwa Berkah Televisi ( TV) and PT Omni Intivision () and subscription broadcasting of satellite television under PT Mediatama Televisi (), content, film and video production and distribution, megaportal website and digital publishing companies.
	Kesehatan, yang mencakup jasa kesehatan.	
	Healthcare, representing a wide range of medical services.
	Lain-lain, mencakup konektivitas termasuk pengadaan jasa internet, solusi, investasi, jasa penumpang transportasi udara dan solusi makanan serta bisnis-bisnis lain.
	Others, representing connectivity including internet service provision, solution, investment, air transportation support and food solution services and other businesses.
Segmen adalah bagian yang dapat dibedakan dari Kelompok Usaha yang terlibat baik dalam menyediakan produk tertentu (segmen usaha), maupun dalam menyediakan produk dalam lingkungan ekonomi tertentu (segmen geografis), yang memiliki risiko dan imbalan yang berbeda dengan segmen lainnya.		
A segment is a distinguishable component of the Group that is engaged either in providing certain products (business segment), or in providing products within a particular economic environment (geographical segment), which is subject to risks and rewards that are different from those of other segments.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</si>
  <si>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Segment reporting</t>
  </si>
  <si>
    <t>Instrumen keuangan derivatif</t>
  </si>
  <si>
    <t>Derivative financial instruments</t>
  </si>
  <si>
    <t>Penerapan standar akutansi baru</t>
  </si>
  <si>
    <t>Pada tanggal 1 Januari 2024, Kelompok Usaha menerapkan pernyataan standar akuntansi keuangan dan interpretasi standar akuntansi keuangan baru dan revisi yang efektif sejak tanggal tersebut. Perubahan kebijakan akuntansi Kelompok Usaha telah dibuat seperti yang disyaratkan, sesuai dengan ketentuan transisi dalam masing-masing standar dan interpretasi. 		
On January 1, 2024, the Group adopted new and revised statements of financial accounting  standards and interpretations of statements of financial accounting standards that are mandatory for application from that date. Changes to the Group accounting policies have been made as required, in accordance with the transitional provisions in the respective standards and interpretations.
Penerapan standar dan interpretasi yang baru dan direvisi berikut ini tidak menghasilkan perubahan besar terhadap kebijakan akuntansi Kelompok Usaha dan tidak memiliki dampak material pada jumlah yang dilaporkan untuk tahun keuangan saat ini atau sebelumnya:		
The adoption of the following new and revised standard and interpretation did not result in substantial changes to the Group accounting policies and had no material effect on the amounts reported for the current or prior financial years:
Amendemen PSAK 201: Liabilitas Jangka Panjang dengan Kovenan	
Amendment of PSAK 201: Non-current Liabilities with Covenants
Amendemen ini mengklarifikasi bahwa hanya kovenan yang harus dipatuhi entitas pada atau sebelum tanggal pelaporan yang akan memengaruhi klasifikasi liabilitas sebagai lancar atau tidak lancar.		
This amendment clarifies that only covenants with which entities must comply on or before the reporting date will affect a liability classification as current or non-current.
Amendemen tersebut berlaku efektif untuk periode pelaporan tahunan yang dimulai pada atau setelah 1 Januari 2024 dengan penerapan dini diperkenankan.		
The amendments are effective for annual reporting period beginning on or after January 1, 2024 with early adoption permitted.
Entitas menerapkan amendemen PSAK 201 (Oktober 2020) tentang klasifikasi liabilitas sebagai jangka pendek atau jangka panjang pada periode pelaporan tahunan yang dimulai pada atau setelah 1 Januari 2024 secara retrospektif sesuai dengan PSAK 208. Jika entitas menerapkan amendemen PSAK 201 (Oktober 2020) pada periode yang lebih awal setelah terbitnya amendemen PSAK 201 (Desember 2022) tentang liabilitas jangka panjang dengan kovenan, maka entitas juga menerapkan amendemen PSAK 201 (Desember 2022) pada periode tersebut. Jika entitas menerapkan amendemen PSAK 201 (Oktober 2020) untuk periode sebelumnya, maka entitas mengungkapkan fakta tersebut.		
Entities apply retrospectively amendments to PSAK 201 (October 2020) regarding the classification of a liability as current or non-current for financial reporting starting on or after January 1, 2024 in accordance with PSAK 208. If entities apply the amendments to PSAK 201 (October 2020) in a period that earlier after the issuance of the amendment to PSAK 201 (December 2022) regarding non-current liabilities with covenants, entities also apply the amendment to PSAK 201 (December 2022) in that period. If entities apply the amendments to PSAK 201 (October 2020) for the previous period, the entity shall disclose this fact.
Amendemen PSAK 116: Liabilitas Sewa dalam Jual Beli dan Sewa-balik		
Amendment to PSAK 116: Lease Liability in a Sale and Leaseback
Amendemen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The amendment to PSAK 116 Leases specifies the requirements that a seller-lessee uses in measuring the lease liability arising in a sale and leaseback transaction, to ensure the seller-lessee does not recognise any amount of the gain or loss that relates to the right of use it retains.
Amendemen berlaku secara retrospektif untuk periode pelaporan tahunan yang dimulai pada atau setelah 1 Januari 2024. Penerapan dini diperkenankan. 		
The amendment applies retrospectively to annual reporting period beginning on or after 
January 1, 2024. Earlier application is permitted. 
Amendemen PSAK 207 dan PSAK 107: Pengaturan Pembiayaan Pemasok		
Amendment of PSAK 207 and PSAK 107: Supplier Finance Arrangements
Amendemen PSAK 207 dan PSAK 107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		
The amendments to PSAK 207 and PSAK 107 clarify the characteristics of supplier finance arrangements and require additional disclosure of such arrangements. The disclosure requirements in the amendments are intended to assist users of financial statements in understanding the effects of supplier finance arrangements on an entity liabilities, cash flows and exposure to liquidity risk.
Amendemen ini akan berlaku efektif untuk periode pelaporan tahunan yang dimulai pada atau setelah 1 Januari 2024. Penerapan dini diperkenankan, namun perlu diungkapkan. 		
The amendments will be effective for annual reporting periods beginning on or after January 1, 2024. Early adoption is permitted, but will need to be disclosed.</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</si>
  <si>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</si>
  <si>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</si>
  <si>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Business combinations are accounted for using the acquisition method. The cost of an acquisition is measured as the aggregate of the consideration transferred, measured at fair value on the acquisition date and the amount of any NCI in the acquiree. For each business combination, the acquirer measures the NCI in the acquiree either at fair value or at the proportionate share of the acquiree identifiable net assets. Transaction costs incurred are directly expensed and included in administrative expenses.
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 previously held equity interest in the acquiree is re-measured to fair value at the acquisition date through profit or loss.
Setiap imbalan kontingensi yang akan ditransfer oleh perusahaan pengakuisisi akan diakui pada nilai wajar pada tanggal akuisisi. Imbalan kontingensi yang diklasifikasikan sebagai ekuitas tidak diukur kembali dan penyelesaian selanjutnya adalah diperhitungkan dalam ekuitas.		
Any contingent consideration to be transferred by the acquirer will be recognized at fair value at the acquisition date. Contingent consideration classified as equity is not re-measured and its subsequent settlement is accounted for within equity.
Imbalan kontingensi yang diklasifikasikan sebagai aset atau liabilitas yaitu instrumen keuangan dan dalam lingkup PSAK 109: Instrumen Keuangan: Pengakuan dan Pengukuran, diukur pada nilai wajar dengan perubahan nilai wajar yang diakui dalam laba rugi sesuai dengan PSAK 109. Imbalan kontingensi lain yang tidak termasuk dalam PSAK 109 diukur sebesar nilai wajar pada setiap tanggal pelaporan dengan perubahan nilai wajar yang diakui pada laba rugi.		
Contingent consideration classified as an asset or liability that is a financial instrument and within the scope of PSAK 109: Financial Instruments: Recognition and Measurement,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Bila pencatatan awal kombinasi bisnis belum dapat diselesaikan pada tanggal pelaporan, Kelompok Usaha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yang didalamnya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Kombinasi bisnis entitas sepengendali		
Business combinations under common control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Business combinations under common control are accounted for using the pooling-of-interests method, whereby the difference between the consideration transferred and the book value of the net assets of the acquiree is recognized as part of  Paid-in Capital account in the consolidated statement of financial position. In applying the said pooling-of-interest method, the components of the financial statements of the combining entities are presented as if the combination has occurred since the beginning of the period of the combining entity coming under common control.</t>
  </si>
  <si>
    <t>Business combination</t>
  </si>
  <si>
    <t>Penentuan nilai wajar</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</si>
  <si>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 aset keuangan tertentu pada nilai wajar melalui penghasilan komprehensif lain () dan aset keuangan tertentu pada nilai wajar melalui laba rugi ().		
The Group initially measures financial instruments at fair value, and assets and liabilities of the acquirees upon business combinations. It also measures certain recoverable amounts of the CGU using fair value less cost of disposal () , certain financial assets at fair value through other comprehensive income (), and certain financial assets at fair value through profit or loss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embali tion to sell the asset or transfer the liability takes place either:
i)	In the principal market for the asset or liability, or
ii)	In the absence of a principal market, in the most advantageous market for the asset or liability.
Pasar utama atau pasar yang paling menguntungkan tersebut harus dapat diakses oleh Kelompok Usaha.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interests.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 ability to generate economic benefits by using the asset in its highest and best use or by selling it to another market participant that would use the asset in its highest and best use.
Kelompok Usaha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hirarki nilai wajar berdasarkan level masukan (input) paling rendah yang signifikan terhadap pengukuran nilai wajar secara keseluruhan sebagai berikut: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unobservable.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Untuk tujuan pengungkapan nilai wajar, Kelompok Usaha menentukan klasifikasi aset dan liabilitas berdasarkan sifat, karakteristik dan risikonya dan level pada hirarki nilai wajar sebagaimana dijelaskan diatas.		
For the purpose of fair value disclosures, the Group has determined classes of assets and liabilities on the basis of the nature, characteristics and risks of the asset or liability and the level of the fair value hierarchy as explained above.</t>
  </si>
  <si>
    <t>Determination of fair value</t>
  </si>
  <si>
    <t>Transaksi dan saldo dalam mata uang asing</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</si>
  <si>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The consolidated financial statements are presented in Rupiah, which is also the Company functional currency. Transactions involving foreign currencies are recorded at the rates of exchange prevailing at the time the transactions are made. At reporting dates, monetary assets and liabilities denominated in foreign currencies are adjusted to reflect the prevailing exchange rates at such date and the resulting gains or losses are credited or charged to current year operations.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For consolidation purpose, assets and liabilities of foreign subsidiaries which are recorded in United States Dollar as the functional currency, are translated into Rupiah using the prevailing exchange rate at such statement of financial position date. Income and expense accounts are translated using the prevailing average exchange rate for the year. Foreign exchange differences are credited or charged to the account  in Foreign Currency Translation of Financial Statements in equity in the consolidated statements of financial position.
Pada tanggal 30 Juni 2024 dan 31 Desember 2023, kurs yang digunakan dihitung berdasarkan rata-rata kurs tukar transaksi yang terakhir yang diterbitkan oleh Bank Indonesia masing-masing pada tanggal 30 Juni 2024 dan 31 Desember 2023 sebagai berikut (angka penuh): 		
As of June 30, 2024 and December 31 2023 and 2022, the exchange rates used were computed by taking the average of the transaction exchange rates published by Bank Indonesia as of June 30, 2024 and December 31, 2023, respectively, as follows (full amount): 
30 Juni 2024/		
June 30, 2024		
Pound Sterling Inggris (GBP)		20.745,50		
Euro Eropa (EUR)			17.554,06		
Dolar Amerika Serikat ($AS)		16.421,00	
Dolar Singapura (SGD)			12.095,63		
Ringgit Malaysia (MYR) 	  		3.479,41		
Yuan Cina (CNY) 	  	 	2.259,09		
Dolar Hongkong (HKD) 	  	 	2.102,93		
Rupee India (INR) 	  	 	196,12		
Won Korea (KRW)	  	 	11,84		
Dong Vietnam (VND)	  	 	0,65	
31 Desember 2023/	
December 31, 2023
Great Britain Pound Sterling (GBP)	19.760,25	
European Euro (EUR)		17.139,52	
United States Dollar (US$)		15.416,00	
Singapore Dollar (SGD)		11.711,64	
Malaysian Ringgit (MYR)		3.342,23	
Chinese Yuan (CNY)		2.169,67	
Hongkong Dollar (HKD)		1.972,71	
Indian Rupee (INR)		184,94	
Korean Won (KRW)		11,97	
Vietnamese Dong (VND)		0,64</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</si>
  <si>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</si>
  <si>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</si>
  <si>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</si>
  <si>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</si>
  <si>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</si>
  <si>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</si>
  <si>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</si>
  <si>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</si>
  <si>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Right-of-use (ROU) Assets
Kelompok Usaha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The Group recognizes ROU assets and lease liabilities at the commencement date of the lease. ROU assets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		
After commencement date, ROU asset is measured using cost model. The ROU asset is subsequently depreciated using the straight-line method from the commencement date to the earlier of the end of the useful life of the right-of-use asset or the end of the lease term: In addition, the ROU asset is periodically reduced by impairment losses, if any, and adjusted for certain remeasurements of the lease liability.
Jika kepemilikan aset pendasar sewa beralih ke Kelompok Usaha pada akhir masa sewa atau biaya perolehan aset hak-guna merefleksikan Kelompok Usaha akan mengeksekusi opsi beli, maka perolehan aset hak-guna dihitung menggunakan estimasi masa manfaat aset. Aset hak-guna juga dievaluasi untuk penurunan nilai.	
If ownership of the leased asset transfers to the Group at the end of the lease term or the cost reflects the exercise of a purchase option, depreciation is calculated using the estimated useful life of the asset. The right-of-use assets are also assessed for impairment.</t>
  </si>
  <si>
    <t>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 sebagai keuntungan dari pembelian dengan diskon.		
Goodwill is initially measured at cost (being the excess of the aggregate of the consideration transferred and the amount recognized for NCI and any previous interest held over the net identifiable assets acquired and liabilities assumed). If the fair value of the net assets acquired is in excess of the aggregate consideration transferred, the Group reassesses whether it has correctly identified all of the assets acquired and all of the liabilities assumed and reviews the procedures used to measure the amounts to be recognized at the acquisition date. If the reassessment still results in an excess of the fair value of net assets acquired over the aggregate consideration transferred, then the gain is recognized in profit or loss as gain on bargain purchase.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Where goodwill has been allocated to a CGU and part of the operations within that CGU are disposed of, the goodwill associated with the disposed operation is included in the carrying amount of the operation when determining the gain or loss on disposal of the operation. Goodwill disposed of in these circumstances is measured based on the relative values of the disposed operation and the portion of the CGU retained.</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</si>
  <si>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An associate is an entity over which the Group has significant influence. Significant influence is the power to participate in the financial and operating policy decisions of the investee, but is not control or joint control over those policies.
Laba atau rugi yang belum direalisasi sebagai hasil dari transaksi-transaksi antara Kelompok Usaha dengan entitas asosiasi dieliminasi sesuai dengan kepemilikan Kelompok Usaha dalam entitas asosiasi.		
Unrealized gains or losses resulting from transactions between the Group and the associated entities are eliminated to the extent of the Group interest in the associated entity.
Laporan laba rugi dan penghasilan komprehensif lain konsolidasian mencerminkan bagian Kelompok Usaha atas hasil operasi dari entitas asosiasi.		    	
The consolidated statement of profit or loss and other comprehensive income reflect the Group share of the results of operations of the associated entity.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The aggregate of the Group share of profit or loss of an associate is shown on the face of the consolidated statement of profit or loss and other comprehensive income (as profit or loss) outside operating profit and represents profit or loss after tax and NCI in the subsidiaries of the associate.
Setelah penerapan metode ekuitas, Kelompok Usaha menentukan apakah diperlukan untuk mengakui rugi penurunan nilai atas investasi Kelompok Usaha dalam entitas asosiasi. Kelompok Usaha menentukan pada setiap tanggal pelaporan apakah terdapat bukti obyektif yang mengindikasikan bahwa investasi dalam entitas asosiasi mengalami penurunan nilai.		    	
After application of the equity method, the Group determines whether it is necessary to recognize an impairment loss on the Group investment in an associated entity. The Group determines at each reporting date whether there is any objective evidence indicated that the investment in the associated entity is impaired.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</si>
  <si>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Investment in associates</t>
  </si>
  <si>
    <t>Aset takberwujud</t>
  </si>
  <si>
    <t>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The cost of intangible assets acquired in a business combination is their fair value at the date of acquisition. Following initial recognition, intangible assets are carried at cost less any accumulated amortization and accumulated impairment losses, except for goodwill which are carried at their fair value at the date of acquisitions less any impairment losses.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The useful lives of intangible assets are assessed as either finite or indefinite. Intangible assets with finite lives are amortized over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lives is recognised in the profit or loss as the expense category that is consistent with the function of the intangible assets.
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Intangible assets with indefinite useful lives are not amortized, but are tested for impairment annually, either individually or at the cash-generating unit level. The useful life of an intangible asset that is not being amortized shall be reviewed each period to determine whether events and circumstances continue to support an indefinite useful life assessment for that asset. If not, the change in useful life from indefinite to finite is made on a prospective basis.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		    	
Intangible assets are derecognized when no further economic benefits are expected, either from further use or from disposal. The difference between the carrying amount and the net proceeds received from disposal is recognized in the consolidated statement of profit or loss and other comprehensive income.
Laba atau rugi yang timbul dari penghentian pengakuan aset takberwujud dihitung sebagai selisih antara jumlah neto hasil pelepasan dan jumlah tercatat aset takberwujud dan diakui dalam laba rugi pada saat aset takberwujud tersebut dihentikan pengakuannya.		    	
Gains or losses arising from derecognition of an intangible asset are measured as the difference between the net disposal proceeds and the carrying amount of the asset and are recognized in profit or loss when the asset is derecognized.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</si>
  <si>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</si>
  <si>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</si>
  <si>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</si>
  <si>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</si>
  <si>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</si>
  <si>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</si>
  <si>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</si>
  <si>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</si>
  <si>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</si>
  <si>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</si>
  <si>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</si>
  <si>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Sewa		
Lease Liabilities
Liabilitas sewa awalnya diukur pada nilai kini atas pembayaran sewa yang belum dibayar pada tanggal permulaan, didiskontokan menggunakan suku bunga implisit dalam sewa atau, jika suku bunga tersebut tidak dapat ditentukan, digunakan suku bunga pinjaman inkremental Kelompok Usaha. Umumnya, Kelompok Usaha menggunakan suku bunga pinjaman inkremental sebagai suku bunga diskonto. Setelah tanggal dimulainya, jumlah liabilitas sewa ditingkatkan untuk mencerminkan pertambahan bunga dan dikurangi untuk pembayaran sewa yang dilakukan. Selain itu, jumlah tercatat liabilitas sewa diukur kembali jika ada modifikasi, perubahan jangka waktu sewa, perubahan pembayaran sewa, atau perubahan dalam penilaian opsi untuk membeli aset yang mendasarinya.		
The lease liability is initially measured at the present value of the lease payments that are not yet paid at the commencement date, discounted using the interest rate implicit in the lease or, if that rate cannot be readily determined, the Group incremental borrowing rate. Generally, the Group uses its incremental borrowing rate as the discount rate.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or a change in the assessment of an option to purchase the underlying asset.
Sewa jangka pendek dengan jangka waktu kurang dari 12 bulan dan sewa yang aset pendasarnya bernilai rendah, serta elemen-elemen sewa tersebut, sebagian atau seluruhnya tidak sesuai dengan prinsip-prinsip pengakuan yang ditetapkan oleh PSAK 116 akan diperlakukan sebagai sewa operasi. Kelompok Usaha akan mengakui pembayaran sewa tersebut secara garis lurus selama masa sewa dalam laporan laba rugi dan penghasilan komprehensif lain konsolidasian.		
Short-term leases with a duration of less than 12 months, and low-value leases, as well as those lease elements, partially or totally not complying with the principles of recognition defined by PSAK 116 will be treated similarly to operating leases. The Group will recognize those lease payments on a straight-line basis over the lease term in the consolidated statements of profit or loss and other comprehensive income.</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</si>
  <si>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</si>
  <si>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</si>
  <si>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</si>
  <si>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</si>
  <si>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</si>
  <si>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</si>
  <si>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</si>
  <si>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</si>
  <si>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</si>
  <si>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
Own equity instruments that are reacquired (treasury shares) are recognized at cost and deducted from equity. No gain or loss is recognized in profit or loss on the purchase, sale, issue or cancellation of the Group own equity instruments. Any difference between the carrying amount and the consideration, if reissued, is recognized as part of additional paid-in capital in the equity.</t>
  </si>
  <si>
    <t>Treasury stock</t>
  </si>
  <si>
    <t>Modal saham</t>
  </si>
  <si>
    <t>Share capital</t>
  </si>
  <si>
    <t>Pengaturan pembayaran berbasis saham</t>
  </si>
  <si>
    <t>Share-based payment arrangement</t>
  </si>
  <si>
    <t>Biaya emisi efek ekuitas</t>
  </si>
  <si>
    <t>Stock issuance cost</t>
  </si>
  <si>
    <t>Instrumen keuangan</t>
  </si>
  <si>
    <t>Kelompok Usaha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
i)	Aset Keuangan		
i)	Financial Assets
Pengakuan dan Pengukuran Awal Aset Keuangan		
Initial Recognition and Measurement Financial Assets
Aset keuangan diklasifikasikan pada saat pengakuan awal dan selanjutnya diukur pada biaya perolehan diamortisasi, nilai wajar melalui penghasilan komprehensif lain (), dan nilai wajar melalui laba rugi ().		
Financial assets are classified, at initial recognition, and subsequently measured at amortized cost, fair value through OCI (), and fair value through profit or loss ().
Pada pengakuan awal, Kelompok Usaha mengukur aset keuangan pada nilai wajarnya ditambah biaya transaksi, dalam hal aset keuangan tidak diukur pada nilai wajar melalui laba rugi (). Piutang usaha yang tidak mengandung komponen pembiayaan yang signifikan, dimana Kelompok Usaha telah menerapkan cara praktis, yaitu diukur pada harga transaksi yang ditentukan sesuai PSAK 115.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		
In order for a financial asset to be classified and measured at amortized cost or FVTOCI, it needs to give rise to cash flows that are solely payments of principal and interest on the principal amount outstanding. This assessment is referred to as the Solely Payments of Principal and Interest () testing and it is performed at instrument level.
Model bisnis Kelompok Usaha dalam mengelola aset keuangan mengacu kepada bagaimana Kelompok Usaha mengelola aset keuangan untuk menghasilkan arus kas. Model bisnis menentukan apakah arus kas akan dihasilkan dari memperoleh arus kas kontraktual, menjual aset keuangan, atau keduanya.		
The Group business model for managing financial assets refers to how it manages its financial assets in order to generate cash flows. The business model determines whether cash flows will result from collecting contractual cash flows, selling the financial assets, or both.
Pengukuran Setelah Pengakuan Awal Aset Keuangan 		
Subsequent Measurement of Financial Assets
Untuk tujuan pengukuran setelah pengakuan awal, aset keuangan diklasifikasikan kedalam empat kategori:		
For purposes of subsequent measurement, financial assets are classified in four categories:
(i)	Aset keuangan diukur pada biaya perolehan diamortisasi (instrumen utang)		
(i)   Financial assets at amortized cost (debt instruments)
Kelompok Usaha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solely payments of principal and interest on the principal amount outstanding.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Kelompok Usaha pada kategori ini meliputi kas dan setara kas, piutang usaha, dan piutang lain-lain.		
Financial assets at amortized cost are subsequently measured using the effective interest rate () method and are subject to impairment. Gains and losses are recognized in profit or loss when the asset is derecognized, modified or impaired. The Group financial assets at amortized cost consist of cash and cash equivalents, trade receivables, and other receivables.
(ii)	Aset keuangan diukur nilai wajar melalui penghasilan komprehensif lain dengan fitur reklasifikasi keuntungan dan kerugian kumulatif (instrumen utang)		
(ii)	Financial assets at FVTOCI with recycling of cumulative gains and losses (debt instruments)
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		
For debt instruments at FVTOCI, interest income, foreign exchange revaluation and impairment losses or reversals are recognized in the statement of profit or loss and computed in the same manner as for financial assets measured at amortized cost. The remaining fair value changes are recognized in other comprehensive income. Upon derecognition, the cumulative fair value change recognized in other comprehensive income is recycled to profit or loss.
Kelompok Usaha tidak memiliki instrumen utang yang diklasifikasikan pada nilai wajar melalui penghasilan komprehensif lain dengan fitur reklasifikasi keuntungan dan kerugian kumulatif per 30 Juni 2024.		
The Group has no debt instruments classified at FVTOCI with recycling of cumulative gains and losses as of June 30, 2024.
(iii)	Aset keuangan diukur pada nilai wajar melalui penghasilan komprehensif lain tanpa fitur reklasifikasi keuntungan dan kerugian kumulatif saat penghentian pengakuan (instrumen ekuitas
	(iii)	Financial assets designated at FVTOCI with no recycling of cumulative gains and losses upon derecognition (equity instruments)
Saat pengakuan awal, Kelompok dapat membuat pilihan yang tidak dapat dibatalkan untuk menyajikan dalam penghasilan komprehensif lain perubahan nilai wajar investasi dalam instrumen ekuitas yang masuk dalam ruang lingkup PSAK 109 dan yang bukan merupakan instrumen ekuitas dimiliki untuk diperdagangkan. Pilihan ini dilakukan pada level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Upon initial recognition, the Group can elect to classify irrevocably its equity investments as equity instruments designated at FVTOCI when they meet the definition of equity under PSAK 109 and are not held for trading. The classification is determined on an instrument-by-instrument basis. Gains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FVTOCI are not subject to impairment assessment. 
Kelompok Usaha memiliki investasi ekuitas yang diklasifikasikan pada nilai wajar melalui penghasilan komprehensif lain tanpa fitur reklasifikasi keuntungan dan kerugian kumulatif per 30 Juni 2024.		
The Group has equity instruments classified at FVTOCI with no recycling of cumulative gains and losses as of June 30, 2024.
(iv)	Aset keuangan diukur pada nilai wajar melalui laba rugi		
(iv)	Financial assets at FVTPL
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		
Financial assets at FVTPL include financial assets held for trading, financial assets designated upon initial recognition at FVTPL,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fulfilled with solely payments of principal and interest () testing are classified and measured at FVTPL, irrespective of the business model.
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  	
Notwithstanding the criteria for debt instruments to be classified at amortized cost or at FVTOCI, as described above, debt instruments may be designated at FVTPL on initial recognition if doing so eliminates, or significantly reduces, an accounting mismatch.
Dividen atas investasi ekuitas yang tercatat sebagai aset keuangan diakui sebagai laba atas investasi dalam laporan laba rugi konsolidasian pada saat hak atas pembayaran telah ditetapkan. 		
Dividends on equity investments as financial assets are recognized as gain on investment in the consolidated statement of profit or loss when the right of payment has been established.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FVTPL.
A derivative embedded in a hybrid contract, with a financial liability or non-financial host, is separated from the host and accounted for as a separate derivative if: the economic characteristics and risks are not closely related to the host; a separate instrument with the same terms as the embedded derivative would meet the definition of a derivative; and the hybrid contract is not measured at FVTPL. Embedded derivatives are measured at fair value with changes in fair value recognized in profit or loss. Reassessment only occurs if there is either a change in the terms of the contract that significantly modifies the cash flows that would otherwise be required or a reclassification of a financial asset out of the FVTPL category.
Aset keuangan kategori ini pada laporan posisi keuangan konsolidasian diukur pada nilai wajarnya dimana keuntungan dan kerugian yang timbul sebagai hasil dari perubahan nilai wajar diakui dalam laporan laba rugi. Aset keuangan Kelompok Usaha diukur pada nilai wajar melalui laba rugi terdiri dari investasi pada ekuitas dan derivatif.		
Financial assets at FVTPL are carried in the consolidated statement of financial position at fair value with net changes in fair value recognized in the statement of profit or loss. The Group financial assets at FVTPL consist of equity investments and derivative.
Kerugian Kredit Ekspektasian ()		
Expected Credit Losses ()
Kelompok Usaha mengakui cadangan kerugian kredit ekspektasian () untuk instrumen keuangan berikut ini yang tidak diukur pada FVTPL:		
The Group recognizes loss allowances for expected credit losses () on the following financial instruments that are not measured at FVTPL:
-	aset keuangan yang merupakan instrumen utang; 		
-	financial assets that are debt instruments;
-	komitmen pinjaman yang diterbitkan.		
-	loan commitments issued.
Kerugian kredit ekspektasian didasarkan pada perbedaan antara arus kas kontraktual yang tertuang dalam kontrak dan seluruh arus kas yang diharapkan akan diterima Kelompok Usaha, didiskontokan menggunakan suku bunga efektif awal. Arus kas yang diharapkan akan diterima tersebut mencakup arus kas dari penjualan agunan yang dimiliki atau perluasan kredit lainnya yang merupakan bagian integral dari persyaratan kontrak.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Untuk piutang usaha dan aset kontrak, Kelompok Usaha menerapkan panduan praktis dalam menghitung kerugian kredit ekspektasian. Oleh karena itu, Kelompok Usaha tidak mengidentifikasi perubahan dalam risiko kredit, melainkan mengukur penyisihan kerugian sejumlah kerugian kredit ekspektasian sepanjang umur. Kelompok Usaha telah membentuk matriks provisi yang didasarkan pada data historis kerugian kredit, disesuaikan dengan faktor-faktor perkiraan masa depan (forward-looking) khusus terkait pelanggan dan lingkungan ekonomi.		
For trade receivables and contract assets,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Untuk instrumen utang yang diukur pada nilai wajar melalui penghasilan komprehensif lain, Kelompok Usaha menerapkan metode yang disederhanakan. Pada setiap tanggal pelaporan, Kelompok Usaha mengevaluasi apakah instrumen utang dianggap memiliki risiko kredit rendah menggunakan semua informasi yang masuk akal dan dapat didukung yang tersedia tanpa biaya atau upaya yang berlebihan.	
For debt instruments at FVTOCI, the Group applies the low credit risk simplification. At every reporting date, the Group evaluates whether the debt instrument is considered to have low credit risk using all reasonable and supportable information that is available without undue cost or effort.
Dalam kasus-kasus tertentu, Kelompok Usaha juga dapat berpendapat bahwa aset keuangan dalam keadaan default ketika informasi internal atau eksternal menunjukkan bahwa Kelompok Usaha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ii)	Liabilitas Keuangan 
ii)	Financial Liabilities 
Pengakuan dan Pengukuran Awal Liabilitas Keuangan		
Initial Recognition and Measurement of Financial Liabilities
Liabilitas keuangan diklasifikasikan, pada pengakuan awal, sebagai liabilitas keuangan yang diukur pada nilai wajar melalui laba rugi, pinjaman, dan utang atau sebagai derivatif yang ditetapkan sebagai instrumen lindung nilai dalam lindung nilai yang efektif, jika sesuai.		
Financial liabilities are classified, at initial recognition, as financial liabilities at fair value through profit or loss, loans and borrowings, payables or as derivatives designated as hedging instruments in an effective hedge, as appropriate.
Semua liabilitas keuangan pada awalnya diakui pada nilai wajar, dan untuk pinjaman sebesar pinjaman yang diterima setelah dikurangi biaya transaksi yang dapat diatribusikan secara langsung.	
All financial liabilities are recognized initially at fair value and, in the case of loan and borrowings and payables, net of directly attributable transaction costs.
Kelompok Usaha mengklasifikasikan liabilitas keuangannya sebagai (i) liabilitas keuangan diukur pada nilai wajar melalui laba rugi atau (ii) liabilitas keuangan diukur pada biaya perolehan diamortisasi.  		
The Group classifies its financial liabilities as: (i) financial liabilities at FVTPL or (ii) financial liabilities measured at amortized cost.  
Liabilitas keuangan Kelompok Usaha terdiri dari utang usaha, beban akrual, utang bank jangka pendek, utang lain-lain, liabilitas sewa, dan liabilitas jangka pendek lainnya.		
The Group financial liabilities include trade payables, accrued expenses, short-term bank loan, other payable, lease liabilities, and other current liabilities.
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 konsolidasian.	
Financial liabilities at FVTPL include financial liabilities held for trading and financial liabilities designated upon initial recognition as at FVTPL. Financial liabilities are classified as held for trading if they are incurred for the purpose of repurchasing in the near term. This category also includes derivative financial instruments entered into by the Group that are not designated as hedging instruments in hedge relationships. Separated embedded derivatives are also classified as held for trading unless they are designated as effective hedging instruments. Gains or losses on liabilities held for trading are recognized in the consolidated statement of profit or loss.
Pengukuran Selanjutnya		
Subsequent Measurement
Pengukuran liabilitas keuangan bergantung pada klasifikasinya sebagai berikut: 		
The measurement of financial liabilities depends on their classification, as described below:
(i)	Liabilitas keuangan diukur pada nilai wajar melalui laba rugi		
(i)	Financial liabilities at FVTPL
Penentuan liabilitas keuangan untuk dapat ditetapkan diukur pada nilai wajar melalui laba rugi ditentukan pada saat pengakuan awal, dan hanya jika kriteria-kriteria yang terdapat dalam PSAK 109 terpenuhi. Kelompok Usaha tidak menetapkan liabilitas keuangan untuk diukur pada nilai wajar melalui laba rugi.  		
Financial liabilities designated upon initial recognition at FVTPL are designated at the initial date of recognition, and only if the criteria in PSAK 109 are satisfied. The Group has not designated any financial liability as at FVTPL.
(ii)	Liabilitas keuangan diukur pada biaya perolehan diamortisasi	
(ii)	Financial liabilities measured at amortized cost
Kategori ini merupakan yang paling relevan bagi Kelompok Usaha. Setelah pengakuan awal, pinjaman diukur pada biaya perolehan diamortisasi menggunakan metode suku bunga efektif (). Keuntungan dan kerugian diakui pada laba rugi hingga liabilitas dihentikan pengakuannya melalui proses amortisasi metode suku bunga efektif. Biaya perolehan diamortisasi dihitung dengan mempertimbangkan setiap diskon atau premi pada perolehan awal dan biaya yang merupakan bagian integral dari metode suku bunga efektif. Amortisasi metode suku bunga efektif diakui sebagai biaya pendanaan pada laporan laba rugi.		
This is the category most relevant to the Group. After initial recognition, interest-bearing loans and other borrowings are subsequently measured at amortized cost using the effective interest rate () method. Gains and losses are recognized in profit or loss when the liabilities are derecognized as well as through the EIR amortisation process. Amortized cost is calculated by taking into account any discount or premium on acquisition and fees or costs that are an integral part of the EIR. The EIR amortisation is included as finance costs in the statement of profit or loss.
Utang dan Pinjaman Jangka Panjang yang Dikenakan Bunga		
Long-term Interest-bearing Loans and Borrowings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Biaya amortisasi dihitung dengan mempertimbangkan setiap diskonto atau premium atas akuisisi dan komisi atau biaya yang merupakan bagian tidak terpisahkan dari SBE. Amortisasi SBE dicatat sebagai beban keuangan pada laba rugi.	
Amortized cost is calculated by taking into account any discount or premium on acquisition and fees or costs that are an integral part of the EIR. The EIR amortization is included in finance costs in the profit or loss.
Utang dan Akrual		
Payables and Accruals
Liabilitas untuk utang usaha dan utang lain-lain jangka pendek, biaya masih harus dibayar dan liabilitas imbalan kerja jangka pendek dinyatakan sebesar jumlah tercatat (jumlah nosional), yang kurang lebih sebesar nilai wajarnya.		
Liabilities for current trade and other payable, accrued expenses and short-term employee benefit liability are stated at carrying amounts (notional amounts), which approximate their fair values.
iii)	Saling Hapus Instrumen Keuangan		iii)	Offsetting Financial Instruments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Financial assets and liabilities are offset and the net amount is reported in the consolidated statements of financial position if, and only if, there is a currently enforceable legal right to offset the recognized amounts and there is an intention to settle them on a net basis, or to realize the assets and settle the liabilities simultaneously.
iv)	Penghentian Pengakuan Instrumen Keuangan 	
iv)	Derecognition of Financial Instruments 
Kelompok Usaha menghentikan pengakuan aset keuangan saat hak kontraktual atas arus kas yang berasal dari aset keuangan tersebut berakhir, atau saat seluruh risiko dan manfaat dari aset keuangan tersebut ditransfer secara substansial kepada pihak lain.	
The Group derecognizes a financial asset when the contractual rights to the cash flows from the financial asset expire, or when the Group transfers substantially all the risks and rewards of ownership of the financial asset.   
Kelompok Usaha menghentikan pengakuan liabilitas keuangan saat kewajiban kontraktual untuk membayar dilepaskan, dibatalkan atau berakhir.		
The Group derecognizes a financial liability when the obligation specified in the contract is discharged or canceled or has expired.
 v)	Modifikasi		
 v)	Modifications
Jika persyaratan aset keuangan dimodifikasi, Kelompok Usaha mengevaluasi apakah arus kas dari aset yang dimodifikasi secara substansial berbeda. Jika arus kas berbeda secara substansial, hak kontraktual atas arus kas dari aset keuangan original dianggap telah kedaluwarsa. Dalam kasus ini, aset keuangan original dihentikan pengakuannya dan aset keuangan baru diakui pada nilai wajar.		
If the terms of financial asset are modified, the Group evaluates whether the cash flows of the modified asset are substantially different. If the cash flows are substantially different, then the contractual rights to cash flow from the original financial asset are deemed to have expired. In this case, the original financial asset is derecognised and a new financial asset is recognised at fair value.
Jika arus kas dari aset yang dimodifikasi dicatat pada biaya perolehan amortisasi tidak jauh berbeda, maka modifikasi tersebut tidak mengakibatkan penghentian pengakuan aset keuangan tersebut. Dalam hal ini, Kelompok Usaha menghitung ulang nilai tercatat bruto aset keuangan dan mengakui jumlah yang timbul dari penyesuaian jumlah tercatat bruto sebagai modifikasi keuntungan atau kerugian dalam laba rugi. Jika modifikasi tersebut dilakukan karena peminjam mengalami kesulitan keuangan, maka keuntungan atau kerugian disajikan bersama dengan kerugian penurunan nilai. Dalam kasus lain, ini disajikan sebagai pendapatan bunga.		
If the cash flows of the modified asset carried at amortized cost are not substantially different, then the modification does not result in derecognition of the financial asset. In this case, the Group recalculates the gross carrying amount of the financial asset and recognises the amount arising from adjusting the gross carrying amount as a modification gain or loss in profit or loss. If such a modification is carried out because of financial difficulties of the borrower, then the gain or loss is presented together with impairment losses. In other cases, it is presented as interest income.</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</si>
  <si>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</si>
  <si>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</si>
  <si>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</si>
  <si>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</si>
  <si>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</si>
  <si>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</si>
  <si>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</si>
  <si>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</si>
  <si>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</si>
  <si>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</si>
  <si>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</si>
  <si>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</si>
  <si>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</si>
  <si>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</si>
  <si>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</si>
  <si>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</si>
  <si>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</si>
  <si>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</si>
  <si>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</si>
  <si>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</si>
  <si>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</si>
  <si>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</si>
  <si>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</si>
  <si>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</si>
  <si>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</si>
  <si>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</si>
  <si>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</si>
  <si>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</si>
  <si>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</si>
  <si>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</si>
  <si>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</si>
  <si>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</si>
  <si>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</si>
  <si>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</si>
  <si>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</si>
  <si>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</si>
  <si>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</si>
  <si>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</si>
  <si>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</si>
  <si>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</si>
  <si>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</si>
  <si>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</si>
  <si>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</si>
  <si>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</si>
  <si>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</si>
  <si>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</si>
  <si>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</si>
  <si>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</si>
  <si>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</si>
  <si>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</si>
  <si>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</si>
  <si>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</si>
  <si>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</si>
  <si>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</si>
  <si>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</si>
  <si>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</si>
  <si>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</si>
  <si>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</si>
  <si>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</si>
  <si>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</si>
  <si>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</si>
  <si>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</si>
  <si>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</si>
  <si>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</si>
  <si>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</si>
  <si>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</si>
  <si>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</si>
  <si>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</si>
  <si>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</si>
  <si>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</si>
  <si>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</si>
  <si>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</si>
  <si>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</si>
  <si>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</si>
  <si>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</si>
  <si>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</si>
  <si>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</si>
  <si>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</si>
  <si>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</si>
  <si>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</si>
  <si>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</si>
  <si>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</si>
  <si>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</si>
  <si>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</si>
  <si>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</si>
  <si>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</si>
  <si>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</si>
  <si>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</si>
  <si>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</si>
  <si>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</si>
  <si>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</si>
  <si>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</si>
  <si>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</si>
  <si>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</si>
  <si>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</si>
  <si>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</si>
  <si>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</si>
  <si>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</si>
  <si>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</si>
  <si>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</si>
  <si>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</si>
  <si>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</si>
  <si>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</si>
  <si>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manajemen berkeyakinan bahwa tidak terdapat peristiwa atau keadaan yang mengindikasikan adanya penurunan nilai aset tetap. As of June 30, 2024 and December 31, 2023, the management believes that there are no events or changes in circumstances that may indicate any impairment in the value of fixed assets. Aset tetap berupa tanah terletak di beberapa kota di Indonesia dengan status Hak Guna Bangunan (). HGB tersebut akan berakhir pada berbagai tanggal sampai dengan tahun 2047. Tanah dengan status HGB merupakan tanah atas nama Kelompok Usaha. Manajemen berkeyakinan bahwa hak tersebut akan dapat diperpanjang pada saat berakhirnya. Land is located in several cities in Indonesia with the status of Building Use Rights (), The HGB will expire on various dates until 2047. Landrights under HGB are under the Group name. Management believes that these landrights can be extended upon their expiration. Pada tanggal 30 Juni 2024, tanah dan bangunan SMM, SMI, SMA, KSU dan UPM dengan nilai Hak Tanggungan Peringkat Pertama dengan total sebesar Rp1,42 triliun digunakan sebagai jaminan utang bank yang diperoleh dari PT Bank HSBC Indonesia (Catatan 23). As of June 30, 2024, land and buildings of SMM, SMI, SMA, KSU and UPM with First Class Mortgage with total amounting to Rp1.42 trillion were pledged as collateral for the bank loans obtained from PT Bank HSBC Indonesia (Note 23). Pada tanggal 31 Desember 2023, tanah dan bangunan SMM, SMI, SMA dan KSU dengan nilai Hak Tanggungan Peringkat Pertama dengan total sebesar Rp1,25 triliun digunakan sebagai jaminan utang bank yang diperoleh dari PT Bank HSBC Indonesia (Catatan 23). As of December 31, 2023, land and buildings of SMM, SMI, SMA and KSU with First Class Mortgage with total amounting to Rp1.25 trillion were pledged as collateral for the bank loans obtained from PT Bank HSBC Indonesia (Note 23). Pada tanggal 30 Juni 2024 dan 31 Desember 2023, beberapa kendaraan tertentu dijadikan sebagai jaminan atas pinjaman yang diterima untuk membeli kendaraan dari berbagai institusi keuangan (Catatan 23). As of June 30, 2024 and December 31, 2023, certain vehicles are pledged as collateral for loan financing obtained to purchase the related vehicles from various financial institutions (Note 23). Pada tanggal 30 Juni 2024, aset tetap (kecuali tanah) diasuransikan terhadap berbagai risiko kerugian dengan nilai pertanggungan sebesar $AS80,07 juta dan Rp5,44 triliun atau jumlahnya setara dengan Rp6,76 triliun, yang menurut keyakinan manajemen Kelompok Usaha cukup untuk menutupi kemungkinan kerugian yang timbul dari berbagai risiko tersebut. As of June 30, 2024, fixed assets (except land) are covered by insurance against the risk of various losses with a total insurance coverage amounting to US$80.07 million and Rp5.44 trillion or equivalent to a total of Rp6.76 trillion, which the Group management believes is adequate to cover possible losses arising from such various risks. Pada tanggal 30 Juni 2024, Kelompok Usaha masih menggunakan beberapa aset tetap yang sudah tidak memiliki nilai buku dengan total nilai perolehan sebesar Rp3,14 triliun. As of June 30, 2024, the Group is still utilizing several fixed assets which are already fully depreciated with total acquisition cost amounting to Rp3.14 trillion.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</si>
  <si>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</si>
  <si>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</si>
  <si>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</si>
  <si>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</si>
  <si>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</si>
  <si>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</si>
  <si>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</si>
  <si>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</si>
  <si>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</si>
  <si>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</si>
  <si>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</si>
  <si>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</si>
  <si>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</si>
  <si>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</si>
  <si>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</si>
  <si>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</si>
  <si>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</si>
  <si>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</si>
  <si>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</si>
  <si>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</si>
  <si>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</si>
  <si>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</si>
  <si>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</si>
  <si>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</si>
  <si>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</si>
  <si>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</si>
  <si>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</si>
  <si>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</si>
  <si>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</si>
  <si>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</si>
  <si>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</si>
  <si>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</si>
  <si>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</si>
  <si>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</si>
  <si>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</si>
  <si>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</si>
  <si>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</si>
  <si>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</si>
  <si>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</si>
  <si>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</si>
  <si>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</si>
  <si>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</si>
  <si>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</si>
  <si>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</si>
  <si>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</si>
  <si>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</si>
  <si>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</si>
  <si>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</si>
  <si>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</si>
  <si>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</si>
  <si>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</si>
  <si>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</si>
  <si>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</si>
  <si>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</si>
  <si>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</si>
  <si>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</si>
  <si>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</si>
  <si>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</si>
  <si>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</si>
  <si>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</si>
  <si>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</si>
  <si>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</si>
  <si>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</si>
  <si>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</si>
  <si>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</si>
  <si>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</si>
  <si>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</si>
  <si>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</si>
  <si>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</si>
  <si>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</si>
  <si>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</si>
  <si>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</si>
  <si>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</si>
  <si>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</si>
  <si>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</si>
  <si>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</si>
  <si>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</si>
  <si>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</si>
  <si>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</si>
  <si>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</si>
  <si>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</si>
  <si>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</si>
  <si>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</si>
  <si>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</si>
  <si>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</si>
  <si>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</si>
  <si>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</si>
  <si>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</si>
  <si>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</si>
  <si>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</si>
  <si>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</si>
  <si>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</si>
  <si>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</si>
  <si>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</si>
  <si>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</si>
  <si>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</si>
  <si>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</si>
  <si>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</si>
  <si>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</si>
  <si>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</si>
  <si>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</si>
  <si>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</si>
  <si>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</si>
  <si>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</si>
  <si>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</si>
  <si>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</si>
  <si>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</si>
  <si>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</si>
  <si>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</si>
  <si>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</si>
  <si>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</si>
  <si>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</si>
  <si>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</si>
  <si>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</si>
  <si>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</si>
  <si>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</si>
  <si>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</si>
  <si>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</si>
  <si>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</si>
  <si>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</si>
  <si>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</si>
  <si>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</si>
  <si>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</si>
  <si>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</si>
  <si>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</si>
  <si>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</si>
  <si>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</si>
  <si>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</si>
  <si>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</si>
  <si>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</si>
  <si>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</si>
  <si>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</si>
  <si>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</si>
  <si>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</si>
  <si>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</si>
  <si>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</si>
  <si>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</si>
  <si>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</si>
  <si>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</si>
  <si>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</si>
  <si>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</si>
  <si>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</si>
  <si>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</si>
  <si>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</si>
  <si>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</si>
  <si>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</si>
  <si>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</si>
  <si>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</si>
  <si>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</si>
  <si>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</si>
  <si>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</si>
  <si>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</si>
  <si>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</si>
  <si>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</si>
  <si>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</si>
  <si>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</si>
  <si>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</si>
  <si>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</si>
  <si>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</si>
  <si>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</si>
  <si>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</si>
  <si>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</si>
  <si>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</si>
  <si>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</si>
  <si>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</si>
  <si>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</si>
  <si>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</si>
  <si>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</si>
  <si>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</si>
  <si>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</si>
  <si>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</si>
  <si>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</si>
  <si>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</si>
  <si>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</si>
  <si>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</si>
  <si>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</si>
  <si>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</si>
  <si>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</si>
  <si>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</si>
  <si>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</si>
  <si>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</si>
  <si>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</si>
  <si>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</si>
  <si>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</si>
  <si>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</si>
  <si>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</si>
  <si>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</si>
  <si>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</si>
  <si>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</si>
  <si>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</si>
  <si>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</si>
  <si>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</si>
  <si>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</si>
  <si>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</si>
  <si>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</si>
  <si>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</si>
  <si>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</si>
  <si>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</si>
  <si>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</si>
  <si>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</si>
  <si>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</si>
  <si>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</si>
  <si>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</si>
  <si>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</si>
  <si>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</si>
  <si>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</si>
  <si>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</si>
  <si>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</si>
  <si>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</si>
  <si>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</si>
  <si>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</si>
  <si>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</si>
  <si>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</si>
  <si>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</si>
  <si>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</si>
  <si>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</si>
  <si>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</si>
  <si>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</si>
  <si>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</si>
  <si>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</si>
  <si>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</si>
  <si>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</si>
  <si>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</si>
  <si>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</si>
  <si>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</si>
  <si>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</si>
  <si>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</si>
  <si>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</si>
  <si>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</si>
  <si>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</si>
  <si>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</si>
  <si>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</si>
  <si>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</si>
  <si>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</si>
  <si>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</si>
  <si>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</si>
  <si>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</si>
  <si>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</si>
  <si>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</si>
  <si>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</si>
  <si>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</si>
  <si>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</si>
  <si>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</si>
  <si>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</si>
  <si>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</si>
  <si>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</si>
  <si>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</si>
  <si>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</si>
  <si>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</si>
  <si>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</si>
  <si>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</si>
  <si>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</si>
  <si>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</si>
  <si>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</si>
  <si>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</si>
  <si>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</si>
  <si>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</si>
  <si>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</si>
  <si>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</si>
  <si>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</si>
  <si>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</si>
  <si>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</si>
  <si>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</si>
  <si>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</si>
  <si>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</si>
  <si>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</si>
  <si>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</si>
  <si>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</si>
  <si>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</si>
  <si>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</si>
  <si>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</si>
  <si>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</si>
  <si>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</si>
  <si>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</si>
  <si>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</si>
  <si>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</si>
  <si>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</si>
  <si>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</si>
  <si>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</si>
  <si>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</si>
  <si>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</si>
  <si>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</si>
  <si>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</si>
  <si>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</si>
  <si>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</si>
  <si>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</si>
  <si>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</si>
  <si>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</si>
  <si>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</si>
  <si>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</si>
  <si>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</si>
  <si>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</si>
  <si>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</si>
  <si>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</si>
  <si>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</si>
  <si>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</si>
  <si>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</si>
  <si>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</si>
  <si>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</si>
  <si>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</si>
  <si>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</si>
  <si>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</si>
  <si>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</si>
  <si>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</si>
  <si>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</si>
  <si>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</si>
  <si>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</si>
  <si>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</si>
  <si>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</si>
  <si>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</si>
  <si>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</si>
  <si>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</si>
  <si>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</si>
  <si>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</si>
  <si>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</si>
  <si>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</si>
  <si>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</si>
  <si>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</si>
  <si>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</si>
  <si>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</si>
  <si>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</si>
  <si>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</si>
  <si>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</si>
  <si>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</si>
  <si>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</si>
  <si>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</si>
  <si>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</si>
  <si>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</si>
  <si>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</si>
  <si>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</si>
  <si>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</si>
  <si>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</si>
  <si>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</si>
  <si>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</si>
  <si>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</si>
  <si>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program dan amortisasi konten program yang dibebankan pada beban pokok pendapatan adalah masing-masing sebesar Rp1,89 triliun dan 
Rp847,57 miliar untuk periode enam bulan yang berakhir pada tanggal 30 Juni 2024 dan 2023 (Catatan 33).		Cost of program and amortization of program content charged to cost of revenues amounted to Rp1.89 trillion and Rp847.57 billion for six-month period ended June 30, 2024 and 2023, respectively (Note 33).
Persediaan di atas, kecuali persediaan konten program, telah diasuransikan terhadap risiko kebakaran, kerusakan, bencana alam, kerusuhan (huru-hara) dan risiko lainnya dengan nilai pertanggungan berjumlah Rp129,41 miliar masing-masing pada tanggal 30 Juni 2024 dan 31 Desember 2023. Manajemen berkeyakinan bahwa nilai pertanggungan tersebut cukup untuk menutup kemungkinan kerugian dari risiko-risiko tersebut. 		The above inventories, except for the program content inventories, are covered by insurance against losses from fire, damage, disasters, riots and other risks with a total sum insured amounting to Rp129.41 billion as of June 30, 2024 and December 31, 2023, respectively. Management believes that the insurance coverage is adequate to cover possible losses arising from such risks. 
Manajemen tidak mengasuransikan persediaan konten program terhadap risiko kerugian atas kebakaran atau pencurian karena mayoritas konten program sudah tersimpan dalam bentuk digital dan di back up di penyimpanan cloud atau dalam server dengan lokasi yang berbeda.		The management did not insure program content inventories against losses from fire or theft since the majority of the program content inventories already stored in the digital form and are being backed up in cloud storage or servers in different locations.
Berdasarkan hasil penelaahan terhadap keadaan fisik dan nilai realisasi neto persediaan pada akhir tahun, manajemen berpendapat bahwa cadangan keusangan dan penurunan nilai persediaan cukup untuk menutup kerugian yang mungkin timbul dari penurunan nilai persediaan.		Based on the review of physical condition and net realizable value of inventories at the end of year, management believes that allowance for obsolescence and decline in value of inventories is adequate to cover possible losses arising from impairment of inventories.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</si>
  <si>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</si>
  <si>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</si>
  <si>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</si>
  <si>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</si>
  <si>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</si>
  <si>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</si>
  <si>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</si>
  <si>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</si>
  <si>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</si>
  <si>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</si>
  <si>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</si>
  <si>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</si>
  <si>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</si>
  <si>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</si>
  <si>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</si>
  <si>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</si>
  <si>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</si>
  <si>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</si>
  <si>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</si>
  <si>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</si>
  <si>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</si>
  <si>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</si>
  <si>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</si>
  <si>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</si>
  <si>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</si>
  <si>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</si>
  <si>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</si>
  <si>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</si>
  <si>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</si>
  <si>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</si>
  <si>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</si>
  <si>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</si>
  <si>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</si>
  <si>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</si>
  <si>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</si>
  <si>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</si>
  <si>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</si>
  <si>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</si>
  <si>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</si>
  <si>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</si>
  <si>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</si>
  <si>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</si>
  <si>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</si>
  <si>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</si>
  <si>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</si>
  <si>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</si>
  <si>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</si>
  <si>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</si>
  <si>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</si>
  <si>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</si>
  <si>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</si>
  <si>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</si>
  <si>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</si>
  <si>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</si>
  <si>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</si>
  <si>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</si>
  <si>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</si>
  <si>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</si>
  <si>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</si>
  <si>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</si>
  <si>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</si>
  <si>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</si>
  <si>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</si>
  <si>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</si>
  <si>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</si>
  <si>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</si>
  <si>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</si>
  <si>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</si>
  <si>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</si>
  <si>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</si>
  <si>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</si>
  <si>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</si>
  <si>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</si>
  <si>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</si>
  <si>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</si>
  <si>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</si>
  <si>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</si>
  <si>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</si>
  <si>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</si>
  <si>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</si>
  <si>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</si>
  <si>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</si>
  <si>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</si>
  <si>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</si>
  <si>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</si>
  <si>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</si>
  <si>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</si>
  <si>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</si>
  <si>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</si>
  <si>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</si>
  <si>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</si>
  <si>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</si>
  <si>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</si>
  <si>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</si>
  <si>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</si>
  <si>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</si>
  <si>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</si>
  <si>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enam bulan yang berakhir pada tanggal 30 Juni 2024 dan 2023, tidak terdapat pembelian kumulatif individual dari pemasok yang melebihi 10% dari jumlah pendapatan konsolidasian.		For six-month period ended June 30, 2024 and 2023, there are no cumulative individual amounts of purchases which exceeded 10% of total consolidated revenues.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</si>
  <si>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</si>
  <si>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</si>
  <si>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</si>
  <si>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</si>
  <si>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</si>
  <si>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</si>
  <si>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</si>
  <si>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</si>
  <si>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</si>
  <si>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</si>
  <si>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</si>
  <si>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</si>
  <si>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</si>
  <si>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</si>
  <si>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</si>
  <si>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</si>
  <si>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</si>
  <si>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</si>
  <si>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</si>
  <si>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</si>
  <si>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</si>
  <si>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</si>
  <si>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</si>
  <si>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</si>
  <si>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</si>
  <si>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</si>
  <si>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</si>
  <si>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</si>
  <si>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</si>
  <si>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</si>
  <si>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</si>
  <si>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</si>
  <si>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</si>
  <si>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</si>
  <si>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</si>
  <si>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</si>
  <si>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</si>
  <si>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</si>
  <si>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</si>
  <si>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</si>
  <si>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</si>
  <si>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</si>
  <si>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HSBC Indonesia		PT Bank HSBC Indonesia
PT Sarana Meditama Metropolitan Tbk ()		PT Sarana Meditama Metropolitan Tbk ()
Berdasarkan Perjanjian Kredit tanggal 17 Januari 2022, SMM mendapatkan fasilitas Kredit dari PT Bank HSBC Indonesia dengan batas maksimum sebesar Rp1 triliun dengan suku bunga sebesar JIBOR + margin per tahun. Jangka waktu pinjaman adalah 5 tahun. Pinjaman ini digunakan untuk akuisisi atau membiayai capital expenditure atau kegiatan usaha kerja dan pengeluaran operasional SMM. Sampai dengan tanggal
31 Desember 2023, SMM telah menarik seluruh fasilitas tersebut.		Based on the Credit Agreement dated January 17, 2022, SMM obtained Investment Loan facility from PT Bank HSBC Indonesia with maximum credit amounting to Rp1 trillion with an interest rate JIBOR + margin per annum. The loan term is 5 years. This loan is used for acquisitions, capital expenditure or general corporate purposes and operational expenses. As of December 31, 2023, SMM has fully withdrawn the facility.
Fasilitas kredit ini dijamin dengan jaminan sebagai berikut:		The credit facilities are secured by following collaterals:
	Hak tanggungan atas tanah dan bangunan Rumah Sakit EMC Pulomas dengan HGB
No. 3616/Kayu Putih seluas 6.180 m2 dengan nilai Hak Tanggungan Peringkat Pertama sebesar Rp262,46 miliar (Catatan 12);			Mortgage of land and buildings, EMC Pulomas Hospital with HGB No. 3616/Kayu Putih of 
6,180 m2 with First Class Mortgage amounting to Rp262.46 billion (Note 12);  
	Hak tanggungan atas tanah dan bangunan Rumah Sakit EMC Alam Sutera dengan HGB No. 02495/Pakulonan seluas 12.000 m2 dengan nilai Hak Tanggungan Peringkat Pertama sebesar Rp458,13 miliar (Catatan 12);			Mortgage of land and buildings, EMC Alam Sutera Hospital with HGB No. 02495/Pakulonan of 12,000 m2 with First Class Mortgage amounting to Rp458.13 billion 
(Note 12);  
	Hak tanggungan atas tanah dan bangunan Rumah Sakit EMC Cikarang dengan HGB No. 02555/Sukaresmi seluas 5.025 m2 dengan nilai Hak Tanggungan Peringkat Pertama sebesar Rp227,49 miliar (Catatan 12);			Mortgage of land and buildings, EMC Cikarang Hospital with HGB No. 02555/Sukaresmi of 5,025 m2 with First Class Mortgage amounting to Rp227.49 billion (Note 12);  
23.	PINJAMAN JANGKA PANJANG (lanjutan)		23.	LONG-TERM PAYABLES (continued)
PT Bank HSBC Indonesia (lanjutan)		PT Bank HSBC Indonesia (continued)
PT Sarana Meditama Metropolitan Tbk () (lanjutan)		PT Sarana Meditama Metropolitan Tbk () (lanjutan)
Fasilitas kredit ini dijamin dengan jaminan sebagai berikut: (lanjutan)		The credit facilities are secured by following collaterals: (continued)
	Hak tanggungan atas tanah dan bangunan Rumah Sakit EMC Pekayon dengan HGB          No. 8594/Pekayon Jaya, No. 8595/Pekayon Jaya, No. 8534/Pekayon Jaya, No. 8535/Pekayon Jaya dan No. 8623/Pekayon Jaya, seluas 6.128 m2 dengan nilai Hak Tanggungan Peringkat Pertama sebesar Rp301,92 miliar (Catatan 12).			Mortgage of land and buildings, EMC Pekayon Hospital with HGB No. 8594/Pekayon Jaya,  No. 8595/Pekayon Jaya, No. 8534/Pekayon Jaya, No. 8535/Pekayon Jaya and
No. 8623/Pekayon Jaya of 6,128 m2 with First Class Mortgage amounting to Rp301.92 billion (Note 12). 
Berdasarkan perjanjian pinjaman di atas, SMM harus mematuhi rasio-rasio keuangan tertentu:		Under its loan agreements, SMM is required to comply with certain financial covenants ratios as follows:
	Rasio antara Total Utang Kotor terhadap EBITDA, untuk Periode Terkait, adalah maksimum (i) 3,5x untuk tahun 2021 dan 2022, (ii) 2,75x untuk tahun 2023 dan (iii) 2,0x untuk tahun 2024 dan seterusnya;			Ratio between Total Gross Debt to EBITDA, for the Relevant Period, is at a maximum (i) 3.5x for the year of 2021 and 2022, (ii) 2.75x for the year of 2023 and (iii) 2.0x for the year of 2024 and onwards;
	Debt Service Coverage Ratio (DSCR) minimum sebesar 1,25x;			Debt Service Coverage Ratio (DSCR) minimum 1.25x;
	Rasio antara Peminjaman dan Ekuitas, untuk Periode Terkait, adalah maksimum 1,0x.			Ratio between Borrowings and Equity, for the Relevant Period, at a maximum 1.0x.
Pada tanggal 27 Desember 2023, SMM telah mendapatkan surat persetujuan dari PT Bank HSBC Indonesia terkait dengan pemenuhan rasio keuangan Total Gross Debt to EBITDA yang disyaratkan oleh PT Bank HSBC Indonesia. SMM telah memenuhi pembatasan lain terkait fasilitas pinjaman ini.		As of December 27, 2023, SMM has obtained the financial covenant waiver approval from PT Bank HSBC Indonesia regarding the fulfilment of Total Gross Debt to EBITDA ratio as required by PT Bank HSBC Indonesia. SMM has complied with other restrictions related to this loan facility. 
Pada tanggal 21 Maret 2024, SMM bersama-sama dengan SMI, SMA, KSU, UPM dan UTPM mengadakan perjanjian pinjaman dengan PT Bank HSBC Indonesia atas refinancing fasilitas yang sudah ada pada Catatan 23 sebesar Rp835,97 miliar serta tambahan fasilitas pinjaman sebesar Rp300 miliar dengan suku bunga sebesar JIBOR + margin per tahun. Pinjaman ini digunakan untuk Capital Expenditure Grup SMM (termasuk penggantian transaksi Capital Expenditure yang didanai oleh kas internal atau hasil ekuitas untuk mendukung strategi pengembangan Grup SMM), atau tujuan umum Grup SMM (selama berkaitan dengan aktivitas usaha kesehatan). Sampai dengan tanggal 30 Juni 2024, SMI dan UTPM telah menarik fasilitas tersebut masing-masing sebesar Rp45 miliar dan Rp50 miliar.		On March 21, 2024, SMM together with SMI, SMA, KSU, UPM and UTPM entered into a loan agreement with PT Bank HSBC Indonesia for existing facilities refinancing in Note 23 amounting to Rp835.97  billion and an additional facility amounting to Rp300 billion with an interest rate JIBOR + margin per annum. This loan will be applied towards the Capital Expenditure of the SMM Group (including reimbursement of Capital Expenditure transaction funded by internal cash or equity proceed to support the SMM Group growth strategy), or general corporate purposes of the SMM Group (insofar it is related to the healthcare business activities). As of June 30, 2024, SMI and UPTM have withdrawn the facility Rp45 billion and Rp50 billion, respectively.
23.	PINJAMAN JANGKA PANJANG (lanjutan)
	23.	LONG-TERM PAYABLES (continued)
PT Bank HSBC Indonesia (lanjutan)		PT Bank HSBC Indonesia (continued)
PT Sarana Meditama Metropolitan Tbk () (lanjutan)		PT Sarana Meditama Metropolitan Tbk () (lanjutan)
Berdasarkan perjanjian pinjaman di atas, Perusahaan harus mematuhi rasio-rasio keuangan tertentu.		Based on loan agreements, the Company is subjected to comply with certain financial  covenants ratio as follows:
	Rasio antara Total Utang Bersih terhadap EBITDA, untuk periode terkait, adalah maksimum (i) 2,5x untuk tahun 2024 dan 2025, (ii) 2,0x untuk tahun 2026 dan seterusnya;			ratio between Total Net Debt to EBITDA, for the Relevant Period, is at maximum (i) 2.5x for the year of 2024 and 2025, (ii) 2.0x for the year of 2026 onwards;
	Debt Service Coverage Ratio (DSCR) minimum sebesar 1,25x.			Debt Service Coverage Ratio (DSCR) minimum 1.25x.
	Rasio antara pinjaman dan Ekuitas, untuk Periode Terkait, adalah 1,0x.			ratio between Borrowings and Equity, for the Relevant Period, at a maximum 1.0x.
Pada tanggal 30 Juni 2024, Kelompok Usaha telah memenuhi seluruh persyaratan lain sebagaimana diatur dalam perjanjian-perjanjian kredit di atas.		As of June 30, 2024, the Group has complied with all other covenants set forth in the loan agreements above.
Utang Sewa Pembiayaan		Finance Lease Payables
Utang sewa pembiayaan merupakan sewa pembiayaan entitas anak dari berbagai lembaga keuangan untuk pembelian kendaraan dan peralatan medis. 		Finance lease payables represent the subsidiaries finance lease from various financial institutions for the purchase of vehicles and medical equipments. 
Pembayaran utang sewa pembiayaan minimum atas pinjaman tersebut jatuh tempo dalam 12 (dua belas) hingga 60 (enam puluh) bulan, dengan kendaraan dan peralatan medis yang bersangkutan dijaminkan atas pinjaman tersebut (Catatan 12).		The minimum lease payments mature within 12 (twelve) to 60 (sixty) months with the acquired vehicles and medical equipments pledged as collateral against the related liabilities (Note 12).
Rincian atas utang sewa pembiayaan adalah sebagai berikut:		The details of finance lease payables are as follows:
								 30 Juni 2024/  	31 Desember 2023/
							 June 30, 2024  	December 31, 2023
Tingkat suku bunga	2,66% - 11,65%		2,66% - 8,70%		Interest rate
Jatuh tempo	2024 - 2027		2023 - 2027		Maturity
Utang sewa pembiayaan					 Finance lease payables
PT Mitsui Leasing Capital	7.979.563		-		PT Mitsui Leasing Capital
PT Toyota Astra Financial 
Services	1.982.755		2.446.867		PT Toyota Astra Financial
Services
PT Maybank Indonesia 
Finance	1.635.755		284.062		PT Maybank Indonesia 
Finance
PT Mitsubishi HC Capital and  Finance Indonesia	917.474		2.750.130		PT Mitsubishi HC Capital and
Finance Indonesia
PT BCA Finance	487.934		642.573		PT BCA Finance
PT Astra Sedaya Finance	141.300		44.748		PT Astra Sedaya Finance
PT Orico Balimor Finance	134.945		154.268		PT Orico Balimor Finance
HDFC Bank Limited, India	60.983		112.574		HDFC Bank Limited, India
Subtotal	13.340.709		6.435.222		Sub-total
23.	PINJAMAN JANGKA PANJANG (lanjutan)
	23.	LONG-TERM PAYABLES (continued)
Utang Sewa Pembiayaan (lanjutan)		Finance Lease Payables (continued)
Rincian atas utang sewa pembiayaan adalah sebagai berikut: (lanjutan)		The details of finance lease payables are as follows: (continued)
								 30 Juni 2024/  	31 Desember 2023/
							 June 30, 2024  	December 31, 2023
Dikurangi bagian yang akan jatuh tempo dalam waktu satu tahun:					Less current maturities:
PT Mitsui Leasing Capital	4.978.248		-		PT Mitsui Leasing Capital
PT Mitsubishi HC Capital and  Finance Indonesia 	917.474		2.750.130		PT Mitsubishi HC Capital and
Finance Indonesia 
PT Maybank Indonesia 
Finance	512.779		92.128		PT Maybank Indonesia 
Finance
PT Toyota Astra Financial 
Services	484.652		948.764		PT Toyota Astra Financial
Services
PT BCA Finance	248.704		314.088		PT BCA Finance
PT Astra Sedaya Finance	141.300		44.748		PT Astra Sedaya Finance
HDFC Bank Limited, India	60.983		112.574		HDFC Bank Limited, India
PT Orico Balimor Finance	19.839		39.162		PT Orico Balimor Finance
Subtotal	7.363.979		4.301.594		Sub-total
Setelah dikurangi bagian yang akan jatuh tempo dalam waktu satu tahun:					Net of current maturities:
PT Mitsui Leasing Capital	3.001.315		-		PT Mitsui Leasing Capital
PT Toyota Astra Financial 
Services	1.498.103		1.498.103		PT Toyota Astra Financial
Services
PT Maybank Indonesia Finance	1.122.976		191.934		PT Maybank Indonesia Finance
PT Astra Sedaya Finance	393.778		-		PT Astra Sedaya Finance
PT BCA Finance	239.230		328.485		PT BCA Finance
PT Orico Balimor Finance	115.106		115.106		PT Orico Balimor Finance
Utang sewa pembiayaan - setelah dikurangi bagian yang akan jatuh tempo dalam waktu satu tahun	
6.370.508		
2.133.628		
Finance lease payables - net of
current maturities
Rincian pembayaran sewa minimum masa depan atas sewa pembiayaan dengan nilai kini pembayaran sewa minimum neto berdasarkan jatuh temponya adalah sebagai berikut:		The details of future minimum lease payments under finance leases with the present value of 
the net minimum lease payments based on maturity are as follows:
								 30 Juni 2024/  	31 Desember 2023/
							 June 30, 2024  	December 31, 2023
Pembayaran sewa minimum masa depan yang akan jatuh tempo:					
Future minimum lease 
payments due:
Dalam 1 tahun	8.147.571		4.676.490		Within 1 year
Setelah 1 tahun tapi tidak lebih dari 5 tahun	
6.743.771		
2.335.628		After 1 year but no more 
than 5 years
Total pembayaran utang sewa minimum	
14.891.342		
7.012.118		Total future minimum lease
payments
Dikurangi jumlah beban keuangan:					Less amount representing
finance charges:
Dalam 1 tahun	(783.592	)	(374.896	)	Within 1 year
Setelah 1 tahun tapi tidak lebih dari 5 tahun	
(373.263	
)	
(202.000	
)			After 1 year but no more 
			than 5 years
Total jumlah beban keuangan	
(1.156.855	
)	
(576.896	
)	Total amount representing
finance charges
23.	PINJAMAN JANGKA PANJANG (lanjutan)
	23.	LONG-TERM PAYABLES (continued)
Utang Sewa Pembiayaan (lanjutan)		Finance Lease Payables (continued)
Rincian pembayaran sewa minimum masa depan atas sewa pembiayaan dengan nilai kini pembayaran sewa minimum neto berdasarkan jatuh temponya adalah sebagai berikut: (lanjutan)		The details of future minimum lease payments under finance leases with the present value of 
the net minimum lease payments based on maturity are as follows: (continued)
								 30 Juni 2024/  	31 Desember 2023/
							 June 30, 2024  	December 31, 2023
Nilai kini pembayaran sewa 
minimum: 					Present value of minimum 
lease payments:
Dalam 1 tahun	7.363.979		4.301.594		Within 1 year
Setelah 1 tahun tapi tidak 
lebih dari 5 tahun	
6.370.508		
2.133.628			After 1 year but no more 
			than 5 years
Nilai kini pembayaran sewa 
minimum	
13.734.487		
6.435.222		Present value of minimum
lease payments
Pada tanggal 30 Juni 2024 dan 31 Desember 2023, Kelompok Usaha telah memenuhi seluruh persyaratan sebagaimana diatur dalam perjanjian kredit di atas.		As of June 30, 2024 and December 31, 2023 the Group has complied with all covenants set forth in the loan agreements above.</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</si>
  <si>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</si>
  <si>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</si>
  <si>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</si>
  <si>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</si>
  <si>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</si>
  <si>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</si>
  <si>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</si>
  <si>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</si>
  <si>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</si>
  <si>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</si>
  <si>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</si>
  <si>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</si>
  <si>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HSBC Indonesia		PT Bank HSBC Indonesia
PT Sarana Meditama Metropolitan Tbk (), PT Sarana Meditama International (), PT Sarana Meditama Anugerah (), PT Kurnia Sejahtera Utama (), PT Unggul Pratama Medika (), dan PT Utama Pratama Medika ()		PT Sarana Meditama Metropolitan Tbk (), 
PT Sarana Meditama International (), 
PT Sarana Meditama Anugerah (), PT Kurnia Sejahtera Utama (), PT Unggul Pratama Medika (), and PT Utama Pratama Medika ()
Pada tanggal 14 Agustus 2023, SMM bersama-sama dengan SMI, SMA, KSU, UPM dan UTPM mengadakan perjanjian pinjaman dengan PT Bank HSBC Indonesia atas fasilitas pinjaman Revolving Loan dengan batas maksimum sebesar Rp100 miliar dan dengan suku bunga sebesar JIBOR (Jakarta Interbank Offered Rate) + margin 1,4% per tahun. Sampai dengan tanggal 30 Juni 2024, SMI telah menarik fasilitas tersebut sebesar Rp100 miliar.		On August 14, 2023, SMM together with SMI, SMA, KSU, UPM and UTPM obtained a Revolving Loan facility from PT Bank HSBC Indonesia with a maximum credit limit of Rp100 billion with an interest rate JIBOR (Jakarta Interbank Offered Rate) + margin 1.4% per annum. As of June 30, 2024, SMI has withdrawn the facility amounting to Rp100 billion.
Fasilitas pinjaman ini adalah tanpa jaminan.		The loan facility is unsecured.
DBS Bank India Ltd., India		DBS Bank India Ltd., India
Whisper Media Pvt. Ltd. (-IN)		Whisper Media Pvt. Ltd. (-IN)
WM-IN memperoleh Fasilitas Dana Cerukan untuk modal kerja dari DBS Bank India Ltd. dengan jumlah pokok tidak melebihi INR14 juta yang memiliki suku bunga sebesar 8,50% - 9,00% per tahun untuk periode enam bulan yang berakhir pada tanggal 
30 Juni 2024 dan 2023. Pinjaman ini tidak memiliki jaminan.		WM-IN obtained an Overdraft Facility for working capital from DBS Bank India Ltd. with maximum amount of INR14 million that bears interest at rates between 8.50% - 9.00% per annum for the six-month periods ended June 30, 2024 and 2023. This loan has no collateral.
Acme Associates Pte Ltd		Acme Associates Pte Ltd
PT Abhimata Acme Indonesia ()		PT Abhimata Acme Indonesia ()
Pada tanggal 25 Juni 2024, AAI melakukan perjanjian pinjaman dengan Acme Associates Pte., Ltd., dengan pokok sebesar Rp42 miliar yang memiliki tingkat suku bunga 8.75% per tahun untuk periode satu tahun.  		On June 25, 2024, AAI entered into a loan agreement with Acme Associates Pte., Ltd. for a loan facility of Rp42 billion with an interest rate of 8.75% per annum for one year period.</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</si>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</sst>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wrapText="1"/>
    </xf>
    <xf numFmtId="0" fontId="36" fillId="4"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wrapText="1"/>
    </xf>
    <xf numFmtId="0" fontId="36" fillId="4"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wrapText="1"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6" fillId="0" borderId="0" xfId="25" applyFont="1" applyAlignment="1">
      <alignment wrapText="1"/>
    </xf>
    <xf numFmtId="0" fontId="36" fillId="4" borderId="4" xfId="25" applyFont="1" applyFill="1" applyBorder="1" applyAlignment="1">
      <alignment horizontal="center"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00000000-0005-0000-0000-000001000000}"/>
    <cellStyle name="Normal 2 10" xfId="10" xr:uid="{7D1C9414-C102-4D2E-82C3-E672C7CDEFF4}"/>
    <cellStyle name="Normal 2 11" xfId="11" xr:uid="{69E99B51-F59E-4322-9518-0C7382865ED3}"/>
    <cellStyle name="Normal 2 12" xfId="12" xr:uid="{8C376E36-161F-4130-903E-4059E5D7E622}"/>
    <cellStyle name="Normal 2 13" xfId="13" xr:uid="{62390ABB-8E51-499C-B5C0-8CA9A247E12B}"/>
    <cellStyle name="Normal 2 14" xfId="14" xr:uid="{6CA49A75-4880-4B97-8D73-0DA239C7C251}"/>
    <cellStyle name="Normal 2 15" xfId="15" xr:uid="{15F38612-630F-4E33-B254-A837818AF379}"/>
    <cellStyle name="Normal 2 16" xfId="16" xr:uid="{5CA8AF7B-88E3-47F7-8CB2-C5F3E0E88881}"/>
    <cellStyle name="Normal 2 17" xfId="17" xr:uid="{BD14D1F1-2518-4823-89E9-8C53D02402C5}"/>
    <cellStyle name="Normal 2 18" xfId="18" xr:uid="{B51925DD-A83C-4A8E-AAFF-70014D68DA14}"/>
    <cellStyle name="Normal 2 19" xfId="19" xr:uid="{D650E059-F16F-4DB4-B641-95A20EA5970E}"/>
    <cellStyle name="Normal 2 2" xfId="2" xr:uid="{3E142D59-D5F2-4363-8FE1-1CB552124ABB}"/>
    <cellStyle name="Normal 2 20" xfId="20" xr:uid="{D0593C8C-A1EF-4739-8788-7A25C9E5A290}"/>
    <cellStyle name="Normal 2 21" xfId="21" xr:uid="{DF632689-31EE-4837-ABDE-18B2F462BC64}"/>
    <cellStyle name="Normal 2 22" xfId="22" xr:uid="{15F891BD-1F73-4419-8A65-5940CCDCF584}"/>
    <cellStyle name="Normal 2 23" xfId="23" xr:uid="{35105FBC-F0DF-4C32-B1B8-CBF9BADB2AAC}"/>
    <cellStyle name="Normal 2 24" xfId="24" xr:uid="{B46E8AD9-77FC-40E6-AE11-F82500B228D8}"/>
    <cellStyle name="Normal 2 25" xfId="25" xr:uid="{DC27960C-65E7-44B5-AA0C-0340CB38100E}"/>
    <cellStyle name="Normal 2 26" xfId="26" xr:uid="{2F95D98E-C560-474A-9AC4-92ABA9B972FD}"/>
    <cellStyle name="Normal 2 27" xfId="27" xr:uid="{E6213B88-EA6A-4568-8662-61BA8BD3C2C8}"/>
    <cellStyle name="Normal 2 28" xfId="28" xr:uid="{5ABE9C15-453E-44F6-A845-A27352B1EDBC}"/>
    <cellStyle name="Normal 2 29" xfId="29" xr:uid="{3BD980C8-7663-45B4-ADD3-6F37F0CA32B5}"/>
    <cellStyle name="Normal 2 3" xfId="3" xr:uid="{A6D45A46-B43E-4ADF-9BCD-90264A323AA4}"/>
    <cellStyle name="Normal 2 30" xfId="30" xr:uid="{6D117979-67BA-4684-8B1D-24FBBEEED964}"/>
    <cellStyle name="Normal 2 4" xfId="4" xr:uid="{17BBD44B-7B5D-4EE3-A83C-77650C94D602}"/>
    <cellStyle name="Normal 2 5" xfId="5" xr:uid="{75D3E7A7-28F8-4B3C-8CA1-A0CBC12D0700}"/>
    <cellStyle name="Normal 2 6" xfId="6" xr:uid="{B9BB20BC-8D9A-4185-84CE-9650A247B969}"/>
    <cellStyle name="Normal 2 7" xfId="7" xr:uid="{47017A6A-B4F2-4B0E-9A6E-2BAEE37D7CB0}"/>
    <cellStyle name="Normal 2 8" xfId="8" xr:uid="{E983EEB1-1164-45C1-8532-1CEC33A507F5}"/>
    <cellStyle name="Normal 2 9" xfId="9" xr:uid="{F16A99BF-5AE4-473A-9F83-CFF64003B6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mtk_checker_0112_2024_0_155_172240625535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mtk_checker_0112_2024_0_155_172240625535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mtk_checker_0112_2024_0_155_172240625535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mtk_checker_0112_2024_0_155_172240625535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mtk_checker_0112_2024_0_155_172240625535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mtk_checker_0112_2024_0_155_172240625535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mtk_checker_0112_2024_0_155_172240625535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mtk_checker_0112_2024_0_155_172240625535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mtk_checker_0112_2024_0_155_172240625535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mtk_checker_0112_2024_0_155_172240625535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mtk_checker_0112_2024_0_155_172240625535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mtk_checker_0112_2024_0_155_172240625535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mtk_checker_0112_2024_0_155_172240625535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mtk_checker_0112_2024_0_155_172240625535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mtk_checker_0112_2024_0_155_172240625535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mtk_checker_0112_2024_0_155_1722406255351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mtk_checker_0112_2024_0_155_1722406255351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mtk_checker_0112_2024_0_155_1722406255351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mtk_checker_0112_2024_0_155_1722406255351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mtk_checker_0112_2024_0_155_1722406255351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mtk_checker_0112_2024_0_155_1722406255351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mtk_checker_0112_2024_0_155_1722406255351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mtk_checker_0112_2024_0_155_1722406255351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mtk_checker_0112_2024_0_155_1722406255351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mtk_checker_0112_2024_0_155_1722406255351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mtk_checker_0112_2024_0_155_1722406255351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mtk_checker_0112_2024_0_155_1722406255351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mtk_checker_0112_2024_0_155_1722406255351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emtk_checker_0112_2024_0_155_172240625535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102</v>
      </c>
    </row>
    <row r="5" spans="1:2" ht="12.75" thickBot="1">
      <c r="A5" s="8" t="s">
        <v>3</v>
      </c>
      <c r="B5" s="7" t="s">
        <v>103</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104</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10</v>
      </c>
      <c r="B24" s="10">
        <f>rap.date.1</f>
        <v>40544</v>
      </c>
    </row>
    <row r="25" spans="1:2" ht="12.75" thickBot="1">
      <c r="A25" s="8" t="s">
        <v>11</v>
      </c>
      <c r="B25" s="10">
        <f>rap.date.2</f>
        <v>40816</v>
      </c>
    </row>
    <row r="26" spans="1:2">
      <c r="B26" s="11"/>
    </row>
    <row r="27" spans="1:2" ht="12.75" thickBot="1">
      <c r="A27" s="4" t="s">
        <v>19</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105</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10</v>
      </c>
      <c r="B39" s="10">
        <f>rap.date.4</f>
        <v>40179</v>
      </c>
    </row>
    <row r="40" spans="1:2" ht="12.75" thickBot="1">
      <c r="A40" s="8" t="s">
        <v>11</v>
      </c>
      <c r="B40" s="10">
        <f>rap.date.5</f>
        <v>40543</v>
      </c>
    </row>
    <row r="41" spans="1:2">
      <c r="B41" s="11"/>
    </row>
    <row r="42" spans="1:2" ht="12.75" thickBot="1">
      <c r="A42" s="4" t="s">
        <v>106</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107</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10</v>
      </c>
      <c r="B54" s="10">
        <f>rap.date.7</f>
        <v>40179</v>
      </c>
    </row>
    <row r="55" spans="1:2" ht="12.75" thickBot="1">
      <c r="A55" s="8" t="s">
        <v>11</v>
      </c>
      <c r="B55" s="10">
        <f>rap.date.8</f>
        <v>40451</v>
      </c>
    </row>
    <row r="56" spans="1:2">
      <c r="B56" s="11"/>
    </row>
    <row r="57" spans="1:2" ht="12.75" thickBot="1">
      <c r="A57" s="4" t="s">
        <v>108</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109</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12</v>
      </c>
      <c r="B1" s="13" t="s">
        <v>13</v>
      </c>
    </row>
    <row r="2" spans="1:2">
      <c r="A2" s="15" t="s">
        <v>14</v>
      </c>
      <c r="B2" s="15" t="s">
        <v>15</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16</v>
      </c>
    </row>
    <row r="3" spans="1:3" ht="17.25" customHeight="1">
      <c r="A3" s="19" t="s">
        <v>17</v>
      </c>
      <c r="B3" s="276" t="s">
        <v>18</v>
      </c>
      <c r="C3" s="276"/>
    </row>
    <row r="4" spans="1:3">
      <c r="A4" s="20"/>
      <c r="B4" s="21" t="s">
        <v>19</v>
      </c>
    </row>
    <row r="5" spans="1:3" ht="15.75" thickBot="1">
      <c r="A5" s="22" t="s">
        <v>17</v>
      </c>
      <c r="B5" s="23"/>
      <c r="C5" s="24" t="s">
        <v>18</v>
      </c>
    </row>
    <row r="6" spans="1:3" ht="15.75" thickBot="1">
      <c r="A6" s="25" t="s">
        <v>20</v>
      </c>
      <c r="B6" s="26" t="s">
        <v>425</v>
      </c>
      <c r="C6" s="24" t="s">
        <v>21</v>
      </c>
    </row>
    <row r="7" spans="1:3" ht="26.25" thickBot="1">
      <c r="A7" s="25" t="s">
        <v>22</v>
      </c>
      <c r="B7" s="26"/>
      <c r="C7" s="24" t="s">
        <v>23</v>
      </c>
    </row>
    <row r="8" spans="1:3" ht="15.75" thickBot="1">
      <c r="A8" s="25" t="s">
        <v>24</v>
      </c>
      <c r="B8" s="26" t="s">
        <v>422</v>
      </c>
      <c r="C8" s="24" t="s">
        <v>25</v>
      </c>
    </row>
    <row r="9" spans="1:3" ht="15.75" thickBot="1">
      <c r="A9" s="25" t="s">
        <v>26</v>
      </c>
      <c r="B9" s="26" t="s">
        <v>417</v>
      </c>
      <c r="C9" s="24" t="s">
        <v>27</v>
      </c>
    </row>
    <row r="10" spans="1:3" ht="15.75" thickBot="1">
      <c r="A10" s="25" t="s">
        <v>28</v>
      </c>
      <c r="B10" s="26" t="s">
        <v>404</v>
      </c>
      <c r="C10" s="24" t="s">
        <v>29</v>
      </c>
    </row>
    <row r="11" spans="1:3" ht="15.75" thickBot="1">
      <c r="A11" s="25" t="s">
        <v>30</v>
      </c>
      <c r="B11" s="26" t="s">
        <v>137</v>
      </c>
      <c r="C11" s="24" t="s">
        <v>31</v>
      </c>
    </row>
    <row r="12" spans="1:3" ht="15.75" thickBot="1">
      <c r="A12" s="25" t="s">
        <v>32</v>
      </c>
      <c r="B12" s="26" t="s">
        <v>385</v>
      </c>
      <c r="C12" s="24" t="s">
        <v>33</v>
      </c>
    </row>
    <row r="13" spans="1:3" ht="15.75" thickBot="1">
      <c r="A13" s="25" t="s">
        <v>34</v>
      </c>
      <c r="B13" s="26" t="s">
        <v>367</v>
      </c>
      <c r="C13" s="24" t="s">
        <v>35</v>
      </c>
    </row>
    <row r="14" spans="1:3" ht="24.75" thickBot="1">
      <c r="A14" s="25" t="s">
        <v>36</v>
      </c>
      <c r="B14" s="26" t="s">
        <v>323</v>
      </c>
      <c r="C14" s="24" t="s">
        <v>37</v>
      </c>
    </row>
    <row r="15" spans="1:3" ht="24.75" thickBot="1">
      <c r="A15" s="25" t="s">
        <v>38</v>
      </c>
      <c r="B15" s="26" t="s">
        <v>247</v>
      </c>
      <c r="C15" s="24" t="s">
        <v>39</v>
      </c>
    </row>
    <row r="16" spans="1:3" ht="15.75" thickBot="1">
      <c r="A16" s="25" t="s">
        <v>40</v>
      </c>
      <c r="B16" s="26" t="s">
        <v>408</v>
      </c>
      <c r="C16" s="24" t="s">
        <v>41</v>
      </c>
    </row>
    <row r="17" spans="1:3" ht="24.75" thickBot="1">
      <c r="A17" s="25" t="s">
        <v>42</v>
      </c>
      <c r="B17" s="26" t="s">
        <v>123</v>
      </c>
      <c r="C17" s="24" t="s">
        <v>43</v>
      </c>
    </row>
    <row r="18" spans="1:3" ht="15.75" thickBot="1">
      <c r="A18" s="25" t="s">
        <v>44</v>
      </c>
      <c r="B18" s="26" t="s">
        <v>117</v>
      </c>
      <c r="C18" s="24" t="s">
        <v>45</v>
      </c>
    </row>
    <row r="19" spans="1:3" ht="26.25" thickBot="1">
      <c r="A19" s="25" t="s">
        <v>46</v>
      </c>
      <c r="B19" s="26" t="s">
        <v>127</v>
      </c>
      <c r="C19" s="24" t="s">
        <v>47</v>
      </c>
    </row>
    <row r="20" spans="1:3" ht="39" thickBot="1">
      <c r="A20" s="25" t="s">
        <v>48</v>
      </c>
      <c r="B20" s="26" t="s">
        <v>111</v>
      </c>
      <c r="C20" s="24" t="s">
        <v>49</v>
      </c>
    </row>
    <row r="21" spans="1:3" ht="26.25" thickBot="1">
      <c r="A21" s="25" t="s">
        <v>50</v>
      </c>
      <c r="B21" s="26" t="s">
        <v>390</v>
      </c>
      <c r="C21" s="24" t="s">
        <v>51</v>
      </c>
    </row>
    <row r="22" spans="1:3" ht="26.25" thickBot="1">
      <c r="A22" s="25" t="s">
        <v>52</v>
      </c>
      <c r="B22" s="26"/>
      <c r="C22" s="24" t="s">
        <v>53</v>
      </c>
    </row>
    <row r="23" spans="1:3" ht="15.75" thickBot="1">
      <c r="A23" s="25" t="s">
        <v>54</v>
      </c>
      <c r="B23" s="26" t="s">
        <v>424</v>
      </c>
      <c r="C23" s="24" t="s">
        <v>55</v>
      </c>
    </row>
    <row r="24" spans="1:3" ht="15.75" thickBot="1">
      <c r="A24" s="25" t="s">
        <v>56</v>
      </c>
      <c r="B24" s="26" t="s">
        <v>423</v>
      </c>
      <c r="C24" s="24" t="s">
        <v>57</v>
      </c>
    </row>
    <row r="25" spans="1:3" ht="15.75" thickBot="1">
      <c r="A25" s="25" t="s">
        <v>58</v>
      </c>
      <c r="B25" s="26" t="s">
        <v>421</v>
      </c>
      <c r="C25" s="24" t="s">
        <v>59</v>
      </c>
    </row>
    <row r="26" spans="1:3" ht="15.75" thickBot="1">
      <c r="A26" s="25" t="s">
        <v>60</v>
      </c>
      <c r="B26" s="26" t="s">
        <v>418</v>
      </c>
      <c r="C26" s="24" t="s">
        <v>61</v>
      </c>
    </row>
    <row r="27" spans="1:3" ht="15.75" thickBot="1">
      <c r="A27" s="25" t="s">
        <v>62</v>
      </c>
      <c r="B27" s="26" t="s">
        <v>426</v>
      </c>
      <c r="C27" s="24" t="s">
        <v>63</v>
      </c>
    </row>
    <row r="28" spans="1:3" ht="15.75" thickBot="1">
      <c r="A28" s="25" t="s">
        <v>64</v>
      </c>
      <c r="B28" s="26" t="s">
        <v>419</v>
      </c>
      <c r="C28" s="24" t="s">
        <v>65</v>
      </c>
    </row>
    <row r="29" spans="1:3" ht="15.75" thickBot="1">
      <c r="A29" s="25" t="s">
        <v>66</v>
      </c>
      <c r="B29" s="26" t="s">
        <v>405</v>
      </c>
      <c r="C29" s="24" t="s">
        <v>67</v>
      </c>
    </row>
    <row r="30" spans="1:3" ht="26.25" thickBot="1">
      <c r="A30" s="25" t="s">
        <v>68</v>
      </c>
      <c r="B30" s="27"/>
      <c r="C30" s="24" t="s">
        <v>69</v>
      </c>
    </row>
    <row r="31" spans="1:3" ht="39" thickBot="1">
      <c r="A31" s="25" t="s">
        <v>70</v>
      </c>
      <c r="B31" s="26" t="s">
        <v>394</v>
      </c>
      <c r="C31" s="24" t="s">
        <v>71</v>
      </c>
    </row>
    <row r="32" spans="1:3" ht="15.75" thickBot="1">
      <c r="A32" s="25" t="s">
        <v>72</v>
      </c>
      <c r="B32" s="26" t="s">
        <v>114</v>
      </c>
      <c r="C32" s="24" t="s">
        <v>73</v>
      </c>
    </row>
    <row r="33" spans="1:3" ht="15.75" thickBot="1">
      <c r="A33" s="25" t="s">
        <v>74</v>
      </c>
      <c r="B33" s="26"/>
      <c r="C33" s="24" t="s">
        <v>75</v>
      </c>
    </row>
    <row r="34" spans="1:3" ht="51.75" thickBot="1">
      <c r="A34" s="25" t="s">
        <v>76</v>
      </c>
      <c r="B34" s="26"/>
      <c r="C34" s="24" t="s">
        <v>77</v>
      </c>
    </row>
    <row r="35" spans="1:3" ht="15.75" thickBot="1">
      <c r="A35" s="25" t="s">
        <v>78</v>
      </c>
      <c r="B35" s="26"/>
      <c r="C35" s="24" t="s">
        <v>79</v>
      </c>
    </row>
    <row r="36" spans="1:3" ht="15.75" thickBot="1">
      <c r="A36" s="25" t="s">
        <v>80</v>
      </c>
      <c r="B36" s="26"/>
      <c r="C36" s="24" t="s">
        <v>81</v>
      </c>
    </row>
    <row r="37" spans="1:3" ht="15.75" thickBot="1">
      <c r="A37" s="25" t="s">
        <v>82</v>
      </c>
      <c r="B37" s="26"/>
      <c r="C37" s="24" t="s">
        <v>83</v>
      </c>
    </row>
    <row r="38" spans="1:3" ht="15.75" thickBot="1">
      <c r="A38" s="25" t="s">
        <v>84</v>
      </c>
      <c r="B38" s="26"/>
      <c r="C38" s="24" t="s">
        <v>85</v>
      </c>
    </row>
    <row r="39" spans="1:3" ht="26.25" thickBot="1">
      <c r="A39" s="25" t="s">
        <v>86</v>
      </c>
      <c r="B39" s="26"/>
      <c r="C39" s="24" t="s">
        <v>87</v>
      </c>
    </row>
    <row r="40" spans="1:3" ht="15.75" thickBot="1">
      <c r="A40" s="25" t="s">
        <v>88</v>
      </c>
      <c r="B40" s="26"/>
      <c r="C40" s="24" t="s">
        <v>89</v>
      </c>
    </row>
    <row r="41" spans="1:3" ht="26.25" thickBot="1">
      <c r="A41" s="25" t="s">
        <v>90</v>
      </c>
      <c r="B41" s="26"/>
      <c r="C41" s="24" t="s">
        <v>91</v>
      </c>
    </row>
    <row r="42" spans="1:3" ht="26.25" thickBot="1">
      <c r="A42" s="25" t="s">
        <v>92</v>
      </c>
      <c r="B42" s="26"/>
      <c r="C42" s="24" t="s">
        <v>93</v>
      </c>
    </row>
    <row r="43" spans="1:3" ht="15.75" thickBot="1">
      <c r="A43" s="25" t="s">
        <v>94</v>
      </c>
      <c r="B43" s="26" t="s">
        <v>420</v>
      </c>
      <c r="C43" s="24" t="s">
        <v>95</v>
      </c>
    </row>
    <row r="44" spans="1:3" ht="15.75" thickBot="1">
      <c r="A44" s="25" t="s">
        <v>96</v>
      </c>
      <c r="B44" s="26" t="s">
        <v>416</v>
      </c>
      <c r="C44" s="24" t="s">
        <v>97</v>
      </c>
    </row>
    <row r="45" spans="1:3" ht="51.75" thickBot="1">
      <c r="A45" s="25" t="s">
        <v>98</v>
      </c>
      <c r="B45" s="26" t="s">
        <v>112</v>
      </c>
      <c r="C45" s="24" t="s">
        <v>99</v>
      </c>
    </row>
    <row r="46" spans="1:3" ht="77.25" thickBot="1">
      <c r="A46" s="25" t="s">
        <v>100</v>
      </c>
      <c r="B46" s="26" t="s">
        <v>112</v>
      </c>
      <c r="C46" s="24" t="s">
        <v>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B012A-3B37-4D57-BF6D-507416483DA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77" t="s">
        <v>428</v>
      </c>
      <c r="B3" s="277"/>
      <c r="C3" s="278" t="s">
        <v>429</v>
      </c>
      <c r="D3" s="278"/>
    </row>
    <row r="4" spans="1:4">
      <c r="A4" s="30"/>
      <c r="B4" s="31" t="s">
        <v>19</v>
      </c>
      <c r="C4" s="31" t="s">
        <v>106</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7306193404</v>
      </c>
      <c r="C8" s="38">
        <v>7210978131</v>
      </c>
      <c r="D8" s="34" t="s">
        <v>435</v>
      </c>
    </row>
    <row r="9" spans="1:4" ht="15.75" thickBot="1">
      <c r="A9" s="37" t="s">
        <v>436</v>
      </c>
      <c r="B9" s="38"/>
      <c r="C9" s="38"/>
      <c r="D9" s="34" t="s">
        <v>437</v>
      </c>
    </row>
    <row r="10" spans="1:4" ht="15.75" thickBot="1">
      <c r="A10" s="37" t="s">
        <v>438</v>
      </c>
      <c r="B10" s="38"/>
      <c r="C10" s="38"/>
      <c r="D10" s="34" t="s">
        <v>439</v>
      </c>
    </row>
    <row r="11" spans="1:4" ht="26.25" thickBot="1">
      <c r="A11" s="37" t="s">
        <v>440</v>
      </c>
      <c r="B11" s="38"/>
      <c r="C11" s="38"/>
      <c r="D11" s="34" t="s">
        <v>441</v>
      </c>
    </row>
    <row r="12" spans="1:4" ht="15.75" thickBot="1">
      <c r="A12" s="37" t="s">
        <v>442</v>
      </c>
      <c r="B12" s="33"/>
      <c r="C12" s="33"/>
      <c r="D12" s="34" t="s">
        <v>443</v>
      </c>
    </row>
    <row r="13" spans="1:4" ht="39" thickBot="1">
      <c r="A13" s="39" t="s">
        <v>444</v>
      </c>
      <c r="B13" s="38">
        <v>1045774546</v>
      </c>
      <c r="C13" s="38">
        <v>1096765715</v>
      </c>
      <c r="D13" s="34" t="s">
        <v>445</v>
      </c>
    </row>
    <row r="14" spans="1:4" ht="39" thickBot="1">
      <c r="A14" s="39" t="s">
        <v>446</v>
      </c>
      <c r="B14" s="38"/>
      <c r="C14" s="38">
        <v>168626584</v>
      </c>
      <c r="D14" s="34" t="s">
        <v>447</v>
      </c>
    </row>
    <row r="15" spans="1:4" ht="26.25" thickBot="1">
      <c r="A15" s="39" t="s">
        <v>448</v>
      </c>
      <c r="B15" s="38"/>
      <c r="C15" s="38"/>
      <c r="D15" s="34" t="s">
        <v>449</v>
      </c>
    </row>
    <row r="16" spans="1:4" ht="15.75" thickBot="1">
      <c r="A16" s="39" t="s">
        <v>450</v>
      </c>
      <c r="B16" s="38">
        <v>2454859481</v>
      </c>
      <c r="C16" s="38">
        <v>2136400298</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2954676242</v>
      </c>
      <c r="C19" s="38">
        <v>2693309012</v>
      </c>
      <c r="D19" s="34" t="s">
        <v>457</v>
      </c>
    </row>
    <row r="20" spans="1:4" ht="15.75" thickBot="1">
      <c r="A20" s="39" t="s">
        <v>458</v>
      </c>
      <c r="B20" s="38">
        <v>6697216</v>
      </c>
      <c r="C20" s="38">
        <v>778795</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26.25" thickBot="1">
      <c r="A30" s="39" t="s">
        <v>478</v>
      </c>
      <c r="B30" s="38"/>
      <c r="C30" s="38"/>
      <c r="D30" s="34" t="s">
        <v>479</v>
      </c>
    </row>
    <row r="31" spans="1:4" ht="26.25" thickBot="1">
      <c r="A31" s="39" t="s">
        <v>480</v>
      </c>
      <c r="B31" s="38"/>
      <c r="C31" s="38"/>
      <c r="D31" s="34" t="s">
        <v>481</v>
      </c>
    </row>
    <row r="32" spans="1:4" ht="15.75" thickBot="1">
      <c r="A32" s="37" t="s">
        <v>482</v>
      </c>
      <c r="B32" s="38"/>
      <c r="C32" s="38"/>
      <c r="D32" s="34" t="s">
        <v>483</v>
      </c>
    </row>
    <row r="33" spans="1:4" ht="26.2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441861365</v>
      </c>
      <c r="C37" s="38">
        <v>442325596</v>
      </c>
      <c r="D37" s="34" t="s">
        <v>493</v>
      </c>
    </row>
    <row r="38" spans="1:4" ht="15.75" thickBot="1">
      <c r="A38" s="39" t="s">
        <v>494</v>
      </c>
      <c r="B38" s="38">
        <v>184569</v>
      </c>
      <c r="C38" s="38">
        <v>71338</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1313623421</v>
      </c>
      <c r="C42" s="38">
        <v>1295358468</v>
      </c>
      <c r="D42" s="34" t="s">
        <v>497</v>
      </c>
    </row>
    <row r="43" spans="1:4" ht="15.75" thickBot="1">
      <c r="A43" s="37" t="s">
        <v>502</v>
      </c>
      <c r="B43" s="38"/>
      <c r="C43" s="38"/>
      <c r="D43" s="34" t="s">
        <v>503</v>
      </c>
    </row>
    <row r="44" spans="1:4" ht="15.75" thickBot="1">
      <c r="A44" s="37" t="s">
        <v>504</v>
      </c>
      <c r="B44" s="38">
        <v>241012608</v>
      </c>
      <c r="C44" s="38">
        <v>113465165</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26.25" thickBot="1">
      <c r="A48" s="39" t="s">
        <v>512</v>
      </c>
      <c r="B48" s="38"/>
      <c r="C48" s="38"/>
      <c r="D48" s="34" t="s">
        <v>513</v>
      </c>
    </row>
    <row r="49" spans="1:4" ht="15.75" thickBot="1">
      <c r="A49" s="39" t="s">
        <v>514</v>
      </c>
      <c r="B49" s="38">
        <v>441499177</v>
      </c>
      <c r="C49" s="38">
        <v>416597919</v>
      </c>
      <c r="D49" s="34" t="s">
        <v>515</v>
      </c>
    </row>
    <row r="50" spans="1:4" ht="15.75" thickBot="1">
      <c r="A50" s="37" t="s">
        <v>516</v>
      </c>
      <c r="B50" s="38">
        <v>257652270</v>
      </c>
      <c r="C50" s="38">
        <v>250429207</v>
      </c>
      <c r="D50" s="34" t="s">
        <v>517</v>
      </c>
    </row>
    <row r="51" spans="1:4" ht="26.25" thickBot="1">
      <c r="A51" s="37" t="s">
        <v>518</v>
      </c>
      <c r="B51" s="38"/>
      <c r="C51" s="38"/>
      <c r="D51" s="34" t="s">
        <v>519</v>
      </c>
    </row>
    <row r="52" spans="1:4" ht="26.25" thickBot="1">
      <c r="A52" s="37" t="s">
        <v>520</v>
      </c>
      <c r="B52" s="38"/>
      <c r="C52" s="38"/>
      <c r="D52" s="34" t="s">
        <v>521</v>
      </c>
    </row>
    <row r="53" spans="1:4" ht="26.2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39" thickBot="1">
      <c r="A56" s="37" t="s">
        <v>528</v>
      </c>
      <c r="B56" s="38">
        <v>61244</v>
      </c>
      <c r="C56" s="38"/>
      <c r="D56" s="34" t="s">
        <v>529</v>
      </c>
    </row>
    <row r="57" spans="1:4" ht="51.75" thickBot="1">
      <c r="A57" s="37" t="s">
        <v>530</v>
      </c>
      <c r="B57" s="38"/>
      <c r="C57" s="38"/>
      <c r="D57" s="34" t="s">
        <v>531</v>
      </c>
    </row>
    <row r="58" spans="1:4" ht="15.75" thickBot="1">
      <c r="A58" s="37" t="s">
        <v>532</v>
      </c>
      <c r="B58" s="38">
        <v>16464095543</v>
      </c>
      <c r="C58" s="38">
        <v>15825106228</v>
      </c>
      <c r="D58" s="34" t="s">
        <v>533</v>
      </c>
    </row>
    <row r="59" spans="1:4" ht="15.75" thickBot="1">
      <c r="A59" s="36" t="s">
        <v>534</v>
      </c>
      <c r="B59" s="33"/>
      <c r="C59" s="33"/>
      <c r="D59" s="34" t="s">
        <v>535</v>
      </c>
    </row>
    <row r="60" spans="1:4" ht="26.25" thickBot="1">
      <c r="A60" s="37" t="s">
        <v>536</v>
      </c>
      <c r="B60" s="38"/>
      <c r="C60" s="38"/>
      <c r="D60" s="34" t="s">
        <v>537</v>
      </c>
    </row>
    <row r="61" spans="1:4" ht="26.25" thickBot="1">
      <c r="A61" s="37" t="s">
        <v>538</v>
      </c>
      <c r="B61" s="38"/>
      <c r="C61" s="38"/>
      <c r="D61" s="34" t="s">
        <v>539</v>
      </c>
    </row>
    <row r="62" spans="1:4" ht="15.75" thickBot="1">
      <c r="A62" s="37" t="s">
        <v>540</v>
      </c>
      <c r="B62" s="38"/>
      <c r="C62" s="38"/>
      <c r="D62" s="34" t="s">
        <v>541</v>
      </c>
    </row>
    <row r="63" spans="1:4" ht="15.75" thickBot="1">
      <c r="A63" s="37" t="s">
        <v>542</v>
      </c>
      <c r="B63" s="38">
        <v>7500000</v>
      </c>
      <c r="C63" s="38">
        <v>2690199</v>
      </c>
      <c r="D63" s="34" t="s">
        <v>543</v>
      </c>
    </row>
    <row r="64" spans="1:4" ht="15.75" thickBot="1">
      <c r="A64" s="37" t="s">
        <v>544</v>
      </c>
      <c r="B64" s="38"/>
      <c r="C64" s="38"/>
      <c r="D64" s="34" t="s">
        <v>545</v>
      </c>
    </row>
    <row r="65" spans="1:4" ht="15.75" thickBot="1">
      <c r="A65" s="37" t="s">
        <v>546</v>
      </c>
      <c r="B65" s="33"/>
      <c r="C65" s="33"/>
      <c r="D65" s="34" t="s">
        <v>547</v>
      </c>
    </row>
    <row r="66" spans="1:4" ht="26.25" thickBot="1">
      <c r="A66" s="39" t="s">
        <v>548</v>
      </c>
      <c r="B66" s="38"/>
      <c r="C66" s="38"/>
      <c r="D66" s="34" t="s">
        <v>549</v>
      </c>
    </row>
    <row r="67" spans="1:4" ht="26.25" thickBot="1">
      <c r="A67" s="39" t="s">
        <v>550</v>
      </c>
      <c r="B67" s="38"/>
      <c r="C67" s="38"/>
      <c r="D67" s="34" t="s">
        <v>551</v>
      </c>
    </row>
    <row r="68" spans="1:4" ht="15.75" thickBot="1">
      <c r="A68" s="37" t="s">
        <v>552</v>
      </c>
      <c r="B68" s="33"/>
      <c r="C68" s="33"/>
      <c r="D68" s="34" t="s">
        <v>553</v>
      </c>
    </row>
    <row r="69" spans="1:4" ht="26.25" thickBot="1">
      <c r="A69" s="39" t="s">
        <v>554</v>
      </c>
      <c r="B69" s="38"/>
      <c r="C69" s="38"/>
      <c r="D69" s="34" t="s">
        <v>555</v>
      </c>
    </row>
    <row r="70" spans="1:4" ht="26.25" thickBot="1">
      <c r="A70" s="39" t="s">
        <v>556</v>
      </c>
      <c r="B70" s="38"/>
      <c r="C70" s="38"/>
      <c r="D70" s="34" t="s">
        <v>557</v>
      </c>
    </row>
    <row r="71" spans="1:4" ht="26.25" thickBot="1">
      <c r="A71" s="37" t="s">
        <v>558</v>
      </c>
      <c r="B71" s="38"/>
      <c r="C71" s="38"/>
      <c r="D71" s="34" t="s">
        <v>559</v>
      </c>
    </row>
    <row r="72" spans="1:4" ht="26.25" thickBot="1">
      <c r="A72" s="37" t="s">
        <v>560</v>
      </c>
      <c r="B72" s="33"/>
      <c r="C72" s="33"/>
      <c r="D72" s="34" t="s">
        <v>561</v>
      </c>
    </row>
    <row r="73" spans="1:4" ht="26.25" thickBot="1">
      <c r="A73" s="39" t="s">
        <v>562</v>
      </c>
      <c r="B73" s="38"/>
      <c r="C73" s="38"/>
      <c r="D73" s="34" t="s">
        <v>563</v>
      </c>
    </row>
    <row r="74" spans="1:4" ht="15.75" thickBot="1">
      <c r="A74" s="39" t="s">
        <v>564</v>
      </c>
      <c r="B74" s="38">
        <v>8342708650</v>
      </c>
      <c r="C74" s="38">
        <v>8614114195</v>
      </c>
      <c r="D74" s="34" t="s">
        <v>565</v>
      </c>
    </row>
    <row r="75" spans="1:4" ht="15.75" thickBot="1">
      <c r="A75" s="37" t="s">
        <v>566</v>
      </c>
      <c r="B75" s="38"/>
      <c r="C75" s="38"/>
      <c r="D75" s="34" t="s">
        <v>567</v>
      </c>
    </row>
    <row r="76" spans="1:4" ht="15.75" thickBot="1">
      <c r="A76" s="37" t="s">
        <v>568</v>
      </c>
      <c r="B76" s="33"/>
      <c r="C76" s="33"/>
      <c r="D76" s="34" t="s">
        <v>569</v>
      </c>
    </row>
    <row r="77" spans="1:4" ht="26.25" thickBot="1">
      <c r="A77" s="39" t="s">
        <v>570</v>
      </c>
      <c r="B77" s="38"/>
      <c r="C77" s="38"/>
      <c r="D77" s="34" t="s">
        <v>571</v>
      </c>
    </row>
    <row r="78" spans="1:4" ht="26.2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39" thickBot="1">
      <c r="A81" s="39" t="s">
        <v>578</v>
      </c>
      <c r="B81" s="38"/>
      <c r="C81" s="38"/>
      <c r="D81" s="34" t="s">
        <v>579</v>
      </c>
    </row>
    <row r="82" spans="1:4" ht="39" thickBot="1">
      <c r="A82" s="39" t="s">
        <v>580</v>
      </c>
      <c r="B82" s="38"/>
      <c r="C82" s="38"/>
      <c r="D82" s="34" t="s">
        <v>581</v>
      </c>
    </row>
    <row r="83" spans="1:4" ht="26.25" thickBot="1">
      <c r="A83" s="39" t="s">
        <v>582</v>
      </c>
      <c r="B83" s="38"/>
      <c r="C83" s="38"/>
      <c r="D83" s="34" t="s">
        <v>583</v>
      </c>
    </row>
    <row r="84" spans="1:4" ht="26.25" thickBot="1">
      <c r="A84" s="39" t="s">
        <v>584</v>
      </c>
      <c r="B84" s="38">
        <v>5760666279</v>
      </c>
      <c r="C84" s="38">
        <v>5635251863</v>
      </c>
      <c r="D84" s="34" t="s">
        <v>585</v>
      </c>
    </row>
    <row r="85" spans="1:4" ht="15.75" thickBot="1">
      <c r="A85" s="37" t="s">
        <v>586</v>
      </c>
      <c r="B85" s="38">
        <v>2677185336</v>
      </c>
      <c r="C85" s="38">
        <v>2677185336</v>
      </c>
      <c r="D85" s="34" t="s">
        <v>587</v>
      </c>
    </row>
    <row r="86" spans="1:4" ht="15.75" thickBot="1">
      <c r="A86" s="37" t="s">
        <v>588</v>
      </c>
      <c r="B86" s="38"/>
      <c r="C86" s="38"/>
      <c r="D86" s="34" t="s">
        <v>589</v>
      </c>
    </row>
    <row r="87" spans="1:4" ht="15.75" thickBot="1">
      <c r="A87" s="37" t="s">
        <v>590</v>
      </c>
      <c r="B87" s="38">
        <v>2430918</v>
      </c>
      <c r="C87" s="38">
        <v>1465218</v>
      </c>
      <c r="D87" s="34" t="s">
        <v>591</v>
      </c>
    </row>
    <row r="88" spans="1:4" ht="15.75" thickBot="1">
      <c r="A88" s="37" t="s">
        <v>592</v>
      </c>
      <c r="B88" s="38">
        <v>342540226</v>
      </c>
      <c r="C88" s="38">
        <v>357021533</v>
      </c>
      <c r="D88" s="34" t="s">
        <v>593</v>
      </c>
    </row>
    <row r="89" spans="1:4" ht="15.75" thickBot="1">
      <c r="A89" s="37" t="s">
        <v>594</v>
      </c>
      <c r="B89" s="33"/>
      <c r="C89" s="33"/>
      <c r="D89" s="34" t="s">
        <v>595</v>
      </c>
    </row>
    <row r="90" spans="1:4" ht="26.2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26.25" thickBot="1">
      <c r="A95" s="39" t="s">
        <v>605</v>
      </c>
      <c r="B95" s="38"/>
      <c r="C95" s="38"/>
      <c r="D95" s="34" t="s">
        <v>606</v>
      </c>
    </row>
    <row r="96" spans="1:4" ht="26.25" thickBot="1">
      <c r="A96" s="39" t="s">
        <v>607</v>
      </c>
      <c r="B96" s="38"/>
      <c r="C96" s="38"/>
      <c r="D96" s="34" t="s">
        <v>608</v>
      </c>
    </row>
    <row r="97" spans="1:4" ht="15.75" thickBot="1">
      <c r="A97" s="37" t="s">
        <v>609</v>
      </c>
      <c r="B97" s="33"/>
      <c r="C97" s="33"/>
      <c r="D97" s="34" t="s">
        <v>610</v>
      </c>
    </row>
    <row r="98" spans="1:4" ht="26.25" thickBot="1">
      <c r="A98" s="39" t="s">
        <v>611</v>
      </c>
      <c r="B98" s="38"/>
      <c r="C98" s="38"/>
      <c r="D98" s="34" t="s">
        <v>612</v>
      </c>
    </row>
    <row r="99" spans="1:4" ht="26.2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6400590644</v>
      </c>
      <c r="C105" s="38">
        <v>5930696652</v>
      </c>
      <c r="D105" s="34" t="s">
        <v>626</v>
      </c>
    </row>
    <row r="106" spans="1:4" ht="15.75" thickBot="1">
      <c r="A106" s="37" t="s">
        <v>627</v>
      </c>
      <c r="B106" s="38">
        <v>209477071</v>
      </c>
      <c r="C106" s="38">
        <v>127096125</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26.25" thickBot="1">
      <c r="A113" s="37" t="s">
        <v>641</v>
      </c>
      <c r="B113" s="38"/>
      <c r="C113" s="38"/>
      <c r="D113" s="34" t="s">
        <v>642</v>
      </c>
    </row>
    <row r="114" spans="1:4" ht="26.25" thickBot="1">
      <c r="A114" s="37" t="s">
        <v>643</v>
      </c>
      <c r="B114" s="38"/>
      <c r="C114" s="38"/>
      <c r="D114" s="34" t="s">
        <v>644</v>
      </c>
    </row>
    <row r="115" spans="1:4" ht="15.75" thickBot="1">
      <c r="A115" s="37" t="s">
        <v>645</v>
      </c>
      <c r="B115" s="33"/>
      <c r="C115" s="33"/>
      <c r="D115" s="34" t="s">
        <v>646</v>
      </c>
    </row>
    <row r="116" spans="1:4" ht="26.25" thickBot="1">
      <c r="A116" s="39" t="s">
        <v>647</v>
      </c>
      <c r="B116" s="38"/>
      <c r="C116" s="38"/>
      <c r="D116" s="34" t="s">
        <v>648</v>
      </c>
    </row>
    <row r="117" spans="1:4" ht="26.25" thickBot="1">
      <c r="A117" s="39" t="s">
        <v>649</v>
      </c>
      <c r="B117" s="38"/>
      <c r="C117" s="38"/>
      <c r="D117" s="34" t="s">
        <v>650</v>
      </c>
    </row>
    <row r="118" spans="1:4" ht="39" thickBot="1">
      <c r="A118" s="39" t="s">
        <v>651</v>
      </c>
      <c r="B118" s="38"/>
      <c r="C118" s="38"/>
      <c r="D118" s="34" t="s">
        <v>652</v>
      </c>
    </row>
    <row r="119" spans="1:4" ht="39" thickBot="1">
      <c r="A119" s="39" t="s">
        <v>653</v>
      </c>
      <c r="B119" s="38"/>
      <c r="C119" s="38"/>
      <c r="D119" s="34" t="s">
        <v>654</v>
      </c>
    </row>
    <row r="120" spans="1:4" ht="15.75" thickBot="1">
      <c r="A120" s="39" t="s">
        <v>655</v>
      </c>
      <c r="B120" s="38"/>
      <c r="C120" s="38"/>
      <c r="D120" s="34" t="s">
        <v>656</v>
      </c>
    </row>
    <row r="121" spans="1:4" ht="26.25" thickBot="1">
      <c r="A121" s="37" t="s">
        <v>657</v>
      </c>
      <c r="B121" s="38">
        <v>171702364</v>
      </c>
      <c r="C121" s="38">
        <v>111621438</v>
      </c>
      <c r="D121" s="34" t="s">
        <v>658</v>
      </c>
    </row>
    <row r="122" spans="1:4" ht="15.75" thickBot="1">
      <c r="A122" s="37" t="s">
        <v>659</v>
      </c>
      <c r="B122" s="38"/>
      <c r="C122" s="38"/>
      <c r="D122" s="34" t="s">
        <v>660</v>
      </c>
    </row>
    <row r="123" spans="1:4" ht="15.75" thickBot="1">
      <c r="A123" s="37" t="s">
        <v>661</v>
      </c>
      <c r="B123" s="38">
        <v>3432916993</v>
      </c>
      <c r="C123" s="38">
        <v>3006449356</v>
      </c>
      <c r="D123" s="34" t="s">
        <v>661</v>
      </c>
    </row>
    <row r="124" spans="1:4" ht="15.75" thickBot="1">
      <c r="A124" s="37" t="s">
        <v>662</v>
      </c>
      <c r="B124" s="38"/>
      <c r="C124" s="38"/>
      <c r="D124" s="34" t="s">
        <v>663</v>
      </c>
    </row>
    <row r="125" spans="1:4" ht="26.25" thickBot="1">
      <c r="A125" s="37" t="s">
        <v>664</v>
      </c>
      <c r="B125" s="38"/>
      <c r="C125" s="38"/>
      <c r="D125" s="34" t="s">
        <v>665</v>
      </c>
    </row>
    <row r="126" spans="1:4" ht="26.25" thickBot="1">
      <c r="A126" s="37" t="s">
        <v>666</v>
      </c>
      <c r="B126" s="38">
        <v>702253370</v>
      </c>
      <c r="C126" s="38">
        <v>602552387</v>
      </c>
      <c r="D126" s="34" t="s">
        <v>667</v>
      </c>
    </row>
    <row r="127" spans="1:4" ht="15.75" thickBot="1">
      <c r="A127" s="37" t="s">
        <v>668</v>
      </c>
      <c r="B127" s="38">
        <v>28049971851</v>
      </c>
      <c r="C127" s="38">
        <v>27066144302</v>
      </c>
      <c r="D127" s="34" t="s">
        <v>669</v>
      </c>
    </row>
    <row r="128" spans="1:4" ht="15.75" thickBot="1">
      <c r="A128" s="36" t="s">
        <v>670</v>
      </c>
      <c r="B128" s="38">
        <v>44514067394</v>
      </c>
      <c r="C128" s="38">
        <v>42891250530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101745840</v>
      </c>
      <c r="C132" s="38">
        <v>104373153</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968466360</v>
      </c>
      <c r="C135" s="38">
        <v>752308797</v>
      </c>
      <c r="D135" s="34" t="s">
        <v>685</v>
      </c>
    </row>
    <row r="136" spans="1:4" ht="15.75" thickBot="1">
      <c r="A136" s="40" t="s">
        <v>686</v>
      </c>
      <c r="B136" s="38">
        <v>1170915</v>
      </c>
      <c r="C136" s="38">
        <v>1818478</v>
      </c>
      <c r="D136" s="34" t="s">
        <v>687</v>
      </c>
    </row>
    <row r="137" spans="1:4" ht="15.75" thickBot="1">
      <c r="A137" s="39" t="s">
        <v>688</v>
      </c>
      <c r="B137" s="33"/>
      <c r="C137" s="33"/>
      <c r="D137" s="34" t="s">
        <v>689</v>
      </c>
    </row>
    <row r="138" spans="1:4" ht="15.75" thickBot="1">
      <c r="A138" s="40" t="s">
        <v>690</v>
      </c>
      <c r="B138" s="38">
        <v>180055262</v>
      </c>
      <c r="C138" s="38">
        <v>133685580</v>
      </c>
      <c r="D138" s="34" t="s">
        <v>691</v>
      </c>
    </row>
    <row r="139" spans="1:4" ht="15.75" thickBot="1">
      <c r="A139" s="40" t="s">
        <v>692</v>
      </c>
      <c r="B139" s="38">
        <v>3630186</v>
      </c>
      <c r="C139" s="38">
        <v>3730667</v>
      </c>
      <c r="D139" s="34" t="s">
        <v>693</v>
      </c>
    </row>
    <row r="140" spans="1:4" ht="26.25" thickBot="1">
      <c r="A140" s="39" t="s">
        <v>694</v>
      </c>
      <c r="B140" s="33"/>
      <c r="C140" s="33"/>
      <c r="D140" s="34" t="s">
        <v>695</v>
      </c>
    </row>
    <row r="141" spans="1:4" ht="26.25" thickBot="1">
      <c r="A141" s="40" t="s">
        <v>696</v>
      </c>
      <c r="B141" s="38">
        <v>371192379</v>
      </c>
      <c r="C141" s="38">
        <v>323118001</v>
      </c>
      <c r="D141" s="34" t="s">
        <v>697</v>
      </c>
    </row>
    <row r="142" spans="1:4" ht="26.25" thickBot="1">
      <c r="A142" s="40" t="s">
        <v>698</v>
      </c>
      <c r="B142" s="38"/>
      <c r="C142" s="38"/>
      <c r="D142" s="34" t="s">
        <v>699</v>
      </c>
    </row>
    <row r="143" spans="1:4" ht="15.75" thickBot="1">
      <c r="A143" s="39" t="s">
        <v>700</v>
      </c>
      <c r="B143" s="38">
        <v>311725128</v>
      </c>
      <c r="C143" s="38"/>
      <c r="D143" s="34" t="s">
        <v>701</v>
      </c>
    </row>
    <row r="144" spans="1:4" ht="26.25" thickBot="1">
      <c r="A144" s="39" t="s">
        <v>702</v>
      </c>
      <c r="B144" s="38">
        <v>42017696</v>
      </c>
      <c r="C144" s="38"/>
      <c r="D144" s="34" t="s">
        <v>703</v>
      </c>
    </row>
    <row r="145" spans="1:4" ht="15.75" thickBot="1">
      <c r="A145" s="39" t="s">
        <v>704</v>
      </c>
      <c r="B145" s="38">
        <v>1497363576</v>
      </c>
      <c r="C145" s="38">
        <v>1125762459</v>
      </c>
      <c r="D145" s="34" t="s">
        <v>705</v>
      </c>
    </row>
    <row r="146" spans="1:4" ht="26.25" thickBot="1">
      <c r="A146" s="39" t="s">
        <v>706</v>
      </c>
      <c r="B146" s="38">
        <v>243639841</v>
      </c>
      <c r="C146" s="38">
        <v>226623925</v>
      </c>
      <c r="D146" s="34" t="s">
        <v>707</v>
      </c>
    </row>
    <row r="147" spans="1:4" ht="15.75" thickBot="1">
      <c r="A147" s="39" t="s">
        <v>708</v>
      </c>
      <c r="B147" s="38">
        <v>257991899</v>
      </c>
      <c r="C147" s="38">
        <v>348122427</v>
      </c>
      <c r="D147" s="34" t="s">
        <v>709</v>
      </c>
    </row>
    <row r="148" spans="1:4" ht="15.75" thickBot="1">
      <c r="A148" s="39" t="s">
        <v>710</v>
      </c>
      <c r="B148" s="38"/>
      <c r="C148" s="38"/>
      <c r="D148" s="34" t="s">
        <v>711</v>
      </c>
    </row>
    <row r="149" spans="1:4" ht="15.75" thickBot="1">
      <c r="A149" s="39" t="s">
        <v>712</v>
      </c>
      <c r="B149" s="38"/>
      <c r="C149" s="38"/>
      <c r="D149" s="34" t="s">
        <v>713</v>
      </c>
    </row>
    <row r="150" spans="1:4" ht="26.2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26.25" thickBot="1">
      <c r="A158" s="39" t="s">
        <v>730</v>
      </c>
      <c r="B158" s="38"/>
      <c r="C158" s="38"/>
      <c r="D158" s="34" t="s">
        <v>731</v>
      </c>
    </row>
    <row r="159" spans="1:4" ht="26.25" thickBot="1">
      <c r="A159" s="39" t="s">
        <v>732</v>
      </c>
      <c r="B159" s="33"/>
      <c r="C159" s="33"/>
      <c r="D159" s="34" t="s">
        <v>733</v>
      </c>
    </row>
    <row r="160" spans="1:4" ht="26.25" thickBot="1">
      <c r="A160" s="40" t="s">
        <v>734</v>
      </c>
      <c r="B160" s="38"/>
      <c r="C160" s="38"/>
      <c r="D160" s="34" t="s">
        <v>735</v>
      </c>
    </row>
    <row r="161" spans="1:4" ht="26.25" thickBot="1">
      <c r="A161" s="40" t="s">
        <v>736</v>
      </c>
      <c r="B161" s="38"/>
      <c r="C161" s="38"/>
      <c r="D161" s="34" t="s">
        <v>737</v>
      </c>
    </row>
    <row r="162" spans="1:4" ht="26.25" thickBot="1">
      <c r="A162" s="39" t="s">
        <v>738</v>
      </c>
      <c r="B162" s="38"/>
      <c r="C162" s="38"/>
      <c r="D162" s="34" t="s">
        <v>739</v>
      </c>
    </row>
    <row r="163" spans="1:4" ht="15.75" thickBot="1">
      <c r="A163" s="39" t="s">
        <v>740</v>
      </c>
      <c r="B163" s="33"/>
      <c r="C163" s="33"/>
      <c r="D163" s="34" t="s">
        <v>741</v>
      </c>
    </row>
    <row r="164" spans="1:4" ht="26.25" thickBot="1">
      <c r="A164" s="40" t="s">
        <v>742</v>
      </c>
      <c r="B164" s="38"/>
      <c r="C164" s="38"/>
      <c r="D164" s="34" t="s">
        <v>743</v>
      </c>
    </row>
    <row r="165" spans="1:4" ht="39" thickBot="1">
      <c r="A165" s="40" t="s">
        <v>744</v>
      </c>
      <c r="B165" s="38"/>
      <c r="C165" s="38"/>
      <c r="D165" s="34" t="s">
        <v>745</v>
      </c>
    </row>
    <row r="166" spans="1:4" ht="39" thickBot="1">
      <c r="A166" s="40" t="s">
        <v>746</v>
      </c>
      <c r="B166" s="38"/>
      <c r="C166" s="38"/>
      <c r="D166" s="34" t="s">
        <v>747</v>
      </c>
    </row>
    <row r="167" spans="1:4" ht="26.25" thickBot="1">
      <c r="A167" s="40" t="s">
        <v>748</v>
      </c>
      <c r="B167" s="38"/>
      <c r="C167" s="38"/>
      <c r="D167" s="34" t="s">
        <v>749</v>
      </c>
    </row>
    <row r="168" spans="1:4" ht="26.25" thickBot="1">
      <c r="A168" s="40" t="s">
        <v>750</v>
      </c>
      <c r="B168" s="38"/>
      <c r="C168" s="38"/>
      <c r="D168" s="34" t="s">
        <v>751</v>
      </c>
    </row>
    <row r="169" spans="1:4" ht="15.75" thickBot="1">
      <c r="A169" s="40" t="s">
        <v>752</v>
      </c>
      <c r="B169" s="38"/>
      <c r="C169" s="38"/>
      <c r="D169" s="34" t="s">
        <v>753</v>
      </c>
    </row>
    <row r="170" spans="1:4" ht="26.25" thickBot="1">
      <c r="A170" s="39" t="s">
        <v>754</v>
      </c>
      <c r="B170" s="38"/>
      <c r="C170" s="38"/>
      <c r="D170" s="34" t="s">
        <v>755</v>
      </c>
    </row>
    <row r="171" spans="1:4" ht="15.75" thickBot="1">
      <c r="A171" s="39" t="s">
        <v>756</v>
      </c>
      <c r="B171" s="38"/>
      <c r="C171" s="38"/>
      <c r="D171" s="34" t="s">
        <v>757</v>
      </c>
    </row>
    <row r="172" spans="1:4" ht="90" thickBot="1">
      <c r="A172" s="39" t="s">
        <v>758</v>
      </c>
      <c r="B172" s="38">
        <v>1723684</v>
      </c>
      <c r="C172" s="38"/>
      <c r="D172" s="34" t="s">
        <v>759</v>
      </c>
    </row>
    <row r="173" spans="1:4" ht="26.25" thickBot="1">
      <c r="A173" s="39" t="s">
        <v>760</v>
      </c>
      <c r="B173" s="33"/>
      <c r="C173" s="33"/>
      <c r="D173" s="34" t="s">
        <v>761</v>
      </c>
    </row>
    <row r="174" spans="1:4" ht="39" thickBot="1">
      <c r="A174" s="40" t="s">
        <v>762</v>
      </c>
      <c r="B174" s="38">
        <v>208469040</v>
      </c>
      <c r="C174" s="38">
        <v>177639506</v>
      </c>
      <c r="D174" s="34" t="s">
        <v>763</v>
      </c>
    </row>
    <row r="175" spans="1:4" ht="51.75" thickBot="1">
      <c r="A175" s="40" t="s">
        <v>764</v>
      </c>
      <c r="B175" s="38"/>
      <c r="C175" s="38"/>
      <c r="D175" s="34" t="s">
        <v>765</v>
      </c>
    </row>
    <row r="176" spans="1:4" ht="39" thickBot="1">
      <c r="A176" s="40" t="s">
        <v>766</v>
      </c>
      <c r="B176" s="38"/>
      <c r="C176" s="38"/>
      <c r="D176" s="34" t="s">
        <v>767</v>
      </c>
    </row>
    <row r="177" spans="1:4" ht="39" thickBot="1">
      <c r="A177" s="40" t="s">
        <v>768</v>
      </c>
      <c r="B177" s="38"/>
      <c r="C177" s="38"/>
      <c r="D177" s="34" t="s">
        <v>769</v>
      </c>
    </row>
    <row r="178" spans="1:4" ht="39" thickBot="1">
      <c r="A178" s="40" t="s">
        <v>770</v>
      </c>
      <c r="B178" s="38"/>
      <c r="C178" s="38"/>
      <c r="D178" s="34" t="s">
        <v>771</v>
      </c>
    </row>
    <row r="179" spans="1:4" ht="51.75" thickBot="1">
      <c r="A179" s="40" t="s">
        <v>772</v>
      </c>
      <c r="B179" s="38"/>
      <c r="C179" s="38"/>
      <c r="D179" s="34" t="s">
        <v>773</v>
      </c>
    </row>
    <row r="180" spans="1:4" ht="39" thickBot="1">
      <c r="A180" s="40" t="s">
        <v>774</v>
      </c>
      <c r="B180" s="38"/>
      <c r="C180" s="38"/>
      <c r="D180" s="34" t="s">
        <v>775</v>
      </c>
    </row>
    <row r="181" spans="1:4" ht="51.75" thickBot="1">
      <c r="A181" s="40" t="s">
        <v>776</v>
      </c>
      <c r="B181" s="38"/>
      <c r="C181" s="38"/>
      <c r="D181" s="34" t="s">
        <v>777</v>
      </c>
    </row>
    <row r="182" spans="1:4" ht="51.75" thickBot="1">
      <c r="A182" s="40" t="s">
        <v>778</v>
      </c>
      <c r="B182" s="38"/>
      <c r="C182" s="38"/>
      <c r="D182" s="34" t="s">
        <v>779</v>
      </c>
    </row>
    <row r="183" spans="1:4" ht="51.75" thickBot="1">
      <c r="A183" s="40" t="s">
        <v>780</v>
      </c>
      <c r="B183" s="38"/>
      <c r="C183" s="38"/>
      <c r="D183" s="34" t="s">
        <v>781</v>
      </c>
    </row>
    <row r="184" spans="1:4" ht="51.75" thickBot="1">
      <c r="A184" s="40" t="s">
        <v>782</v>
      </c>
      <c r="B184" s="38">
        <v>7363979</v>
      </c>
      <c r="C184" s="38">
        <v>4301594</v>
      </c>
      <c r="D184" s="34" t="s">
        <v>783</v>
      </c>
    </row>
    <row r="185" spans="1:4" ht="39" thickBot="1">
      <c r="A185" s="40" t="s">
        <v>784</v>
      </c>
      <c r="B185" s="38"/>
      <c r="C185" s="38"/>
      <c r="D185" s="34" t="s">
        <v>785</v>
      </c>
    </row>
    <row r="186" spans="1:4" ht="39" thickBot="1">
      <c r="A186" s="40" t="s">
        <v>786</v>
      </c>
      <c r="B186" s="38"/>
      <c r="C186" s="38"/>
      <c r="D186" s="34" t="s">
        <v>787</v>
      </c>
    </row>
    <row r="187" spans="1:4" ht="39" thickBot="1">
      <c r="A187" s="40" t="s">
        <v>788</v>
      </c>
      <c r="B187" s="38"/>
      <c r="C187" s="38"/>
      <c r="D187" s="34" t="s">
        <v>789</v>
      </c>
    </row>
    <row r="188" spans="1:4" ht="51.75" thickBot="1">
      <c r="A188" s="40" t="s">
        <v>790</v>
      </c>
      <c r="B188" s="38"/>
      <c r="C188" s="38"/>
      <c r="D188" s="34" t="s">
        <v>791</v>
      </c>
    </row>
    <row r="189" spans="1:4" ht="39" thickBot="1">
      <c r="A189" s="40" t="s">
        <v>792</v>
      </c>
      <c r="B189" s="38"/>
      <c r="C189" s="38"/>
      <c r="D189" s="34" t="s">
        <v>793</v>
      </c>
    </row>
    <row r="190" spans="1:4" ht="39" thickBot="1">
      <c r="A190" s="40" t="s">
        <v>794</v>
      </c>
      <c r="B190" s="38"/>
      <c r="C190" s="38"/>
      <c r="D190" s="34" t="s">
        <v>795</v>
      </c>
    </row>
    <row r="191" spans="1:4" ht="39" thickBot="1">
      <c r="A191" s="40" t="s">
        <v>796</v>
      </c>
      <c r="B191" s="38"/>
      <c r="C191" s="38"/>
      <c r="D191" s="34" t="s">
        <v>797</v>
      </c>
    </row>
    <row r="192" spans="1:4" ht="39" thickBot="1">
      <c r="A192" s="40" t="s">
        <v>798</v>
      </c>
      <c r="B192" s="38"/>
      <c r="C192" s="38"/>
      <c r="D192" s="34" t="s">
        <v>799</v>
      </c>
    </row>
    <row r="193" spans="1:4" ht="26.25" thickBot="1">
      <c r="A193" s="39" t="s">
        <v>800</v>
      </c>
      <c r="B193" s="38"/>
      <c r="C193" s="38"/>
      <c r="D193" s="34" t="s">
        <v>801</v>
      </c>
    </row>
    <row r="194" spans="1:4" ht="26.25" thickBot="1">
      <c r="A194" s="39" t="s">
        <v>802</v>
      </c>
      <c r="B194" s="38"/>
      <c r="C194" s="38"/>
      <c r="D194" s="34" t="s">
        <v>803</v>
      </c>
    </row>
    <row r="195" spans="1:4" ht="26.25" thickBot="1">
      <c r="A195" s="39" t="s">
        <v>804</v>
      </c>
      <c r="B195" s="38"/>
      <c r="C195" s="38"/>
      <c r="D195" s="34" t="s">
        <v>805</v>
      </c>
    </row>
    <row r="196" spans="1:4" ht="26.25" thickBot="1">
      <c r="A196" s="39" t="s">
        <v>806</v>
      </c>
      <c r="B196" s="38"/>
      <c r="C196" s="38"/>
      <c r="D196" s="34" t="s">
        <v>807</v>
      </c>
    </row>
    <row r="197" spans="1:4" ht="26.25" thickBot="1">
      <c r="A197" s="39" t="s">
        <v>808</v>
      </c>
      <c r="B197" s="38">
        <v>60038528</v>
      </c>
      <c r="C197" s="38">
        <v>6589948</v>
      </c>
      <c r="D197" s="34" t="s">
        <v>809</v>
      </c>
    </row>
    <row r="198" spans="1:4" ht="15.75" thickBot="1">
      <c r="A198" s="39" t="s">
        <v>810</v>
      </c>
      <c r="B198" s="38">
        <v>4256594313</v>
      </c>
      <c r="C198" s="38">
        <v>3208074535</v>
      </c>
      <c r="D198" s="34" t="s">
        <v>811</v>
      </c>
    </row>
    <row r="199" spans="1:4" ht="15.75" thickBot="1">
      <c r="A199" s="37" t="s">
        <v>812</v>
      </c>
      <c r="B199" s="33"/>
      <c r="C199" s="33"/>
      <c r="D199" s="34" t="s">
        <v>813</v>
      </c>
    </row>
    <row r="200" spans="1:4" ht="26.25" thickBot="1">
      <c r="A200" s="39" t="s">
        <v>814</v>
      </c>
      <c r="B200" s="38"/>
      <c r="C200" s="38"/>
      <c r="D200" s="34" t="s">
        <v>815</v>
      </c>
    </row>
    <row r="201" spans="1:4" ht="15.75" thickBot="1">
      <c r="A201" s="39" t="s">
        <v>816</v>
      </c>
      <c r="B201" s="38">
        <v>245997665</v>
      </c>
      <c r="C201" s="38">
        <v>259512000</v>
      </c>
      <c r="D201" s="34" t="s">
        <v>817</v>
      </c>
    </row>
    <row r="202" spans="1:4" ht="26.25" thickBot="1">
      <c r="A202" s="39" t="s">
        <v>818</v>
      </c>
      <c r="B202" s="38"/>
      <c r="C202" s="38"/>
      <c r="D202" s="34" t="s">
        <v>819</v>
      </c>
    </row>
    <row r="203" spans="1:4" ht="26.25" thickBot="1">
      <c r="A203" s="39" t="s">
        <v>820</v>
      </c>
      <c r="B203" s="38"/>
      <c r="C203" s="38"/>
      <c r="D203" s="34" t="s">
        <v>821</v>
      </c>
    </row>
    <row r="204" spans="1:4" ht="15.75" thickBot="1">
      <c r="A204" s="39" t="s">
        <v>822</v>
      </c>
      <c r="B204" s="38"/>
      <c r="C204" s="38"/>
      <c r="D204" s="34" t="s">
        <v>823</v>
      </c>
    </row>
    <row r="205" spans="1:4" ht="39" thickBot="1">
      <c r="A205" s="39" t="s">
        <v>824</v>
      </c>
      <c r="B205" s="33"/>
      <c r="C205" s="33"/>
      <c r="D205" s="34" t="s">
        <v>825</v>
      </c>
    </row>
    <row r="206" spans="1:4" ht="26.25" thickBot="1">
      <c r="A206" s="40" t="s">
        <v>826</v>
      </c>
      <c r="B206" s="38">
        <v>661896762</v>
      </c>
      <c r="C206" s="38">
        <v>681429561</v>
      </c>
      <c r="D206" s="34" t="s">
        <v>827</v>
      </c>
    </row>
    <row r="207" spans="1:4" ht="26.25" thickBot="1">
      <c r="A207" s="40" t="s">
        <v>828</v>
      </c>
      <c r="B207" s="38"/>
      <c r="C207" s="38"/>
      <c r="D207" s="34" t="s">
        <v>829</v>
      </c>
    </row>
    <row r="208" spans="1:4" ht="26.25" thickBot="1">
      <c r="A208" s="40" t="s">
        <v>830</v>
      </c>
      <c r="B208" s="38"/>
      <c r="C208" s="38"/>
      <c r="D208" s="34" t="s">
        <v>831</v>
      </c>
    </row>
    <row r="209" spans="1:4" ht="26.25" thickBot="1">
      <c r="A209" s="40" t="s">
        <v>832</v>
      </c>
      <c r="B209" s="38"/>
      <c r="C209" s="38"/>
      <c r="D209" s="34" t="s">
        <v>833</v>
      </c>
    </row>
    <row r="210" spans="1:4" ht="26.25" thickBot="1">
      <c r="A210" s="40" t="s">
        <v>834</v>
      </c>
      <c r="B210" s="38"/>
      <c r="C210" s="38"/>
      <c r="D210" s="34" t="s">
        <v>835</v>
      </c>
    </row>
    <row r="211" spans="1:4" ht="39" thickBot="1">
      <c r="A211" s="40" t="s">
        <v>836</v>
      </c>
      <c r="B211" s="38"/>
      <c r="C211" s="38"/>
      <c r="D211" s="34" t="s">
        <v>837</v>
      </c>
    </row>
    <row r="212" spans="1:4" ht="26.2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26.25" thickBot="1">
      <c r="A216" s="40" t="s">
        <v>846</v>
      </c>
      <c r="B216" s="38">
        <v>6370508</v>
      </c>
      <c r="C216" s="38">
        <v>2133628</v>
      </c>
      <c r="D216" s="34" t="s">
        <v>847</v>
      </c>
    </row>
    <row r="217" spans="1:4" ht="26.25" thickBot="1">
      <c r="A217" s="40" t="s">
        <v>848</v>
      </c>
      <c r="B217" s="38"/>
      <c r="C217" s="38"/>
      <c r="D217" s="34" t="s">
        <v>849</v>
      </c>
    </row>
    <row r="218" spans="1:4" ht="26.25" thickBot="1">
      <c r="A218" s="40" t="s">
        <v>850</v>
      </c>
      <c r="B218" s="38"/>
      <c r="C218" s="38"/>
      <c r="D218" s="34" t="s">
        <v>851</v>
      </c>
    </row>
    <row r="219" spans="1:4" ht="26.25" thickBot="1">
      <c r="A219" s="40" t="s">
        <v>852</v>
      </c>
      <c r="B219" s="38"/>
      <c r="C219" s="38"/>
      <c r="D219" s="34" t="s">
        <v>853</v>
      </c>
    </row>
    <row r="220" spans="1:4" ht="26.25" thickBot="1">
      <c r="A220" s="40" t="s">
        <v>854</v>
      </c>
      <c r="B220" s="38"/>
      <c r="C220" s="38"/>
      <c r="D220" s="34" t="s">
        <v>855</v>
      </c>
    </row>
    <row r="221" spans="1:4" ht="26.25" thickBot="1">
      <c r="A221" s="40" t="s">
        <v>856</v>
      </c>
      <c r="B221" s="38"/>
      <c r="C221" s="38"/>
      <c r="D221" s="34" t="s">
        <v>857</v>
      </c>
    </row>
    <row r="222" spans="1:4" ht="26.25" thickBot="1">
      <c r="A222" s="40" t="s">
        <v>858</v>
      </c>
      <c r="B222" s="38"/>
      <c r="C222" s="38"/>
      <c r="D222" s="34" t="s">
        <v>859</v>
      </c>
    </row>
    <row r="223" spans="1:4" ht="26.25" thickBot="1">
      <c r="A223" s="40" t="s">
        <v>860</v>
      </c>
      <c r="B223" s="38"/>
      <c r="C223" s="38"/>
      <c r="D223" s="34" t="s">
        <v>861</v>
      </c>
    </row>
    <row r="224" spans="1:4" ht="26.25" thickBot="1">
      <c r="A224" s="40" t="s">
        <v>862</v>
      </c>
      <c r="B224" s="38"/>
      <c r="C224" s="38"/>
      <c r="D224" s="34" t="s">
        <v>863</v>
      </c>
    </row>
    <row r="225" spans="1:4" ht="15.75" thickBot="1">
      <c r="A225" s="39" t="s">
        <v>864</v>
      </c>
      <c r="B225" s="38">
        <v>45021935</v>
      </c>
      <c r="C225" s="38">
        <v>43329091</v>
      </c>
      <c r="D225" s="34" t="s">
        <v>865</v>
      </c>
    </row>
    <row r="226" spans="1:4" ht="26.25" thickBot="1">
      <c r="A226" s="39" t="s">
        <v>866</v>
      </c>
      <c r="B226" s="38"/>
      <c r="C226" s="38"/>
      <c r="D226" s="34" t="s">
        <v>867</v>
      </c>
    </row>
    <row r="227" spans="1:4" ht="15.75" thickBot="1">
      <c r="A227" s="39" t="s">
        <v>868</v>
      </c>
      <c r="B227" s="38"/>
      <c r="C227" s="38"/>
      <c r="D227" s="34" t="s">
        <v>869</v>
      </c>
    </row>
    <row r="228" spans="1:4" ht="26.25" thickBot="1">
      <c r="A228" s="39" t="s">
        <v>870</v>
      </c>
      <c r="B228" s="33"/>
      <c r="C228" s="33"/>
      <c r="D228" s="34" t="s">
        <v>871</v>
      </c>
    </row>
    <row r="229" spans="1:4" ht="26.25" thickBot="1">
      <c r="A229" s="40" t="s">
        <v>872</v>
      </c>
      <c r="B229" s="38"/>
      <c r="C229" s="38"/>
      <c r="D229" s="34" t="s">
        <v>873</v>
      </c>
    </row>
    <row r="230" spans="1:4" ht="26.25" thickBot="1">
      <c r="A230" s="40" t="s">
        <v>874</v>
      </c>
      <c r="B230" s="38"/>
      <c r="C230" s="38"/>
      <c r="D230" s="34" t="s">
        <v>875</v>
      </c>
    </row>
    <row r="231" spans="1:4" ht="26.2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26.25" thickBot="1">
      <c r="A234" s="40" t="s">
        <v>882</v>
      </c>
      <c r="B234" s="38"/>
      <c r="C234" s="38"/>
      <c r="D234" s="34" t="s">
        <v>883</v>
      </c>
    </row>
    <row r="235" spans="1:4" ht="39" thickBot="1">
      <c r="A235" s="40" t="s">
        <v>884</v>
      </c>
      <c r="B235" s="38"/>
      <c r="C235" s="38"/>
      <c r="D235" s="34" t="s">
        <v>885</v>
      </c>
    </row>
    <row r="236" spans="1:4" ht="39" thickBot="1">
      <c r="A236" s="40" t="s">
        <v>886</v>
      </c>
      <c r="B236" s="38"/>
      <c r="C236" s="38"/>
      <c r="D236" s="34" t="s">
        <v>887</v>
      </c>
    </row>
    <row r="237" spans="1:4" ht="26.25" thickBot="1">
      <c r="A237" s="40" t="s">
        <v>888</v>
      </c>
      <c r="B237" s="38"/>
      <c r="C237" s="38"/>
      <c r="D237" s="34" t="s">
        <v>889</v>
      </c>
    </row>
    <row r="238" spans="1:4" ht="26.25" thickBot="1">
      <c r="A238" s="40" t="s">
        <v>890</v>
      </c>
      <c r="B238" s="38"/>
      <c r="C238" s="38"/>
      <c r="D238" s="34" t="s">
        <v>891</v>
      </c>
    </row>
    <row r="239" spans="1:4" ht="15.75" thickBot="1">
      <c r="A239" s="40" t="s">
        <v>892</v>
      </c>
      <c r="B239" s="38"/>
      <c r="C239" s="38"/>
      <c r="D239" s="34" t="s">
        <v>893</v>
      </c>
    </row>
    <row r="240" spans="1:4" ht="26.25" thickBot="1">
      <c r="A240" s="39" t="s">
        <v>894</v>
      </c>
      <c r="B240" s="38"/>
      <c r="C240" s="38"/>
      <c r="D240" s="34" t="s">
        <v>895</v>
      </c>
    </row>
    <row r="241" spans="1:4" ht="26.25" thickBot="1">
      <c r="A241" s="39" t="s">
        <v>896</v>
      </c>
      <c r="B241" s="38"/>
      <c r="C241" s="38"/>
      <c r="D241" s="34" t="s">
        <v>897</v>
      </c>
    </row>
    <row r="242" spans="1:4" ht="26.25" thickBot="1">
      <c r="A242" s="39" t="s">
        <v>898</v>
      </c>
      <c r="B242" s="38">
        <v>470242916</v>
      </c>
      <c r="C242" s="38">
        <v>314153795</v>
      </c>
      <c r="D242" s="34" t="s">
        <v>899</v>
      </c>
    </row>
    <row r="243" spans="1:4" ht="26.25" thickBot="1">
      <c r="A243" s="39" t="s">
        <v>900</v>
      </c>
      <c r="B243" s="38"/>
      <c r="C243" s="38"/>
      <c r="D243" s="34" t="s">
        <v>901</v>
      </c>
    </row>
    <row r="244" spans="1:4" ht="26.25" thickBot="1">
      <c r="A244" s="39" t="s">
        <v>902</v>
      </c>
      <c r="B244" s="38"/>
      <c r="C244" s="38"/>
      <c r="D244" s="34" t="s">
        <v>903</v>
      </c>
    </row>
    <row r="245" spans="1:4" ht="26.25" thickBot="1">
      <c r="A245" s="39" t="s">
        <v>904</v>
      </c>
      <c r="B245" s="38">
        <v>27662856</v>
      </c>
      <c r="C245" s="38">
        <v>10857467</v>
      </c>
      <c r="D245" s="34" t="s">
        <v>905</v>
      </c>
    </row>
    <row r="246" spans="1:4" ht="15.75" thickBot="1">
      <c r="A246" s="39" t="s">
        <v>906</v>
      </c>
      <c r="B246" s="38">
        <v>1457192642</v>
      </c>
      <c r="C246" s="38">
        <v>1311415542</v>
      </c>
      <c r="D246" s="34" t="s">
        <v>907</v>
      </c>
    </row>
    <row r="247" spans="1:4" ht="15.75" thickBot="1">
      <c r="A247" s="37" t="s">
        <v>908</v>
      </c>
      <c r="B247" s="38">
        <v>5713786955</v>
      </c>
      <c r="C247" s="38">
        <v>4519490077</v>
      </c>
      <c r="D247" s="34" t="s">
        <v>909</v>
      </c>
    </row>
    <row r="248" spans="1:4" ht="15.75" thickBot="1">
      <c r="A248" s="36" t="s">
        <v>910</v>
      </c>
      <c r="B248" s="33"/>
      <c r="C248" s="33"/>
      <c r="D248" s="34" t="s">
        <v>911</v>
      </c>
    </row>
    <row r="249" spans="1:4" ht="26.25" thickBot="1">
      <c r="A249" s="37" t="s">
        <v>912</v>
      </c>
      <c r="B249" s="33"/>
      <c r="C249" s="33"/>
      <c r="D249" s="34" t="s">
        <v>913</v>
      </c>
    </row>
    <row r="250" spans="1:4" ht="15.75" thickBot="1">
      <c r="A250" s="39" t="s">
        <v>914</v>
      </c>
      <c r="B250" s="38">
        <v>1226335030</v>
      </c>
      <c r="C250" s="38">
        <v>1226335030</v>
      </c>
      <c r="D250" s="34" t="s">
        <v>915</v>
      </c>
    </row>
    <row r="251" spans="1:4" ht="15.75" thickBot="1">
      <c r="A251" s="39" t="s">
        <v>916</v>
      </c>
      <c r="B251" s="38"/>
      <c r="C251" s="38"/>
      <c r="D251" s="34" t="s">
        <v>917</v>
      </c>
    </row>
    <row r="252" spans="1:4" ht="15.75" thickBot="1">
      <c r="A252" s="39" t="s">
        <v>918</v>
      </c>
      <c r="B252" s="38">
        <v>13856479927</v>
      </c>
      <c r="C252" s="38">
        <v>13856479927</v>
      </c>
      <c r="D252" s="34" t="s">
        <v>919</v>
      </c>
    </row>
    <row r="253" spans="1:4" ht="15.75" thickBot="1">
      <c r="A253" s="39" t="s">
        <v>920</v>
      </c>
      <c r="B253" s="41">
        <v>57006643</v>
      </c>
      <c r="C253" s="41">
        <v>57006643</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26.25" thickBot="1">
      <c r="A257" s="39" t="s">
        <v>928</v>
      </c>
      <c r="B257" s="38">
        <v>139522065</v>
      </c>
      <c r="C257" s="38">
        <v>69820331</v>
      </c>
      <c r="D257" s="34" t="s">
        <v>929</v>
      </c>
    </row>
    <row r="258" spans="1:4" ht="51.75" thickBot="1">
      <c r="A258" s="39" t="s">
        <v>930</v>
      </c>
      <c r="B258" s="38">
        <v>731744316</v>
      </c>
      <c r="C258" s="38">
        <v>779166071</v>
      </c>
      <c r="D258" s="34" t="s">
        <v>931</v>
      </c>
    </row>
    <row r="259" spans="1:4" ht="26.25" thickBot="1">
      <c r="A259" s="39" t="s">
        <v>932</v>
      </c>
      <c r="B259" s="38">
        <v>10916631</v>
      </c>
      <c r="C259" s="38">
        <v>9493640</v>
      </c>
      <c r="D259" s="34" t="s">
        <v>933</v>
      </c>
    </row>
    <row r="260" spans="1:4" ht="26.25" thickBot="1">
      <c r="A260" s="39" t="s">
        <v>934</v>
      </c>
      <c r="B260" s="38"/>
      <c r="C260" s="38"/>
      <c r="D260" s="34" t="s">
        <v>935</v>
      </c>
    </row>
    <row r="261" spans="1:4" ht="15.75" thickBot="1">
      <c r="A261" s="39" t="s">
        <v>936</v>
      </c>
      <c r="B261" s="38"/>
      <c r="C261" s="38"/>
      <c r="D261" s="34" t="s">
        <v>937</v>
      </c>
    </row>
    <row r="262" spans="1:4" ht="26.25" thickBot="1">
      <c r="A262" s="39" t="s">
        <v>938</v>
      </c>
      <c r="B262" s="38">
        <v>26235136</v>
      </c>
      <c r="C262" s="38">
        <v>26902525</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9331945789</v>
      </c>
      <c r="C265" s="38">
        <v>9397721606</v>
      </c>
      <c r="D265" s="34" t="s">
        <v>945</v>
      </c>
    </row>
    <row r="266" spans="1:4" ht="15.75" thickBot="1">
      <c r="A266" s="39" t="s">
        <v>946</v>
      </c>
      <c r="B266" s="33"/>
      <c r="C266" s="33"/>
      <c r="D266" s="34" t="s">
        <v>947</v>
      </c>
    </row>
    <row r="267" spans="1:4" ht="26.25" thickBot="1">
      <c r="A267" s="40" t="s">
        <v>948</v>
      </c>
      <c r="B267" s="38">
        <v>13000000</v>
      </c>
      <c r="C267" s="38">
        <v>13000000</v>
      </c>
      <c r="D267" s="34" t="s">
        <v>949</v>
      </c>
    </row>
    <row r="268" spans="1:4" ht="26.25" thickBot="1">
      <c r="A268" s="40" t="s">
        <v>950</v>
      </c>
      <c r="B268" s="38">
        <v>9264410068</v>
      </c>
      <c r="C268" s="38">
        <v>9358345133</v>
      </c>
      <c r="D268" s="34" t="s">
        <v>951</v>
      </c>
    </row>
    <row r="269" spans="1:4" ht="39" thickBot="1">
      <c r="A269" s="39" t="s">
        <v>952</v>
      </c>
      <c r="B269" s="38">
        <v>34543582319</v>
      </c>
      <c r="C269" s="38">
        <v>34680257620</v>
      </c>
      <c r="D269" s="34" t="s">
        <v>953</v>
      </c>
    </row>
    <row r="270" spans="1:4" ht="15.75" thickBot="1">
      <c r="A270" s="37" t="s">
        <v>954</v>
      </c>
      <c r="B270" s="38"/>
      <c r="C270" s="38"/>
      <c r="D270" s="34" t="s">
        <v>955</v>
      </c>
    </row>
    <row r="271" spans="1:4" ht="15.75" thickBot="1">
      <c r="A271" s="37" t="s">
        <v>956</v>
      </c>
      <c r="B271" s="38">
        <v>4256698120</v>
      </c>
      <c r="C271" s="38">
        <v>3691502833</v>
      </c>
      <c r="D271" s="34" t="s">
        <v>957</v>
      </c>
    </row>
    <row r="272" spans="1:4" ht="15.75" thickBot="1">
      <c r="A272" s="37" t="s">
        <v>958</v>
      </c>
      <c r="B272" s="38">
        <v>38800280439</v>
      </c>
      <c r="C272" s="38">
        <v>38371760453</v>
      </c>
      <c r="D272" s="34" t="s">
        <v>959</v>
      </c>
    </row>
    <row r="273" spans="1:4" ht="15.75" thickBot="1">
      <c r="A273" s="36" t="s">
        <v>960</v>
      </c>
      <c r="B273" s="38">
        <v>44514067394</v>
      </c>
      <c r="C273" s="38">
        <v>42891250530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01CB82F-3D0F-4031-B8E9-997CDB9C2B66}">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0802F-038A-4ECA-9454-E8BF6F719CBB}">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79" t="s">
        <v>962</v>
      </c>
      <c r="B1" s="280"/>
      <c r="C1" s="280"/>
      <c r="D1" s="280"/>
    </row>
    <row r="3" spans="1:4" ht="34.5" customHeight="1">
      <c r="A3" s="279" t="s">
        <v>963</v>
      </c>
      <c r="B3" s="279"/>
      <c r="C3" s="281" t="s">
        <v>964</v>
      </c>
      <c r="D3" s="281"/>
    </row>
    <row r="4" spans="1:4">
      <c r="A4" s="43"/>
      <c r="B4" s="44" t="s">
        <v>104</v>
      </c>
      <c r="C4" s="44" t="s">
        <v>107</v>
      </c>
    </row>
    <row r="5" spans="1:4" ht="26.25" thickBot="1">
      <c r="A5" s="45" t="s">
        <v>963</v>
      </c>
      <c r="B5" s="46"/>
      <c r="C5" s="46"/>
      <c r="D5" s="47" t="s">
        <v>964</v>
      </c>
    </row>
    <row r="6" spans="1:4" ht="15.75" thickBot="1">
      <c r="A6" s="48" t="s">
        <v>965</v>
      </c>
      <c r="B6" s="49">
        <v>5342154136</v>
      </c>
      <c r="C6" s="49">
        <v>4297548773</v>
      </c>
      <c r="D6" s="47" t="s">
        <v>966</v>
      </c>
    </row>
    <row r="7" spans="1:4" ht="15.75" thickBot="1">
      <c r="A7" s="48" t="s">
        <v>967</v>
      </c>
      <c r="B7" s="50">
        <v>3569108773</v>
      </c>
      <c r="C7" s="50">
        <v>2971109841</v>
      </c>
      <c r="D7" s="47" t="s">
        <v>968</v>
      </c>
    </row>
    <row r="8" spans="1:4" ht="15.75" thickBot="1">
      <c r="A8" s="48" t="s">
        <v>969</v>
      </c>
      <c r="B8" s="49">
        <v>1773045363</v>
      </c>
      <c r="C8" s="49">
        <v>1326438932</v>
      </c>
      <c r="D8" s="47" t="s">
        <v>970</v>
      </c>
    </row>
    <row r="9" spans="1:4" ht="15.75" thickBot="1">
      <c r="A9" s="48" t="s">
        <v>971</v>
      </c>
      <c r="B9" s="50">
        <v>126029252</v>
      </c>
      <c r="C9" s="50">
        <v>100897299</v>
      </c>
      <c r="D9" s="47" t="s">
        <v>972</v>
      </c>
    </row>
    <row r="10" spans="1:4" ht="15.75" thickBot="1">
      <c r="A10" s="48" t="s">
        <v>973</v>
      </c>
      <c r="B10" s="50">
        <v>1570608338</v>
      </c>
      <c r="C10" s="50">
        <v>1356463961</v>
      </c>
      <c r="D10" s="47" t="s">
        <v>974</v>
      </c>
    </row>
    <row r="11" spans="1:4" ht="15.75" thickBot="1">
      <c r="A11" s="48" t="s">
        <v>975</v>
      </c>
      <c r="B11" s="49">
        <v>231472525</v>
      </c>
      <c r="C11" s="49">
        <v>165822648</v>
      </c>
      <c r="D11" s="47" t="s">
        <v>976</v>
      </c>
    </row>
    <row r="12" spans="1:4" ht="15.75" thickBot="1">
      <c r="A12" s="48" t="s">
        <v>977</v>
      </c>
      <c r="B12" s="49">
        <v>12264011</v>
      </c>
      <c r="C12" s="49">
        <v>53247965</v>
      </c>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44185332</v>
      </c>
      <c r="C15" s="50">
        <v>42454066</v>
      </c>
      <c r="D15" s="47" t="s">
        <v>984</v>
      </c>
    </row>
    <row r="16" spans="1:4" ht="26.25" thickBot="1">
      <c r="A16" s="48" t="s">
        <v>985</v>
      </c>
      <c r="B16" s="49">
        <v>375697908</v>
      </c>
      <c r="C16" s="49">
        <v>-267240568</v>
      </c>
      <c r="D16" s="47" t="s">
        <v>986</v>
      </c>
    </row>
    <row r="17" spans="1:4" ht="39" thickBot="1">
      <c r="A17" s="48" t="s">
        <v>987</v>
      </c>
      <c r="B17" s="49">
        <v>-252541493</v>
      </c>
      <c r="C17" s="49">
        <v>-123203435</v>
      </c>
      <c r="D17" s="47" t="s">
        <v>988</v>
      </c>
    </row>
    <row r="18" spans="1:4" ht="39" thickBot="1">
      <c r="A18" s="48" t="s">
        <v>989</v>
      </c>
      <c r="B18" s="49"/>
      <c r="C18" s="49"/>
      <c r="D18" s="47" t="s">
        <v>990</v>
      </c>
    </row>
    <row r="19" spans="1:4" ht="26.25" thickBot="1">
      <c r="A19" s="48" t="s">
        <v>991</v>
      </c>
      <c r="B19" s="49"/>
      <c r="C19" s="49"/>
      <c r="D19" s="47" t="s">
        <v>992</v>
      </c>
    </row>
    <row r="20" spans="1:4" ht="26.25" thickBot="1">
      <c r="A20" s="48" t="s">
        <v>993</v>
      </c>
      <c r="B20" s="49"/>
      <c r="C20" s="49"/>
      <c r="D20" s="47" t="s">
        <v>994</v>
      </c>
    </row>
    <row r="21" spans="1:4" ht="26.25" thickBot="1">
      <c r="A21" s="48" t="s">
        <v>995</v>
      </c>
      <c r="B21" s="49"/>
      <c r="C21" s="49"/>
      <c r="D21" s="47" t="s">
        <v>996</v>
      </c>
    </row>
    <row r="22" spans="1:4" ht="15.75" thickBot="1">
      <c r="A22" s="48" t="s">
        <v>997</v>
      </c>
      <c r="B22" s="50"/>
      <c r="C22" s="50"/>
      <c r="D22" s="47" t="s">
        <v>998</v>
      </c>
    </row>
    <row r="23" spans="1:4" ht="15.75" thickBot="1">
      <c r="A23" s="48" t="s">
        <v>999</v>
      </c>
      <c r="B23" s="49">
        <v>15624452</v>
      </c>
      <c r="C23" s="49"/>
      <c r="D23" s="47" t="s">
        <v>1000</v>
      </c>
    </row>
    <row r="24" spans="1:4" ht="15.75" thickBot="1">
      <c r="A24" s="48" t="s">
        <v>1001</v>
      </c>
      <c r="B24" s="50"/>
      <c r="C24" s="50">
        <v>6143516</v>
      </c>
      <c r="D24" s="47" t="s">
        <v>1002</v>
      </c>
    </row>
    <row r="25" spans="1:4" ht="15.75" thickBot="1">
      <c r="A25" s="48" t="s">
        <v>1003</v>
      </c>
      <c r="B25" s="49">
        <v>76487567</v>
      </c>
      <c r="C25" s="49">
        <v>-167911967</v>
      </c>
      <c r="D25" s="47" t="s">
        <v>1004</v>
      </c>
    </row>
    <row r="26" spans="1:4" ht="26.25" thickBot="1">
      <c r="A26" s="48" t="s">
        <v>1005</v>
      </c>
      <c r="B26" s="49">
        <v>491227411</v>
      </c>
      <c r="C26" s="49">
        <v>-518805267</v>
      </c>
      <c r="D26" s="47" t="s">
        <v>1006</v>
      </c>
    </row>
    <row r="27" spans="1:4" ht="15.75" thickBot="1">
      <c r="A27" s="48" t="s">
        <v>1007</v>
      </c>
      <c r="B27" s="49">
        <v>-226941257</v>
      </c>
      <c r="C27" s="49">
        <v>-37160841</v>
      </c>
      <c r="D27" s="47" t="s">
        <v>1008</v>
      </c>
    </row>
    <row r="28" spans="1:4" ht="26.25" thickBot="1">
      <c r="A28" s="48" t="s">
        <v>1009</v>
      </c>
      <c r="B28" s="49">
        <v>264286154</v>
      </c>
      <c r="C28" s="49">
        <v>-555966108</v>
      </c>
      <c r="D28" s="47" t="s">
        <v>1010</v>
      </c>
    </row>
    <row r="29" spans="1:4" ht="15.75" thickBot="1">
      <c r="A29" s="48" t="s">
        <v>1011</v>
      </c>
      <c r="B29" s="49"/>
      <c r="C29" s="49">
        <v>6083411</v>
      </c>
      <c r="D29" s="47" t="s">
        <v>1012</v>
      </c>
    </row>
    <row r="30" spans="1:4" ht="15.75" thickBot="1">
      <c r="A30" s="48" t="s">
        <v>1013</v>
      </c>
      <c r="B30" s="49">
        <v>264286154</v>
      </c>
      <c r="C30" s="49">
        <v>-549882697</v>
      </c>
      <c r="D30" s="47" t="s">
        <v>1014</v>
      </c>
    </row>
    <row r="31" spans="1:4" ht="26.25" thickBot="1">
      <c r="A31" s="48" t="s">
        <v>1015</v>
      </c>
      <c r="B31" s="46"/>
      <c r="C31" s="46"/>
      <c r="D31" s="47" t="s">
        <v>1016</v>
      </c>
    </row>
    <row r="32" spans="1:4" ht="39" thickBot="1">
      <c r="A32" s="51" t="s">
        <v>1017</v>
      </c>
      <c r="B32" s="46"/>
      <c r="C32" s="46"/>
      <c r="D32" s="47" t="s">
        <v>1018</v>
      </c>
    </row>
    <row r="33" spans="1:4" ht="39" thickBot="1">
      <c r="A33" s="52" t="s">
        <v>1019</v>
      </c>
      <c r="B33" s="49"/>
      <c r="C33" s="49"/>
      <c r="D33" s="47" t="s">
        <v>1020</v>
      </c>
    </row>
    <row r="34" spans="1:4" ht="39" thickBot="1">
      <c r="A34" s="52" t="s">
        <v>1021</v>
      </c>
      <c r="B34" s="49"/>
      <c r="C34" s="49"/>
      <c r="D34" s="47" t="s">
        <v>1022</v>
      </c>
    </row>
    <row r="35" spans="1:4" ht="51.75" thickBot="1">
      <c r="A35" s="52" t="s">
        <v>1023</v>
      </c>
      <c r="B35" s="49">
        <v>-5541580</v>
      </c>
      <c r="C35" s="49">
        <v>-8869715</v>
      </c>
      <c r="D35" s="47" t="s">
        <v>1024</v>
      </c>
    </row>
    <row r="36" spans="1:4" ht="51.75" thickBot="1">
      <c r="A36" s="52" t="s">
        <v>1025</v>
      </c>
      <c r="B36" s="49">
        <v>-5541580</v>
      </c>
      <c r="C36" s="49">
        <v>-8869715</v>
      </c>
      <c r="D36" s="47" t="s">
        <v>1026</v>
      </c>
    </row>
    <row r="37" spans="1:4" ht="39" thickBot="1">
      <c r="A37" s="51" t="s">
        <v>1027</v>
      </c>
      <c r="B37" s="46"/>
      <c r="C37" s="46"/>
      <c r="D37" s="47" t="s">
        <v>1028</v>
      </c>
    </row>
    <row r="38" spans="1:4" ht="26.25" thickBot="1">
      <c r="A38" s="52" t="s">
        <v>1029</v>
      </c>
      <c r="B38" s="49">
        <v>67196895</v>
      </c>
      <c r="C38" s="49">
        <v>-53537329</v>
      </c>
      <c r="D38" s="47" t="s">
        <v>1030</v>
      </c>
    </row>
    <row r="39" spans="1:4" ht="39" thickBot="1">
      <c r="A39" s="52" t="s">
        <v>1031</v>
      </c>
      <c r="B39" s="50"/>
      <c r="C39" s="50"/>
      <c r="D39" s="47" t="s">
        <v>1032</v>
      </c>
    </row>
    <row r="40" spans="1:4" ht="64.5" thickBot="1">
      <c r="A40" s="52" t="s">
        <v>1033</v>
      </c>
      <c r="B40" s="49"/>
      <c r="C40" s="49"/>
      <c r="D40" s="47" t="s">
        <v>1034</v>
      </c>
    </row>
    <row r="41" spans="1:4" ht="51.75" thickBot="1">
      <c r="A41" s="52" t="s">
        <v>1035</v>
      </c>
      <c r="B41" s="50"/>
      <c r="C41" s="50"/>
      <c r="D41" s="47" t="s">
        <v>1036</v>
      </c>
    </row>
    <row r="42" spans="1:4" ht="26.25" thickBot="1">
      <c r="A42" s="52" t="s">
        <v>1037</v>
      </c>
      <c r="B42" s="49"/>
      <c r="C42" s="49"/>
      <c r="D42" s="47" t="s">
        <v>1038</v>
      </c>
    </row>
    <row r="43" spans="1:4" ht="26.25" thickBot="1">
      <c r="A43" s="52" t="s">
        <v>1039</v>
      </c>
      <c r="B43" s="50"/>
      <c r="C43" s="50"/>
      <c r="D43" s="47" t="s">
        <v>1040</v>
      </c>
    </row>
    <row r="44" spans="1:4" ht="77.25" thickBot="1">
      <c r="A44" s="52" t="s">
        <v>1041</v>
      </c>
      <c r="B44" s="49"/>
      <c r="C44" s="49"/>
      <c r="D44" s="47" t="s">
        <v>1042</v>
      </c>
    </row>
    <row r="45" spans="1:4" ht="39" thickBot="1">
      <c r="A45" s="52" t="s">
        <v>1043</v>
      </c>
      <c r="B45" s="49"/>
      <c r="C45" s="49"/>
      <c r="D45" s="47" t="s">
        <v>1044</v>
      </c>
    </row>
    <row r="46" spans="1:4" ht="51.75" thickBot="1">
      <c r="A46" s="52" t="s">
        <v>1045</v>
      </c>
      <c r="B46" s="50"/>
      <c r="C46" s="50"/>
      <c r="D46" s="47" t="s">
        <v>1046</v>
      </c>
    </row>
    <row r="47" spans="1:4" ht="51.75" thickBot="1">
      <c r="A47" s="52" t="s">
        <v>1047</v>
      </c>
      <c r="B47" s="49">
        <v>-42946502</v>
      </c>
      <c r="C47" s="49">
        <v>8023273</v>
      </c>
      <c r="D47" s="47" t="s">
        <v>1048</v>
      </c>
    </row>
    <row r="48" spans="1:4" ht="64.5" thickBot="1">
      <c r="A48" s="52" t="s">
        <v>1049</v>
      </c>
      <c r="B48" s="49"/>
      <c r="C48" s="49"/>
      <c r="D48" s="47" t="s">
        <v>1050</v>
      </c>
    </row>
    <row r="49" spans="1:4" ht="51.75" thickBot="1">
      <c r="A49" s="52" t="s">
        <v>1051</v>
      </c>
      <c r="B49" s="49"/>
      <c r="C49" s="49"/>
      <c r="D49" s="47" t="s">
        <v>1052</v>
      </c>
    </row>
    <row r="50" spans="1:4" ht="39" thickBot="1">
      <c r="A50" s="52" t="s">
        <v>1053</v>
      </c>
      <c r="B50" s="49">
        <v>24250393</v>
      </c>
      <c r="C50" s="49">
        <v>-45514056</v>
      </c>
      <c r="D50" s="47" t="s">
        <v>1054</v>
      </c>
    </row>
    <row r="51" spans="1:4" ht="26.25" thickBot="1">
      <c r="A51" s="51" t="s">
        <v>1055</v>
      </c>
      <c r="B51" s="49">
        <v>18708813</v>
      </c>
      <c r="C51" s="49">
        <v>-54383771</v>
      </c>
      <c r="D51" s="47" t="s">
        <v>1056</v>
      </c>
    </row>
    <row r="52" spans="1:4" ht="15.75" thickBot="1">
      <c r="A52" s="48" t="s">
        <v>1057</v>
      </c>
      <c r="B52" s="49">
        <v>282994967</v>
      </c>
      <c r="C52" s="49">
        <v>-604266468</v>
      </c>
      <c r="D52" s="47" t="s">
        <v>1058</v>
      </c>
    </row>
    <row r="53" spans="1:4" ht="15.75" thickBot="1">
      <c r="A53" s="48" t="s">
        <v>1059</v>
      </c>
      <c r="B53" s="46"/>
      <c r="C53" s="46"/>
      <c r="D53" s="47" t="s">
        <v>1060</v>
      </c>
    </row>
    <row r="54" spans="1:4" ht="26.25" thickBot="1">
      <c r="A54" s="51" t="s">
        <v>1061</v>
      </c>
      <c r="B54" s="49">
        <v>150356155</v>
      </c>
      <c r="C54" s="49">
        <v>-444182246</v>
      </c>
      <c r="D54" s="47" t="s">
        <v>1062</v>
      </c>
    </row>
    <row r="55" spans="1:4" ht="26.25" thickBot="1">
      <c r="A55" s="51" t="s">
        <v>1063</v>
      </c>
      <c r="B55" s="49">
        <v>113929999</v>
      </c>
      <c r="C55" s="49">
        <v>-105700451</v>
      </c>
      <c r="D55" s="47" t="s">
        <v>1064</v>
      </c>
    </row>
    <row r="56" spans="1:4" ht="26.25" thickBot="1">
      <c r="A56" s="48" t="s">
        <v>1065</v>
      </c>
      <c r="B56" s="46"/>
      <c r="C56" s="46"/>
      <c r="D56" s="47" t="s">
        <v>1066</v>
      </c>
    </row>
    <row r="57" spans="1:4" ht="26.25" thickBot="1">
      <c r="A57" s="51" t="s">
        <v>1067</v>
      </c>
      <c r="B57" s="49">
        <v>173391736</v>
      </c>
      <c r="C57" s="49">
        <v>-493838812</v>
      </c>
      <c r="D57" s="47" t="s">
        <v>1068</v>
      </c>
    </row>
    <row r="58" spans="1:4" ht="39" thickBot="1">
      <c r="A58" s="51" t="s">
        <v>1069</v>
      </c>
      <c r="B58" s="49">
        <v>109603231</v>
      </c>
      <c r="C58" s="49">
        <v>-110427656</v>
      </c>
      <c r="D58" s="47" t="s">
        <v>1070</v>
      </c>
    </row>
    <row r="59" spans="1:4" ht="15.75" thickBot="1">
      <c r="A59" s="48" t="s">
        <v>1071</v>
      </c>
      <c r="B59" s="46"/>
      <c r="C59" s="46"/>
      <c r="D59" s="47" t="s">
        <v>1072</v>
      </c>
    </row>
    <row r="60" spans="1:4" ht="26.25" thickBot="1">
      <c r="A60" s="51" t="s">
        <v>1073</v>
      </c>
      <c r="B60" s="46"/>
      <c r="C60" s="46"/>
      <c r="D60" s="47" t="s">
        <v>1074</v>
      </c>
    </row>
    <row r="61" spans="1:4" ht="26.25" thickBot="1">
      <c r="A61" s="52" t="s">
        <v>1075</v>
      </c>
      <c r="B61" s="53">
        <v>2.4700000000000002</v>
      </c>
      <c r="C61" s="53">
        <v>-7.37</v>
      </c>
      <c r="D61" s="47" t="s">
        <v>1076</v>
      </c>
    </row>
    <row r="62" spans="1:4" ht="26.25" thickBot="1">
      <c r="A62" s="52" t="s">
        <v>1077</v>
      </c>
      <c r="B62" s="53"/>
      <c r="C62" s="53">
        <v>0.08</v>
      </c>
      <c r="D62" s="47" t="s">
        <v>1078</v>
      </c>
    </row>
    <row r="63" spans="1:4" ht="15.75" thickBot="1">
      <c r="A63" s="51" t="s">
        <v>1079</v>
      </c>
      <c r="B63" s="46"/>
      <c r="C63" s="46"/>
      <c r="D63" s="47" t="s">
        <v>1080</v>
      </c>
    </row>
    <row r="64" spans="1:4" ht="26.25" thickBot="1">
      <c r="A64" s="52" t="s">
        <v>1081</v>
      </c>
      <c r="B64" s="53"/>
      <c r="C64" s="53"/>
      <c r="D64" s="47" t="s">
        <v>1082</v>
      </c>
    </row>
    <row r="65" spans="1:4" ht="26.2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2704F2E-200F-4AE8-950B-5648F52E3587}">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E552E-CAC6-4411-8DBB-C8DAFCC28452}">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1085</v>
      </c>
    </row>
    <row r="3" spans="1:28" ht="17.25" customHeight="1">
      <c r="A3" s="282" t="s">
        <v>1086</v>
      </c>
      <c r="B3" s="282"/>
      <c r="C3" s="282"/>
      <c r="D3" s="282"/>
      <c r="E3" s="282"/>
      <c r="F3" s="282"/>
      <c r="G3" s="282"/>
      <c r="H3" s="282"/>
      <c r="I3" s="282"/>
      <c r="J3" s="282"/>
      <c r="K3" s="282"/>
      <c r="L3" s="282"/>
      <c r="M3" s="282"/>
      <c r="N3" s="282"/>
      <c r="O3" s="283" t="s">
        <v>1087</v>
      </c>
      <c r="P3" s="283"/>
      <c r="Q3" s="283"/>
      <c r="R3" s="283"/>
      <c r="S3" s="283"/>
      <c r="T3" s="283"/>
      <c r="U3" s="283"/>
      <c r="V3" s="283"/>
      <c r="W3" s="283"/>
      <c r="X3" s="283"/>
      <c r="Y3" s="283"/>
      <c r="Z3" s="283"/>
      <c r="AA3" s="283"/>
      <c r="AB3" s="283"/>
    </row>
    <row r="4" spans="1:28" ht="51.75">
      <c r="A4" s="284"/>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84"/>
    </row>
    <row r="5" spans="1:28" ht="34.5">
      <c r="A5" s="284"/>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84"/>
    </row>
    <row r="6" spans="1:28" ht="26.2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26.25" thickBot="1">
      <c r="A8" s="62" t="s">
        <v>1104</v>
      </c>
      <c r="B8" s="63">
        <v>1226335030</v>
      </c>
      <c r="C8" s="63"/>
      <c r="D8" s="63">
        <v>13856479927</v>
      </c>
      <c r="E8" s="63">
        <v>-57006643</v>
      </c>
      <c r="F8" s="63"/>
      <c r="G8" s="63"/>
      <c r="H8" s="63"/>
      <c r="I8" s="63"/>
      <c r="J8" s="63">
        <v>69820331</v>
      </c>
      <c r="K8" s="63">
        <v>779166071</v>
      </c>
      <c r="L8" s="63">
        <v>9493640</v>
      </c>
      <c r="M8" s="63"/>
      <c r="N8" s="63"/>
      <c r="O8" s="63">
        <v>26902525</v>
      </c>
      <c r="P8" s="63"/>
      <c r="Q8" s="63"/>
      <c r="R8" s="63"/>
      <c r="S8" s="63"/>
      <c r="T8" s="63">
        <v>9397721606</v>
      </c>
      <c r="U8" s="63"/>
      <c r="V8" s="63">
        <v>13000000</v>
      </c>
      <c r="W8" s="63">
        <v>9358345133</v>
      </c>
      <c r="X8" s="63">
        <v>34680257620</v>
      </c>
      <c r="Y8" s="63"/>
      <c r="Z8" s="63">
        <v>3691502833</v>
      </c>
      <c r="AA8" s="63">
        <v>38371760453</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26.2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26.2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1226335030</v>
      </c>
      <c r="C14" s="63"/>
      <c r="D14" s="63">
        <v>13856479927</v>
      </c>
      <c r="E14" s="63">
        <v>-57006643</v>
      </c>
      <c r="F14" s="63"/>
      <c r="G14" s="63"/>
      <c r="H14" s="63"/>
      <c r="I14" s="63"/>
      <c r="J14" s="63">
        <v>69820331</v>
      </c>
      <c r="K14" s="63">
        <v>779166071</v>
      </c>
      <c r="L14" s="63">
        <v>9493640</v>
      </c>
      <c r="M14" s="63"/>
      <c r="N14" s="63"/>
      <c r="O14" s="63">
        <v>26902525</v>
      </c>
      <c r="P14" s="63"/>
      <c r="Q14" s="63"/>
      <c r="R14" s="63"/>
      <c r="S14" s="63"/>
      <c r="T14" s="63">
        <v>9397721606</v>
      </c>
      <c r="U14" s="63"/>
      <c r="V14" s="63">
        <v>13000000</v>
      </c>
      <c r="W14" s="63">
        <v>9358345133</v>
      </c>
      <c r="X14" s="63">
        <v>34680257620</v>
      </c>
      <c r="Y14" s="63"/>
      <c r="Z14" s="63">
        <v>3691502833</v>
      </c>
      <c r="AA14" s="63">
        <v>38371760453</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150356155</v>
      </c>
      <c r="X15" s="63">
        <v>150356155</v>
      </c>
      <c r="Y15" s="63"/>
      <c r="Z15" s="63">
        <v>113929999</v>
      </c>
      <c r="AA15" s="63">
        <v>264286154</v>
      </c>
      <c r="AB15" s="60" t="s">
        <v>1119</v>
      </c>
    </row>
    <row r="16" spans="1:28" ht="15.75" thickBot="1">
      <c r="A16" s="62" t="s">
        <v>1120</v>
      </c>
      <c r="B16" s="63"/>
      <c r="C16" s="63"/>
      <c r="D16" s="63"/>
      <c r="E16" s="63"/>
      <c r="F16" s="63"/>
      <c r="G16" s="63"/>
      <c r="H16" s="63"/>
      <c r="I16" s="63"/>
      <c r="J16" s="63">
        <v>69701734</v>
      </c>
      <c r="K16" s="63">
        <v>-47421755</v>
      </c>
      <c r="L16" s="63">
        <v>1422991</v>
      </c>
      <c r="M16" s="63"/>
      <c r="N16" s="63"/>
      <c r="O16" s="63">
        <v>-667389</v>
      </c>
      <c r="P16" s="63"/>
      <c r="Q16" s="63"/>
      <c r="R16" s="63"/>
      <c r="S16" s="63"/>
      <c r="T16" s="63"/>
      <c r="U16" s="63"/>
      <c r="V16" s="63"/>
      <c r="W16" s="63"/>
      <c r="X16" s="63">
        <v>23035581</v>
      </c>
      <c r="Y16" s="63"/>
      <c r="Z16" s="63">
        <v>-4326768</v>
      </c>
      <c r="AA16" s="63">
        <v>18708813</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244291220</v>
      </c>
      <c r="X19" s="65">
        <v>244291220</v>
      </c>
      <c r="Y19" s="65"/>
      <c r="Z19" s="65">
        <v>123522208</v>
      </c>
      <c r="AA19" s="65">
        <v>367813428</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26.2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26.2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39"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26.2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39"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26.2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26.2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-2449000</v>
      </c>
      <c r="AA31" s="63">
        <v>-2449000</v>
      </c>
      <c r="AB31" s="60" t="s">
        <v>1149</v>
      </c>
    </row>
    <row r="32" spans="1:28" ht="39"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39"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39"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64.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39" thickBot="1">
      <c r="A36" s="62" t="s">
        <v>1158</v>
      </c>
      <c r="B36" s="63"/>
      <c r="C36" s="63"/>
      <c r="D36" s="63"/>
      <c r="E36" s="63"/>
      <c r="F36" s="63"/>
      <c r="G36" s="63"/>
      <c r="H36" s="63"/>
      <c r="I36" s="63"/>
      <c r="J36" s="63"/>
      <c r="K36" s="63"/>
      <c r="L36" s="63"/>
      <c r="M36" s="63"/>
      <c r="N36" s="63"/>
      <c r="O36" s="63"/>
      <c r="P36" s="63"/>
      <c r="Q36" s="63"/>
      <c r="R36" s="63"/>
      <c r="S36" s="63"/>
      <c r="T36" s="63">
        <v>-65775817</v>
      </c>
      <c r="U36" s="63"/>
      <c r="V36" s="63"/>
      <c r="W36" s="63"/>
      <c r="X36" s="63">
        <v>-65775817</v>
      </c>
      <c r="Y36" s="63"/>
      <c r="Z36" s="63">
        <v>581563264</v>
      </c>
      <c r="AA36" s="63">
        <v>515787447</v>
      </c>
      <c r="AB36" s="60" t="s">
        <v>1159</v>
      </c>
    </row>
    <row r="37" spans="1:28" ht="26.2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26.2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26.2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1226335030</v>
      </c>
      <c r="C42" s="63"/>
      <c r="D42" s="63">
        <v>13856479927</v>
      </c>
      <c r="E42" s="63">
        <v>-57006643</v>
      </c>
      <c r="F42" s="63"/>
      <c r="G42" s="63"/>
      <c r="H42" s="63"/>
      <c r="I42" s="63"/>
      <c r="J42" s="63">
        <v>139522065</v>
      </c>
      <c r="K42" s="63">
        <v>731744316</v>
      </c>
      <c r="L42" s="63">
        <v>10916631</v>
      </c>
      <c r="M42" s="63"/>
      <c r="N42" s="63"/>
      <c r="O42" s="63">
        <v>26235136</v>
      </c>
      <c r="P42" s="63"/>
      <c r="Q42" s="63"/>
      <c r="R42" s="63"/>
      <c r="S42" s="63"/>
      <c r="T42" s="63">
        <v>9331945789</v>
      </c>
      <c r="U42" s="63"/>
      <c r="V42" s="63">
        <v>13000000</v>
      </c>
      <c r="W42" s="63">
        <v>9264410068</v>
      </c>
      <c r="X42" s="63">
        <v>34543582319</v>
      </c>
      <c r="Y42" s="63"/>
      <c r="Z42" s="63">
        <v>4256698120</v>
      </c>
      <c r="AA42" s="63">
        <v>38800280439</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D11CF87-D380-4E3A-A675-BE32A8395E25}">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94591-9791-460A-BE7E-C1CFEA27AFC8}">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1172</v>
      </c>
    </row>
    <row r="3" spans="1:28" ht="17.25" customHeight="1">
      <c r="A3" s="285" t="s">
        <v>1086</v>
      </c>
      <c r="B3" s="285"/>
      <c r="C3" s="285"/>
      <c r="D3" s="285"/>
      <c r="E3" s="285"/>
      <c r="F3" s="285"/>
      <c r="G3" s="285"/>
      <c r="H3" s="285"/>
      <c r="I3" s="285"/>
      <c r="J3" s="285"/>
      <c r="K3" s="285"/>
      <c r="L3" s="285"/>
      <c r="M3" s="285"/>
      <c r="N3" s="285"/>
      <c r="O3" s="286" t="s">
        <v>1087</v>
      </c>
      <c r="P3" s="286"/>
      <c r="Q3" s="286"/>
      <c r="R3" s="286"/>
      <c r="S3" s="286"/>
      <c r="T3" s="286"/>
      <c r="U3" s="286"/>
      <c r="V3" s="286"/>
      <c r="W3" s="286"/>
      <c r="X3" s="286"/>
      <c r="Y3" s="286"/>
      <c r="Z3" s="286"/>
      <c r="AA3" s="286"/>
      <c r="AB3" s="286"/>
    </row>
    <row r="4" spans="1:28" ht="51.75">
      <c r="A4" s="287"/>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87"/>
    </row>
    <row r="5" spans="1:28" ht="34.5">
      <c r="A5" s="287"/>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87"/>
    </row>
    <row r="6" spans="1:28" ht="26.2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26.25" thickBot="1">
      <c r="A8" s="74" t="s">
        <v>1104</v>
      </c>
      <c r="B8" s="75">
        <v>1224835030</v>
      </c>
      <c r="C8" s="75"/>
      <c r="D8" s="75">
        <v>13819354927</v>
      </c>
      <c r="E8" s="75">
        <v>-57006643</v>
      </c>
      <c r="F8" s="75"/>
      <c r="G8" s="75"/>
      <c r="H8" s="75"/>
      <c r="I8" s="75"/>
      <c r="J8" s="75">
        <v>89616284</v>
      </c>
      <c r="K8" s="75">
        <v>1393461476</v>
      </c>
      <c r="L8" s="75">
        <v>4837397</v>
      </c>
      <c r="M8" s="75"/>
      <c r="N8" s="75"/>
      <c r="O8" s="75">
        <v>30597737</v>
      </c>
      <c r="P8" s="75"/>
      <c r="Q8" s="75"/>
      <c r="R8" s="75"/>
      <c r="S8" s="75"/>
      <c r="T8" s="75">
        <v>9491626075</v>
      </c>
      <c r="U8" s="75"/>
      <c r="V8" s="75">
        <v>12000000</v>
      </c>
      <c r="W8" s="75">
        <v>9805104308</v>
      </c>
      <c r="X8" s="75">
        <v>35814426591</v>
      </c>
      <c r="Y8" s="75"/>
      <c r="Z8" s="75">
        <v>4082161892</v>
      </c>
      <c r="AA8" s="75">
        <v>39896588483</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26.2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26.2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1224835030</v>
      </c>
      <c r="C14" s="75"/>
      <c r="D14" s="75">
        <v>13819354927</v>
      </c>
      <c r="E14" s="75">
        <v>-57006643</v>
      </c>
      <c r="F14" s="75"/>
      <c r="G14" s="75"/>
      <c r="H14" s="75"/>
      <c r="I14" s="75"/>
      <c r="J14" s="75">
        <v>89616284</v>
      </c>
      <c r="K14" s="75">
        <v>1393461476</v>
      </c>
      <c r="L14" s="75">
        <v>4837397</v>
      </c>
      <c r="M14" s="75"/>
      <c r="N14" s="75"/>
      <c r="O14" s="75">
        <v>30597737</v>
      </c>
      <c r="P14" s="75"/>
      <c r="Q14" s="75"/>
      <c r="R14" s="75"/>
      <c r="S14" s="75"/>
      <c r="T14" s="75">
        <v>9491626075</v>
      </c>
      <c r="U14" s="75"/>
      <c r="V14" s="75">
        <v>12000000</v>
      </c>
      <c r="W14" s="75">
        <v>9805104308</v>
      </c>
      <c r="X14" s="75">
        <v>35814426591</v>
      </c>
      <c r="Y14" s="75"/>
      <c r="Z14" s="75">
        <v>4082161892</v>
      </c>
      <c r="AA14" s="75">
        <v>39896588483</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-444182246</v>
      </c>
      <c r="X15" s="75">
        <v>-444182246</v>
      </c>
      <c r="Y15" s="75"/>
      <c r="Z15" s="75">
        <v>-105700451</v>
      </c>
      <c r="AA15" s="75">
        <v>-549882697</v>
      </c>
      <c r="AB15" s="72" t="s">
        <v>1119</v>
      </c>
    </row>
    <row r="16" spans="1:28" ht="15.75" thickBot="1">
      <c r="A16" s="74" t="s">
        <v>1120</v>
      </c>
      <c r="B16" s="75"/>
      <c r="C16" s="75"/>
      <c r="D16" s="75"/>
      <c r="E16" s="75"/>
      <c r="F16" s="75"/>
      <c r="G16" s="75"/>
      <c r="H16" s="75"/>
      <c r="I16" s="75"/>
      <c r="J16" s="75">
        <v>-48810122</v>
      </c>
      <c r="K16" s="75">
        <v>-16630</v>
      </c>
      <c r="L16" s="75"/>
      <c r="M16" s="75"/>
      <c r="N16" s="75"/>
      <c r="O16" s="75">
        <v>-829814</v>
      </c>
      <c r="P16" s="75"/>
      <c r="Q16" s="75"/>
      <c r="R16" s="75"/>
      <c r="S16" s="75"/>
      <c r="T16" s="75"/>
      <c r="U16" s="75"/>
      <c r="V16" s="75"/>
      <c r="W16" s="75"/>
      <c r="X16" s="75">
        <v>-49656566</v>
      </c>
      <c r="Y16" s="75"/>
      <c r="Z16" s="75">
        <v>-4727205</v>
      </c>
      <c r="AA16" s="75">
        <v>-54383771</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1000000</v>
      </c>
      <c r="W18" s="75">
        <v>-1000000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304989024</v>
      </c>
      <c r="X19" s="77">
        <v>304989024</v>
      </c>
      <c r="Y19" s="77"/>
      <c r="Z19" s="77"/>
      <c r="AA19" s="77">
        <v>304989024</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26.2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26.2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39"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26.2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39"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26.2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26.2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39"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39"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39"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64.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39" thickBot="1">
      <c r="A36" s="74" t="s">
        <v>1158</v>
      </c>
      <c r="B36" s="75"/>
      <c r="C36" s="75"/>
      <c r="D36" s="75"/>
      <c r="E36" s="75"/>
      <c r="F36" s="75"/>
      <c r="G36" s="75"/>
      <c r="H36" s="75"/>
      <c r="I36" s="75"/>
      <c r="J36" s="75"/>
      <c r="K36" s="75"/>
      <c r="L36" s="75"/>
      <c r="M36" s="75"/>
      <c r="N36" s="75"/>
      <c r="O36" s="75"/>
      <c r="P36" s="75"/>
      <c r="Q36" s="75"/>
      <c r="R36" s="75"/>
      <c r="S36" s="75"/>
      <c r="T36" s="75">
        <v>874689</v>
      </c>
      <c r="U36" s="75"/>
      <c r="V36" s="75"/>
      <c r="W36" s="75"/>
      <c r="X36" s="75">
        <v>874689</v>
      </c>
      <c r="Y36" s="75"/>
      <c r="Z36" s="75">
        <v>-173359295</v>
      </c>
      <c r="AA36" s="75">
        <v>-172484606</v>
      </c>
      <c r="AB36" s="72" t="s">
        <v>1159</v>
      </c>
    </row>
    <row r="37" spans="1:28" ht="26.2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26.2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26.2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1224835030</v>
      </c>
      <c r="C42" s="75"/>
      <c r="D42" s="75">
        <v>13819354927</v>
      </c>
      <c r="E42" s="75">
        <v>-57006643</v>
      </c>
      <c r="F42" s="75"/>
      <c r="G42" s="75"/>
      <c r="H42" s="75"/>
      <c r="I42" s="75"/>
      <c r="J42" s="75">
        <v>40806162</v>
      </c>
      <c r="K42" s="75">
        <v>1393444846</v>
      </c>
      <c r="L42" s="75">
        <v>4837397</v>
      </c>
      <c r="M42" s="75"/>
      <c r="N42" s="75"/>
      <c r="O42" s="75">
        <v>29767923</v>
      </c>
      <c r="P42" s="75"/>
      <c r="Q42" s="75"/>
      <c r="R42" s="75"/>
      <c r="S42" s="75"/>
      <c r="T42" s="75">
        <v>9492500764</v>
      </c>
      <c r="U42" s="75"/>
      <c r="V42" s="75">
        <v>13000000</v>
      </c>
      <c r="W42" s="75">
        <v>9054933038</v>
      </c>
      <c r="X42" s="75">
        <v>35016473444</v>
      </c>
      <c r="Y42" s="75"/>
      <c r="Z42" s="75">
        <v>3798374941</v>
      </c>
      <c r="AA42" s="75">
        <v>38814848385</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E2172B-CE78-4895-9D13-44F167E25E5D}">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A3785-B992-4F71-8975-672A31361A50}">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1173</v>
      </c>
    </row>
    <row r="3" spans="1:4" ht="17.25" customHeight="1">
      <c r="A3" s="288" t="s">
        <v>1174</v>
      </c>
      <c r="B3" s="288"/>
      <c r="C3" s="289" t="s">
        <v>1175</v>
      </c>
      <c r="D3" s="289"/>
    </row>
    <row r="4" spans="1:4">
      <c r="A4" s="80"/>
      <c r="B4" s="81" t="s">
        <v>104</v>
      </c>
      <c r="C4" s="81" t="s">
        <v>107</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5353377684</v>
      </c>
      <c r="C8" s="88">
        <v>7719927580</v>
      </c>
      <c r="D8" s="84" t="s">
        <v>1181</v>
      </c>
    </row>
    <row r="9" spans="1:4" ht="51.75" thickBot="1">
      <c r="A9" s="87" t="s">
        <v>1182</v>
      </c>
      <c r="B9" s="88"/>
      <c r="C9" s="88"/>
      <c r="D9" s="84" t="s">
        <v>1183</v>
      </c>
    </row>
    <row r="10" spans="1:4" ht="15.75" thickBot="1">
      <c r="A10" s="87" t="s">
        <v>1184</v>
      </c>
      <c r="B10" s="88"/>
      <c r="C10" s="88"/>
      <c r="D10" s="84" t="s">
        <v>1185</v>
      </c>
    </row>
    <row r="11" spans="1:4" ht="26.25" thickBot="1">
      <c r="A11" s="87" t="s">
        <v>1186</v>
      </c>
      <c r="B11" s="88"/>
      <c r="C11" s="88"/>
      <c r="D11" s="84" t="s">
        <v>1187</v>
      </c>
    </row>
    <row r="12" spans="1:4" ht="51.75" thickBot="1">
      <c r="A12" s="87" t="s">
        <v>1188</v>
      </c>
      <c r="B12" s="88"/>
      <c r="C12" s="88"/>
      <c r="D12" s="84" t="s">
        <v>1189</v>
      </c>
    </row>
    <row r="13" spans="1:4" ht="15.75" thickBot="1">
      <c r="A13" s="87" t="s">
        <v>1190</v>
      </c>
      <c r="B13" s="88"/>
      <c r="C13" s="88"/>
      <c r="D13" s="84" t="s">
        <v>1191</v>
      </c>
    </row>
    <row r="14" spans="1:4" ht="26.25" thickBot="1">
      <c r="A14" s="87" t="s">
        <v>1192</v>
      </c>
      <c r="B14" s="88"/>
      <c r="C14" s="88"/>
      <c r="D14" s="84" t="s">
        <v>1193</v>
      </c>
    </row>
    <row r="15" spans="1:4" ht="26.25" thickBot="1">
      <c r="A15" s="86" t="s">
        <v>1194</v>
      </c>
      <c r="B15" s="83"/>
      <c r="C15" s="83"/>
      <c r="D15" s="84" t="s">
        <v>1195</v>
      </c>
    </row>
    <row r="16" spans="1:4" ht="26.25" thickBot="1">
      <c r="A16" s="87" t="s">
        <v>1196</v>
      </c>
      <c r="B16" s="89">
        <v>2989113008</v>
      </c>
      <c r="C16" s="89">
        <v>5936530483</v>
      </c>
      <c r="D16" s="84" t="s">
        <v>1197</v>
      </c>
    </row>
    <row r="17" spans="1:4" ht="15.75" thickBot="1">
      <c r="A17" s="87" t="s">
        <v>1198</v>
      </c>
      <c r="B17" s="89">
        <v>1336736552</v>
      </c>
      <c r="C17" s="89">
        <v>1170664093</v>
      </c>
      <c r="D17" s="84" t="s">
        <v>1199</v>
      </c>
    </row>
    <row r="18" spans="1:4" ht="26.25" thickBot="1">
      <c r="A18" s="87" t="s">
        <v>1200</v>
      </c>
      <c r="B18" s="89"/>
      <c r="C18" s="89"/>
      <c r="D18" s="84" t="s">
        <v>1201</v>
      </c>
    </row>
    <row r="19" spans="1:4" ht="26.2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26.25" thickBot="1">
      <c r="A22" s="87" t="s">
        <v>1208</v>
      </c>
      <c r="B22" s="89"/>
      <c r="C22" s="89"/>
      <c r="D22" s="84" t="s">
        <v>1209</v>
      </c>
    </row>
    <row r="23" spans="1:4" ht="51.75" thickBot="1">
      <c r="A23" s="87" t="s">
        <v>1210</v>
      </c>
      <c r="B23" s="89"/>
      <c r="C23" s="89"/>
      <c r="D23" s="84" t="s">
        <v>1211</v>
      </c>
    </row>
    <row r="24" spans="1:4" ht="26.25" thickBot="1">
      <c r="A24" s="86" t="s">
        <v>1212</v>
      </c>
      <c r="B24" s="88">
        <v>1027528124</v>
      </c>
      <c r="C24" s="88">
        <v>612733004</v>
      </c>
      <c r="D24" s="84" t="s">
        <v>1213</v>
      </c>
    </row>
    <row r="25" spans="1:4" ht="26.25" thickBot="1">
      <c r="A25" s="86" t="s">
        <v>1214</v>
      </c>
      <c r="B25" s="88"/>
      <c r="C25" s="88"/>
      <c r="D25" s="84" t="s">
        <v>1215</v>
      </c>
    </row>
    <row r="26" spans="1:4" ht="26.25" thickBot="1">
      <c r="A26" s="86" t="s">
        <v>1216</v>
      </c>
      <c r="B26" s="89"/>
      <c r="C26" s="89"/>
      <c r="D26" s="84" t="s">
        <v>1217</v>
      </c>
    </row>
    <row r="27" spans="1:4" ht="51.75" thickBot="1">
      <c r="A27" s="86" t="s">
        <v>1218</v>
      </c>
      <c r="B27" s="88"/>
      <c r="C27" s="88"/>
      <c r="D27" s="84" t="s">
        <v>1219</v>
      </c>
    </row>
    <row r="28" spans="1:4" ht="26.25" thickBot="1">
      <c r="A28" s="86" t="s">
        <v>1220</v>
      </c>
      <c r="B28" s="88"/>
      <c r="C28" s="88"/>
      <c r="D28" s="84" t="s">
        <v>1221</v>
      </c>
    </row>
    <row r="29" spans="1:4" ht="15.75" thickBot="1">
      <c r="A29" s="86" t="s">
        <v>1222</v>
      </c>
      <c r="B29" s="89"/>
      <c r="C29" s="89"/>
      <c r="D29" s="84" t="s">
        <v>1223</v>
      </c>
    </row>
    <row r="30" spans="1:4" ht="26.25" thickBot="1">
      <c r="A30" s="86" t="s">
        <v>1224</v>
      </c>
      <c r="B30" s="88"/>
      <c r="C30" s="88"/>
      <c r="D30" s="84" t="s">
        <v>1225</v>
      </c>
    </row>
    <row r="31" spans="1:4" ht="26.25" thickBot="1">
      <c r="A31" s="86" t="s">
        <v>1226</v>
      </c>
      <c r="B31" s="89"/>
      <c r="C31" s="89"/>
      <c r="D31" s="84" t="s">
        <v>1227</v>
      </c>
    </row>
    <row r="32" spans="1:4" ht="26.25" thickBot="1">
      <c r="A32" s="86" t="s">
        <v>1228</v>
      </c>
      <c r="B32" s="88">
        <v>204354801</v>
      </c>
      <c r="C32" s="88">
        <v>175439760</v>
      </c>
      <c r="D32" s="84" t="s">
        <v>1229</v>
      </c>
    </row>
    <row r="33" spans="1:4" ht="26.25" thickBot="1">
      <c r="A33" s="86" t="s">
        <v>1230</v>
      </c>
      <c r="B33" s="89"/>
      <c r="C33" s="89"/>
      <c r="D33" s="84" t="s">
        <v>1231</v>
      </c>
    </row>
    <row r="34" spans="1:4" ht="39" thickBot="1">
      <c r="A34" s="86" t="s">
        <v>1232</v>
      </c>
      <c r="B34" s="88">
        <v>-428715695</v>
      </c>
      <c r="C34" s="88">
        <v>-622607912</v>
      </c>
      <c r="D34" s="84" t="s">
        <v>1233</v>
      </c>
    </row>
    <row r="35" spans="1:4" ht="15.75" thickBot="1">
      <c r="A35" s="86" t="s">
        <v>1234</v>
      </c>
      <c r="B35" s="89"/>
      <c r="C35" s="89"/>
      <c r="D35" s="84" t="s">
        <v>1235</v>
      </c>
    </row>
    <row r="36" spans="1:4" ht="26.25" thickBot="1">
      <c r="A36" s="86" t="s">
        <v>1236</v>
      </c>
      <c r="B36" s="88"/>
      <c r="C36" s="88"/>
      <c r="D36" s="84" t="s">
        <v>1237</v>
      </c>
    </row>
    <row r="37" spans="1:4" ht="26.25" thickBot="1">
      <c r="A37" s="86" t="s">
        <v>1238</v>
      </c>
      <c r="B37" s="89"/>
      <c r="C37" s="89"/>
      <c r="D37" s="84" t="s">
        <v>1239</v>
      </c>
    </row>
    <row r="38" spans="1:4" ht="26.25" thickBot="1">
      <c r="A38" s="86" t="s">
        <v>1240</v>
      </c>
      <c r="B38" s="88">
        <v>-731252243</v>
      </c>
      <c r="C38" s="88">
        <v>-241799935</v>
      </c>
      <c r="D38" s="84" t="s">
        <v>1241</v>
      </c>
    </row>
    <row r="39" spans="1:4" ht="39" thickBot="1">
      <c r="A39" s="86" t="s">
        <v>1242</v>
      </c>
      <c r="B39" s="88"/>
      <c r="C39" s="88"/>
      <c r="D39" s="84" t="s">
        <v>1243</v>
      </c>
    </row>
    <row r="40" spans="1:4" ht="26.2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26.25" thickBot="1">
      <c r="A46" s="87" t="s">
        <v>1256</v>
      </c>
      <c r="B46" s="88"/>
      <c r="C46" s="88"/>
      <c r="D46" s="84" t="s">
        <v>1257</v>
      </c>
    </row>
    <row r="47" spans="1:4" ht="39" thickBot="1">
      <c r="A47" s="86" t="s">
        <v>1258</v>
      </c>
      <c r="B47" s="88">
        <v>71914987</v>
      </c>
      <c r="C47" s="88">
        <v>-76235083</v>
      </c>
      <c r="D47" s="84" t="s">
        <v>1259</v>
      </c>
    </row>
    <row r="48" spans="1:4" ht="15.75" thickBot="1">
      <c r="A48" s="85" t="s">
        <v>1260</v>
      </c>
      <c r="B48" s="83"/>
      <c r="C48" s="83"/>
      <c r="D48" s="84" t="s">
        <v>1261</v>
      </c>
    </row>
    <row r="49" spans="1:4" ht="26.25" thickBot="1">
      <c r="A49" s="86" t="s">
        <v>1262</v>
      </c>
      <c r="B49" s="89"/>
      <c r="C49" s="89"/>
      <c r="D49" s="84" t="s">
        <v>1263</v>
      </c>
    </row>
    <row r="50" spans="1:4" ht="26.2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62357840</v>
      </c>
      <c r="C53" s="89">
        <v>170409875</v>
      </c>
      <c r="D53" s="84" t="s">
        <v>1271</v>
      </c>
    </row>
    <row r="54" spans="1:4" ht="26.25" thickBot="1">
      <c r="A54" s="86" t="s">
        <v>1272</v>
      </c>
      <c r="B54" s="88"/>
      <c r="C54" s="88"/>
      <c r="D54" s="84" t="s">
        <v>1273</v>
      </c>
    </row>
    <row r="55" spans="1:4" ht="26.25" thickBot="1">
      <c r="A55" s="86" t="s">
        <v>1274</v>
      </c>
      <c r="B55" s="89"/>
      <c r="C55" s="89"/>
      <c r="D55" s="84" t="s">
        <v>1275</v>
      </c>
    </row>
    <row r="56" spans="1:4" ht="26.25" thickBot="1">
      <c r="A56" s="86" t="s">
        <v>1276</v>
      </c>
      <c r="B56" s="88"/>
      <c r="C56" s="88"/>
      <c r="D56" s="84" t="s">
        <v>1277</v>
      </c>
    </row>
    <row r="57" spans="1:4" ht="26.25" thickBot="1">
      <c r="A57" s="86" t="s">
        <v>1278</v>
      </c>
      <c r="B57" s="89"/>
      <c r="C57" s="89"/>
      <c r="D57" s="84" t="s">
        <v>1279</v>
      </c>
    </row>
    <row r="58" spans="1:4" ht="26.25" thickBot="1">
      <c r="A58" s="86" t="s">
        <v>1280</v>
      </c>
      <c r="B58" s="88"/>
      <c r="C58" s="88"/>
      <c r="D58" s="84" t="s">
        <v>1281</v>
      </c>
    </row>
    <row r="59" spans="1:4" ht="26.25" thickBot="1">
      <c r="A59" s="86" t="s">
        <v>1282</v>
      </c>
      <c r="B59" s="89"/>
      <c r="C59" s="89"/>
      <c r="D59" s="84" t="s">
        <v>1283</v>
      </c>
    </row>
    <row r="60" spans="1:4" ht="26.25" thickBot="1">
      <c r="A60" s="86" t="s">
        <v>1284</v>
      </c>
      <c r="B60" s="88"/>
      <c r="C60" s="88"/>
      <c r="D60" s="84" t="s">
        <v>1285</v>
      </c>
    </row>
    <row r="61" spans="1:4" ht="26.25" thickBot="1">
      <c r="A61" s="86" t="s">
        <v>1286</v>
      </c>
      <c r="B61" s="89"/>
      <c r="C61" s="89"/>
      <c r="D61" s="84" t="s">
        <v>1287</v>
      </c>
    </row>
    <row r="62" spans="1:4" ht="26.25" thickBot="1">
      <c r="A62" s="86" t="s">
        <v>1288</v>
      </c>
      <c r="B62" s="88"/>
      <c r="C62" s="88"/>
      <c r="D62" s="84" t="s">
        <v>1289</v>
      </c>
    </row>
    <row r="63" spans="1:4" ht="26.25" thickBot="1">
      <c r="A63" s="86" t="s">
        <v>1290</v>
      </c>
      <c r="B63" s="89"/>
      <c r="C63" s="89"/>
      <c r="D63" s="84" t="s">
        <v>1291</v>
      </c>
    </row>
    <row r="64" spans="1:4" ht="26.25" thickBot="1">
      <c r="A64" s="86" t="s">
        <v>1292</v>
      </c>
      <c r="B64" s="88">
        <v>2611344</v>
      </c>
      <c r="C64" s="88">
        <v>3202562</v>
      </c>
      <c r="D64" s="84" t="s">
        <v>1293</v>
      </c>
    </row>
    <row r="65" spans="1:4" ht="26.25" thickBot="1">
      <c r="A65" s="86" t="s">
        <v>1294</v>
      </c>
      <c r="B65" s="89">
        <v>194848456</v>
      </c>
      <c r="C65" s="89">
        <v>212319600</v>
      </c>
      <c r="D65" s="84" t="s">
        <v>1295</v>
      </c>
    </row>
    <row r="66" spans="1:4" ht="26.25" thickBot="1">
      <c r="A66" s="86" t="s">
        <v>1296</v>
      </c>
      <c r="B66" s="88"/>
      <c r="C66" s="88"/>
      <c r="D66" s="84" t="s">
        <v>1297</v>
      </c>
    </row>
    <row r="67" spans="1:4" ht="26.25" thickBot="1">
      <c r="A67" s="86" t="s">
        <v>1298</v>
      </c>
      <c r="B67" s="88"/>
      <c r="C67" s="88"/>
      <c r="D67" s="84" t="s">
        <v>1299</v>
      </c>
    </row>
    <row r="68" spans="1:4" ht="26.25" thickBot="1">
      <c r="A68" s="86" t="s">
        <v>1300</v>
      </c>
      <c r="B68" s="89"/>
      <c r="C68" s="89"/>
      <c r="D68" s="84" t="s">
        <v>1301</v>
      </c>
    </row>
    <row r="69" spans="1:4" ht="26.25" thickBot="1">
      <c r="A69" s="86" t="s">
        <v>1302</v>
      </c>
      <c r="B69" s="88"/>
      <c r="C69" s="88"/>
      <c r="D69" s="84" t="s">
        <v>1303</v>
      </c>
    </row>
    <row r="70" spans="1:4" ht="26.25" thickBot="1">
      <c r="A70" s="86" t="s">
        <v>1304</v>
      </c>
      <c r="B70" s="89"/>
      <c r="C70" s="89"/>
      <c r="D70" s="84" t="s">
        <v>1305</v>
      </c>
    </row>
    <row r="71" spans="1:4" ht="26.25" thickBot="1">
      <c r="A71" s="86" t="s">
        <v>1306</v>
      </c>
      <c r="B71" s="88"/>
      <c r="C71" s="88"/>
      <c r="D71" s="84" t="s">
        <v>1307</v>
      </c>
    </row>
    <row r="72" spans="1:4" ht="26.25" thickBot="1">
      <c r="A72" s="86" t="s">
        <v>1308</v>
      </c>
      <c r="B72" s="89"/>
      <c r="C72" s="89"/>
      <c r="D72" s="84" t="s">
        <v>1309</v>
      </c>
    </row>
    <row r="73" spans="1:4" ht="26.25" thickBot="1">
      <c r="A73" s="86" t="s">
        <v>1310</v>
      </c>
      <c r="B73" s="88"/>
      <c r="C73" s="88"/>
      <c r="D73" s="84" t="s">
        <v>1311</v>
      </c>
    </row>
    <row r="74" spans="1:4" ht="26.25" thickBot="1">
      <c r="A74" s="86" t="s">
        <v>1312</v>
      </c>
      <c r="B74" s="89"/>
      <c r="C74" s="89"/>
      <c r="D74" s="84" t="s">
        <v>1313</v>
      </c>
    </row>
    <row r="75" spans="1:4" ht="26.25" thickBot="1">
      <c r="A75" s="86" t="s">
        <v>1314</v>
      </c>
      <c r="B75" s="88"/>
      <c r="C75" s="88"/>
      <c r="D75" s="84" t="s">
        <v>1315</v>
      </c>
    </row>
    <row r="76" spans="1:4" ht="26.25" thickBot="1">
      <c r="A76" s="86" t="s">
        <v>1316</v>
      </c>
      <c r="B76" s="89">
        <v>23105532</v>
      </c>
      <c r="C76" s="89">
        <v>34174027</v>
      </c>
      <c r="D76" s="84" t="s">
        <v>1317</v>
      </c>
    </row>
    <row r="77" spans="1:4" ht="26.25" thickBot="1">
      <c r="A77" s="86" t="s">
        <v>1318</v>
      </c>
      <c r="B77" s="88"/>
      <c r="C77" s="88"/>
      <c r="D77" s="84" t="s">
        <v>1319</v>
      </c>
    </row>
    <row r="78" spans="1:4" ht="26.25" thickBot="1">
      <c r="A78" s="86" t="s">
        <v>1320</v>
      </c>
      <c r="B78" s="89"/>
      <c r="C78" s="89"/>
      <c r="D78" s="84" t="s">
        <v>1321</v>
      </c>
    </row>
    <row r="79" spans="1:4" ht="26.25" thickBot="1">
      <c r="A79" s="86" t="s">
        <v>1322</v>
      </c>
      <c r="B79" s="88"/>
      <c r="C79" s="88"/>
      <c r="D79" s="84" t="s">
        <v>1323</v>
      </c>
    </row>
    <row r="80" spans="1:4" ht="26.25" thickBot="1">
      <c r="A80" s="86" t="s">
        <v>1324</v>
      </c>
      <c r="B80" s="89"/>
      <c r="C80" s="89"/>
      <c r="D80" s="84" t="s">
        <v>1325</v>
      </c>
    </row>
    <row r="81" spans="1:4" ht="26.25" thickBot="1">
      <c r="A81" s="86" t="s">
        <v>1326</v>
      </c>
      <c r="B81" s="88">
        <v>15731063</v>
      </c>
      <c r="C81" s="88">
        <v>169756537</v>
      </c>
      <c r="D81" s="84" t="s">
        <v>1327</v>
      </c>
    </row>
    <row r="82" spans="1:4" ht="39" thickBot="1">
      <c r="A82" s="86" t="s">
        <v>1328</v>
      </c>
      <c r="B82" s="88"/>
      <c r="C82" s="88"/>
      <c r="D82" s="84" t="s">
        <v>1329</v>
      </c>
    </row>
    <row r="83" spans="1:4" ht="39" thickBot="1">
      <c r="A83" s="86" t="s">
        <v>1330</v>
      </c>
      <c r="B83" s="88"/>
      <c r="C83" s="88"/>
      <c r="D83" s="84" t="s">
        <v>1331</v>
      </c>
    </row>
    <row r="84" spans="1:4" ht="39" thickBot="1">
      <c r="A84" s="86" t="s">
        <v>1332</v>
      </c>
      <c r="B84" s="88"/>
      <c r="C84" s="88"/>
      <c r="D84" s="84" t="s">
        <v>1333</v>
      </c>
    </row>
    <row r="85" spans="1:4" ht="26.25" thickBot="1">
      <c r="A85" s="86" t="s">
        <v>1334</v>
      </c>
      <c r="B85" s="88"/>
      <c r="C85" s="88"/>
      <c r="D85" s="84" t="s">
        <v>1335</v>
      </c>
    </row>
    <row r="86" spans="1:4" ht="26.25" thickBot="1">
      <c r="A86" s="86" t="s">
        <v>1336</v>
      </c>
      <c r="B86" s="89"/>
      <c r="C86" s="89"/>
      <c r="D86" s="84" t="s">
        <v>1337</v>
      </c>
    </row>
    <row r="87" spans="1:4" ht="26.25" thickBot="1">
      <c r="A87" s="86" t="s">
        <v>1338</v>
      </c>
      <c r="B87" s="88"/>
      <c r="C87" s="88"/>
      <c r="D87" s="84" t="s">
        <v>1339</v>
      </c>
    </row>
    <row r="88" spans="1:4" ht="26.25" thickBot="1">
      <c r="A88" s="86" t="s">
        <v>1340</v>
      </c>
      <c r="B88" s="88"/>
      <c r="C88" s="88"/>
      <c r="D88" s="84" t="s">
        <v>1341</v>
      </c>
    </row>
    <row r="89" spans="1:4" ht="26.25" thickBot="1">
      <c r="A89" s="86" t="s">
        <v>1342</v>
      </c>
      <c r="B89" s="89"/>
      <c r="C89" s="89"/>
      <c r="D89" s="84" t="s">
        <v>1343</v>
      </c>
    </row>
    <row r="90" spans="1:4" ht="39" thickBot="1">
      <c r="A90" s="86" t="s">
        <v>1344</v>
      </c>
      <c r="B90" s="88"/>
      <c r="C90" s="88"/>
      <c r="D90" s="84" t="s">
        <v>1345</v>
      </c>
    </row>
    <row r="91" spans="1:4" ht="39" thickBot="1">
      <c r="A91" s="86" t="s">
        <v>1346</v>
      </c>
      <c r="B91" s="89"/>
      <c r="C91" s="89"/>
      <c r="D91" s="84" t="s">
        <v>1347</v>
      </c>
    </row>
    <row r="92" spans="1:4" ht="15.75" thickBot="1">
      <c r="A92" s="86" t="s">
        <v>1348</v>
      </c>
      <c r="B92" s="89"/>
      <c r="C92" s="89"/>
      <c r="D92" s="84" t="s">
        <v>1349</v>
      </c>
    </row>
    <row r="93" spans="1:4" ht="26.25" thickBot="1">
      <c r="A93" s="86" t="s">
        <v>1350</v>
      </c>
      <c r="B93" s="88"/>
      <c r="C93" s="88"/>
      <c r="D93" s="84" t="s">
        <v>1351</v>
      </c>
    </row>
    <row r="94" spans="1:4" ht="26.25" thickBot="1">
      <c r="A94" s="86" t="s">
        <v>1352</v>
      </c>
      <c r="B94" s="89"/>
      <c r="C94" s="89"/>
      <c r="D94" s="84" t="s">
        <v>1353</v>
      </c>
    </row>
    <row r="95" spans="1:4" ht="26.25" thickBot="1">
      <c r="A95" s="86" t="s">
        <v>1354</v>
      </c>
      <c r="B95" s="88"/>
      <c r="C95" s="88"/>
      <c r="D95" s="84" t="s">
        <v>1355</v>
      </c>
    </row>
    <row r="96" spans="1:4" ht="26.25" thickBot="1">
      <c r="A96" s="86" t="s">
        <v>1356</v>
      </c>
      <c r="B96" s="89"/>
      <c r="C96" s="89"/>
      <c r="D96" s="84" t="s">
        <v>1357</v>
      </c>
    </row>
    <row r="97" spans="1:4" ht="39" thickBot="1">
      <c r="A97" s="86" t="s">
        <v>1358</v>
      </c>
      <c r="B97" s="89"/>
      <c r="C97" s="89"/>
      <c r="D97" s="84" t="s">
        <v>1359</v>
      </c>
    </row>
    <row r="98" spans="1:4" ht="39" thickBot="1">
      <c r="A98" s="86" t="s">
        <v>1360</v>
      </c>
      <c r="B98" s="88"/>
      <c r="C98" s="88"/>
      <c r="D98" s="84" t="s">
        <v>1361</v>
      </c>
    </row>
    <row r="99" spans="1:4" ht="26.25" thickBot="1">
      <c r="A99" s="86" t="s">
        <v>1362</v>
      </c>
      <c r="B99" s="88">
        <v>15800000</v>
      </c>
      <c r="C99" s="88"/>
      <c r="D99" s="84" t="s">
        <v>1363</v>
      </c>
    </row>
    <row r="100" spans="1:4" ht="26.25" thickBot="1">
      <c r="A100" s="86" t="s">
        <v>1364</v>
      </c>
      <c r="B100" s="89">
        <v>876957016</v>
      </c>
      <c r="C100" s="89">
        <v>249900</v>
      </c>
      <c r="D100" s="84" t="s">
        <v>1365</v>
      </c>
    </row>
    <row r="101" spans="1:4" ht="51.75" thickBot="1">
      <c r="A101" s="86" t="s">
        <v>1366</v>
      </c>
      <c r="B101" s="88"/>
      <c r="C101" s="88"/>
      <c r="D101" s="84" t="s">
        <v>1367</v>
      </c>
    </row>
    <row r="102" spans="1:4" ht="39" thickBot="1">
      <c r="A102" s="86" t="s">
        <v>1368</v>
      </c>
      <c r="B102" s="89"/>
      <c r="C102" s="89"/>
      <c r="D102" s="84" t="s">
        <v>1369</v>
      </c>
    </row>
    <row r="103" spans="1:4" ht="39" thickBot="1">
      <c r="A103" s="86" t="s">
        <v>1370</v>
      </c>
      <c r="B103" s="88"/>
      <c r="C103" s="88"/>
      <c r="D103" s="84" t="s">
        <v>1371</v>
      </c>
    </row>
    <row r="104" spans="1:4" ht="39" thickBot="1">
      <c r="A104" s="86" t="s">
        <v>1372</v>
      </c>
      <c r="B104" s="89"/>
      <c r="C104" s="89"/>
      <c r="D104" s="84" t="s">
        <v>1373</v>
      </c>
    </row>
    <row r="105" spans="1:4" ht="26.25" thickBot="1">
      <c r="A105" s="86" t="s">
        <v>1374</v>
      </c>
      <c r="B105" s="88">
        <v>2800000</v>
      </c>
      <c r="C105" s="88"/>
      <c r="D105" s="84" t="s">
        <v>1375</v>
      </c>
    </row>
    <row r="106" spans="1:4" ht="26.25" thickBot="1">
      <c r="A106" s="86" t="s">
        <v>1376</v>
      </c>
      <c r="B106" s="89">
        <v>38820000</v>
      </c>
      <c r="C106" s="89"/>
      <c r="D106" s="84" t="s">
        <v>1377</v>
      </c>
    </row>
    <row r="107" spans="1:4" ht="64.5" thickBot="1">
      <c r="A107" s="86" t="s">
        <v>1378</v>
      </c>
      <c r="B107" s="88">
        <v>16270793</v>
      </c>
      <c r="C107" s="88">
        <v>81611966</v>
      </c>
      <c r="D107" s="84" t="s">
        <v>1379</v>
      </c>
    </row>
    <row r="108" spans="1:4" ht="26.25" thickBot="1">
      <c r="A108" s="86" t="s">
        <v>1380</v>
      </c>
      <c r="B108" s="88">
        <v>27685043</v>
      </c>
      <c r="C108" s="88">
        <v>53713119</v>
      </c>
      <c r="D108" s="84" t="s">
        <v>1381</v>
      </c>
    </row>
    <row r="109" spans="1:4" ht="26.25" thickBot="1">
      <c r="A109" s="86" t="s">
        <v>1382</v>
      </c>
      <c r="B109" s="88"/>
      <c r="C109" s="88"/>
      <c r="D109" s="84" t="s">
        <v>1383</v>
      </c>
    </row>
    <row r="110" spans="1:4" ht="26.25" thickBot="1">
      <c r="A110" s="86" t="s">
        <v>1384</v>
      </c>
      <c r="B110" s="89"/>
      <c r="C110" s="89"/>
      <c r="D110" s="84" t="s">
        <v>1385</v>
      </c>
    </row>
    <row r="111" spans="1:4" ht="39" thickBot="1">
      <c r="A111" s="86" t="s">
        <v>1386</v>
      </c>
      <c r="B111" s="88"/>
      <c r="C111" s="88"/>
      <c r="D111" s="84" t="s">
        <v>1387</v>
      </c>
    </row>
    <row r="112" spans="1:4" ht="26.25" thickBot="1">
      <c r="A112" s="86" t="s">
        <v>1388</v>
      </c>
      <c r="B112" s="88">
        <v>-69021026</v>
      </c>
      <c r="C112" s="88">
        <v>-256532250</v>
      </c>
      <c r="D112" s="84" t="s">
        <v>1389</v>
      </c>
    </row>
    <row r="113" spans="1:4" ht="39" thickBot="1">
      <c r="A113" s="86" t="s">
        <v>1390</v>
      </c>
      <c r="B113" s="88">
        <v>-1184211627</v>
      </c>
      <c r="C113" s="88">
        <v>-365401468</v>
      </c>
      <c r="D113" s="84" t="s">
        <v>1391</v>
      </c>
    </row>
    <row r="114" spans="1:4" ht="15.75" thickBot="1">
      <c r="A114" s="85" t="s">
        <v>1392</v>
      </c>
      <c r="B114" s="83"/>
      <c r="C114" s="83"/>
      <c r="D114" s="84" t="s">
        <v>1393</v>
      </c>
    </row>
    <row r="115" spans="1:4" ht="15.75" thickBot="1">
      <c r="A115" s="86" t="s">
        <v>1394</v>
      </c>
      <c r="B115" s="88">
        <v>137017696</v>
      </c>
      <c r="C115" s="88">
        <v>76321395</v>
      </c>
      <c r="D115" s="84" t="s">
        <v>1395</v>
      </c>
    </row>
    <row r="116" spans="1:4" ht="15.75" thickBot="1">
      <c r="A116" s="86" t="s">
        <v>1396</v>
      </c>
      <c r="B116" s="89">
        <v>83877314</v>
      </c>
      <c r="C116" s="89">
        <v>343625000</v>
      </c>
      <c r="D116" s="84" t="s">
        <v>1397</v>
      </c>
    </row>
    <row r="117" spans="1:4" ht="26.25" thickBot="1">
      <c r="A117" s="86" t="s">
        <v>1398</v>
      </c>
      <c r="B117" s="88"/>
      <c r="C117" s="88"/>
      <c r="D117" s="84" t="s">
        <v>1399</v>
      </c>
    </row>
    <row r="118" spans="1:4" ht="26.2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26.2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26.25" thickBot="1">
      <c r="A129" s="86" t="s">
        <v>1422</v>
      </c>
      <c r="B129" s="88"/>
      <c r="C129" s="88"/>
      <c r="D129" s="84" t="s">
        <v>1423</v>
      </c>
    </row>
    <row r="130" spans="1:4" ht="26.25" thickBot="1">
      <c r="A130" s="86" t="s">
        <v>1424</v>
      </c>
      <c r="B130" s="89"/>
      <c r="C130" s="89"/>
      <c r="D130" s="84" t="s">
        <v>1425</v>
      </c>
    </row>
    <row r="131" spans="1:4" ht="26.25" thickBot="1">
      <c r="A131" s="86" t="s">
        <v>1426</v>
      </c>
      <c r="B131" s="88"/>
      <c r="C131" s="88"/>
      <c r="D131" s="84" t="s">
        <v>1427</v>
      </c>
    </row>
    <row r="132" spans="1:4" ht="26.25" thickBot="1">
      <c r="A132" s="86" t="s">
        <v>1428</v>
      </c>
      <c r="B132" s="89"/>
      <c r="C132" s="89"/>
      <c r="D132" s="84" t="s">
        <v>1429</v>
      </c>
    </row>
    <row r="133" spans="1:4" ht="26.25" thickBot="1">
      <c r="A133" s="86" t="s">
        <v>1430</v>
      </c>
      <c r="B133" s="88"/>
      <c r="C133" s="88"/>
      <c r="D133" s="84" t="s">
        <v>1431</v>
      </c>
    </row>
    <row r="134" spans="1:4" ht="26.25" thickBot="1">
      <c r="A134" s="86" t="s">
        <v>1432</v>
      </c>
      <c r="B134" s="89">
        <v>3707429</v>
      </c>
      <c r="C134" s="89">
        <v>3554847</v>
      </c>
      <c r="D134" s="84" t="s">
        <v>1433</v>
      </c>
    </row>
    <row r="135" spans="1:4" ht="26.25" thickBot="1">
      <c r="A135" s="86" t="s">
        <v>1434</v>
      </c>
      <c r="B135" s="88"/>
      <c r="C135" s="88"/>
      <c r="D135" s="84" t="s">
        <v>1435</v>
      </c>
    </row>
    <row r="136" spans="1:4" ht="26.2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26.25" thickBot="1">
      <c r="A141" s="86" t="s">
        <v>1446</v>
      </c>
      <c r="B141" s="88"/>
      <c r="C141" s="88"/>
      <c r="D141" s="84" t="s">
        <v>1447</v>
      </c>
    </row>
    <row r="142" spans="1:4" ht="26.2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26.25" thickBot="1">
      <c r="A151" s="86" t="s">
        <v>1466</v>
      </c>
      <c r="B151" s="88"/>
      <c r="C151" s="88"/>
      <c r="D151" s="84" t="s">
        <v>1467</v>
      </c>
    </row>
    <row r="152" spans="1:4" ht="15.75" thickBot="1">
      <c r="A152" s="86" t="s">
        <v>1468</v>
      </c>
      <c r="B152" s="89"/>
      <c r="C152" s="89"/>
      <c r="D152" s="84" t="s">
        <v>1469</v>
      </c>
    </row>
    <row r="153" spans="1:4" ht="26.25" thickBot="1">
      <c r="A153" s="86" t="s">
        <v>1470</v>
      </c>
      <c r="B153" s="89"/>
      <c r="C153" s="89"/>
      <c r="D153" s="84" t="s">
        <v>1471</v>
      </c>
    </row>
    <row r="154" spans="1:4" ht="39"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26.25" thickBot="1">
      <c r="A159" s="86" t="s">
        <v>1482</v>
      </c>
      <c r="B159" s="88"/>
      <c r="C159" s="88"/>
      <c r="D159" s="84" t="s">
        <v>1483</v>
      </c>
    </row>
    <row r="160" spans="1:4" ht="26.25" thickBot="1">
      <c r="A160" s="86" t="s">
        <v>1484</v>
      </c>
      <c r="B160" s="88"/>
      <c r="C160" s="88"/>
      <c r="D160" s="84" t="s">
        <v>1485</v>
      </c>
    </row>
    <row r="161" spans="1:4" ht="26.25" thickBot="1">
      <c r="A161" s="86" t="s">
        <v>1486</v>
      </c>
      <c r="B161" s="88"/>
      <c r="C161" s="88">
        <v>4000000</v>
      </c>
      <c r="D161" s="84" t="s">
        <v>1487</v>
      </c>
    </row>
    <row r="162" spans="1:4" ht="15.75" thickBot="1">
      <c r="A162" s="86" t="s">
        <v>1488</v>
      </c>
      <c r="B162" s="89"/>
      <c r="C162" s="89"/>
      <c r="D162" s="84" t="s">
        <v>1489</v>
      </c>
    </row>
    <row r="163" spans="1:4" ht="26.25" thickBot="1">
      <c r="A163" s="86" t="s">
        <v>1490</v>
      </c>
      <c r="B163" s="88"/>
      <c r="C163" s="88"/>
      <c r="D163" s="84" t="s">
        <v>1491</v>
      </c>
    </row>
    <row r="164" spans="1:4" ht="26.25" thickBot="1">
      <c r="A164" s="86" t="s">
        <v>1492</v>
      </c>
      <c r="B164" s="88"/>
      <c r="C164" s="88"/>
      <c r="D164" s="84" t="s">
        <v>1493</v>
      </c>
    </row>
    <row r="165" spans="1:4" ht="26.25" thickBot="1">
      <c r="A165" s="86" t="s">
        <v>1494</v>
      </c>
      <c r="B165" s="88"/>
      <c r="C165" s="88"/>
      <c r="D165" s="84" t="s">
        <v>1495</v>
      </c>
    </row>
    <row r="166" spans="1:4" ht="51.75" thickBot="1">
      <c r="A166" s="86" t="s">
        <v>1496</v>
      </c>
      <c r="B166" s="88"/>
      <c r="C166" s="88"/>
      <c r="D166" s="84" t="s">
        <v>1497</v>
      </c>
    </row>
    <row r="167" spans="1:4" ht="26.25" thickBot="1">
      <c r="A167" s="86" t="s">
        <v>1498</v>
      </c>
      <c r="B167" s="88"/>
      <c r="C167" s="88"/>
      <c r="D167" s="84" t="s">
        <v>1499</v>
      </c>
    </row>
    <row r="168" spans="1:4" ht="39" thickBot="1">
      <c r="A168" s="86" t="s">
        <v>1500</v>
      </c>
      <c r="B168" s="89"/>
      <c r="C168" s="89"/>
      <c r="D168" s="84" t="s">
        <v>1501</v>
      </c>
    </row>
    <row r="169" spans="1:4" ht="26.25" thickBot="1">
      <c r="A169" s="86" t="s">
        <v>1502</v>
      </c>
      <c r="B169" s="89">
        <v>123522207</v>
      </c>
      <c r="C169" s="89">
        <v>34580</v>
      </c>
      <c r="D169" s="84" t="s">
        <v>1503</v>
      </c>
    </row>
    <row r="170" spans="1:4" ht="26.25" thickBot="1">
      <c r="A170" s="86" t="s">
        <v>1504</v>
      </c>
      <c r="B170" s="88"/>
      <c r="C170" s="88"/>
      <c r="D170" s="84" t="s">
        <v>1505</v>
      </c>
    </row>
    <row r="171" spans="1:4" ht="26.25" thickBot="1">
      <c r="A171" s="86" t="s">
        <v>1506</v>
      </c>
      <c r="B171" s="89">
        <v>42379033</v>
      </c>
      <c r="C171" s="89">
        <v>53082789</v>
      </c>
      <c r="D171" s="84" t="s">
        <v>1507</v>
      </c>
    </row>
    <row r="172" spans="1:4" ht="39" thickBot="1">
      <c r="A172" s="86" t="s">
        <v>1508</v>
      </c>
      <c r="B172" s="88"/>
      <c r="C172" s="88"/>
      <c r="D172" s="84" t="s">
        <v>1509</v>
      </c>
    </row>
    <row r="173" spans="1:4" ht="26.25" thickBot="1">
      <c r="A173" s="86" t="s">
        <v>1510</v>
      </c>
      <c r="B173" s="88"/>
      <c r="C173" s="88"/>
      <c r="D173" s="84" t="s">
        <v>1511</v>
      </c>
    </row>
    <row r="174" spans="1:4" ht="39" thickBot="1">
      <c r="A174" s="86" t="s">
        <v>1512</v>
      </c>
      <c r="B174" s="88">
        <v>-116468287</v>
      </c>
      <c r="C174" s="88">
        <v>-319975821</v>
      </c>
      <c r="D174" s="84" t="s">
        <v>1513</v>
      </c>
    </row>
    <row r="175" spans="1:4" ht="26.25" thickBot="1">
      <c r="A175" s="85" t="s">
        <v>1514</v>
      </c>
      <c r="B175" s="88">
        <v>-1228764927</v>
      </c>
      <c r="C175" s="88">
        <v>-761612372</v>
      </c>
      <c r="D175" s="84" t="s">
        <v>1515</v>
      </c>
    </row>
    <row r="176" spans="1:4" ht="26.25" thickBot="1">
      <c r="A176" s="85" t="s">
        <v>1516</v>
      </c>
      <c r="B176" s="88">
        <v>7210978131</v>
      </c>
      <c r="C176" s="88">
        <v>8712637748</v>
      </c>
      <c r="D176" s="84" t="s">
        <v>1517</v>
      </c>
    </row>
    <row r="177" spans="1:4" ht="26.25" thickBot="1">
      <c r="A177" s="85" t="s">
        <v>1518</v>
      </c>
      <c r="B177" s="88">
        <v>304041876</v>
      </c>
      <c r="C177" s="88">
        <v>-260828756</v>
      </c>
      <c r="D177" s="84" t="s">
        <v>1519</v>
      </c>
    </row>
    <row r="178" spans="1:4" ht="26.25" thickBot="1">
      <c r="A178" s="85" t="s">
        <v>1520</v>
      </c>
      <c r="B178" s="88"/>
      <c r="C178" s="88"/>
      <c r="D178" s="84" t="s">
        <v>1521</v>
      </c>
    </row>
    <row r="179" spans="1:4" ht="26.25" thickBot="1">
      <c r="A179" s="85" t="s">
        <v>1522</v>
      </c>
      <c r="B179" s="88">
        <v>1019938324</v>
      </c>
      <c r="C179" s="88">
        <v>1459277</v>
      </c>
      <c r="D179" s="84" t="s">
        <v>1523</v>
      </c>
    </row>
    <row r="180" spans="1:4" ht="26.25" thickBot="1">
      <c r="A180" s="85" t="s">
        <v>1524</v>
      </c>
      <c r="B180" s="88">
        <v>7306193404</v>
      </c>
      <c r="C180" s="88">
        <v>7691655897</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90B80BA-E4D9-4B82-BDE0-E97BF5B5453F}">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B5C54-90AC-40E0-947E-9F8E6E0C1CC8}">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1526</v>
      </c>
    </row>
    <row r="3" spans="1:3" ht="34.5">
      <c r="A3" s="92" t="s">
        <v>1527</v>
      </c>
      <c r="B3" s="290" t="s">
        <v>1528</v>
      </c>
      <c r="C3" s="290"/>
    </row>
    <row r="4" spans="1:3">
      <c r="A4" s="93"/>
      <c r="B4" s="94" t="s">
        <v>104</v>
      </c>
    </row>
    <row r="5" spans="1:3" ht="15.75" thickBot="1">
      <c r="A5" s="95" t="s">
        <v>1527</v>
      </c>
      <c r="B5" s="96"/>
      <c r="C5" s="97" t="s">
        <v>1528</v>
      </c>
    </row>
    <row r="6" spans="1:3" ht="75" customHeight="1" thickBot="1">
      <c r="A6" s="98" t="s">
        <v>1529</v>
      </c>
      <c r="B6" s="99" t="s">
        <v>1530</v>
      </c>
      <c r="C6" s="97" t="s">
        <v>1531</v>
      </c>
    </row>
    <row r="7" spans="1:3" ht="75" customHeight="1" thickBot="1">
      <c r="A7" s="98" t="s">
        <v>1532</v>
      </c>
      <c r="B7" s="99" t="s">
        <v>1533</v>
      </c>
      <c r="C7" s="97" t="s">
        <v>1534</v>
      </c>
    </row>
    <row r="8" spans="1:3" ht="75" customHeight="1" thickBot="1">
      <c r="A8" s="98" t="s">
        <v>434</v>
      </c>
      <c r="B8" s="99" t="s">
        <v>1535</v>
      </c>
      <c r="C8" s="97" t="s">
        <v>435</v>
      </c>
    </row>
    <row r="9" spans="1:3" ht="75" customHeight="1" thickBot="1">
      <c r="A9" s="98" t="s">
        <v>1536</v>
      </c>
      <c r="B9" s="99"/>
      <c r="C9" s="97" t="s">
        <v>1537</v>
      </c>
    </row>
    <row r="10" spans="1:3" ht="75" customHeight="1" thickBot="1">
      <c r="A10" s="98" t="s">
        <v>1538</v>
      </c>
      <c r="B10" s="99" t="s">
        <v>1539</v>
      </c>
      <c r="C10" s="97" t="s">
        <v>1540</v>
      </c>
    </row>
    <row r="11" spans="1:3" ht="75" customHeight="1" thickBot="1">
      <c r="A11" s="98" t="s">
        <v>1541</v>
      </c>
      <c r="B11" s="99"/>
      <c r="C11" s="97" t="s">
        <v>1542</v>
      </c>
    </row>
    <row r="12" spans="1:3" ht="75" customHeight="1" thickBot="1">
      <c r="A12" s="98" t="s">
        <v>625</v>
      </c>
      <c r="B12" s="99" t="s">
        <v>1543</v>
      </c>
      <c r="C12" s="97" t="s">
        <v>1544</v>
      </c>
    </row>
    <row r="13" spans="1:3" ht="75" customHeight="1" thickBot="1">
      <c r="A13" s="98" t="s">
        <v>1545</v>
      </c>
      <c r="B13" s="99"/>
      <c r="C13" s="97" t="s">
        <v>624</v>
      </c>
    </row>
    <row r="14" spans="1:3" ht="75" customHeight="1" thickBot="1">
      <c r="A14" s="98" t="s">
        <v>1546</v>
      </c>
      <c r="B14" s="99"/>
      <c r="C14" s="97" t="s">
        <v>1547</v>
      </c>
    </row>
    <row r="15" spans="1:3" ht="75" customHeight="1" thickBot="1">
      <c r="A15" s="98" t="s">
        <v>617</v>
      </c>
      <c r="B15" s="99"/>
      <c r="C15" s="97" t="s">
        <v>618</v>
      </c>
    </row>
    <row r="16" spans="1:3" ht="75" customHeight="1" thickBot="1">
      <c r="A16" s="98" t="s">
        <v>1548</v>
      </c>
      <c r="B16" s="99" t="s">
        <v>1549</v>
      </c>
      <c r="C16" s="97" t="s">
        <v>1550</v>
      </c>
    </row>
    <row r="17" spans="1:3" ht="75" customHeight="1" thickBot="1">
      <c r="A17" s="98" t="s">
        <v>645</v>
      </c>
      <c r="B17" s="99"/>
      <c r="C17" s="97" t="s">
        <v>646</v>
      </c>
    </row>
    <row r="18" spans="1:3" ht="75" customHeight="1" thickBot="1">
      <c r="A18" s="98" t="s">
        <v>1551</v>
      </c>
      <c r="B18" s="99"/>
      <c r="C18" s="97" t="s">
        <v>1552</v>
      </c>
    </row>
    <row r="19" spans="1:3" ht="75" customHeight="1" thickBot="1">
      <c r="A19" s="98" t="s">
        <v>1553</v>
      </c>
      <c r="B19" s="99" t="s">
        <v>1554</v>
      </c>
      <c r="C19" s="97" t="s">
        <v>1555</v>
      </c>
    </row>
    <row r="20" spans="1:3" ht="75" customHeight="1" thickBot="1">
      <c r="A20" s="98" t="s">
        <v>1556</v>
      </c>
      <c r="B20" s="99"/>
      <c r="C20" s="97" t="s">
        <v>1557</v>
      </c>
    </row>
    <row r="21" spans="1:3" ht="75" customHeight="1" thickBot="1">
      <c r="A21" s="98" t="s">
        <v>1558</v>
      </c>
      <c r="B21" s="99" t="s">
        <v>1559</v>
      </c>
      <c r="C21" s="97" t="s">
        <v>1560</v>
      </c>
    </row>
    <row r="22" spans="1:3" ht="75" customHeight="1" thickBot="1">
      <c r="A22" s="98" t="s">
        <v>1561</v>
      </c>
      <c r="B22" s="99" t="s">
        <v>1562</v>
      </c>
      <c r="C22" s="97" t="s">
        <v>1563</v>
      </c>
    </row>
    <row r="23" spans="1:3" ht="75" customHeight="1" thickBot="1">
      <c r="A23" s="98" t="s">
        <v>1564</v>
      </c>
      <c r="B23" s="99"/>
      <c r="C23" s="97" t="s">
        <v>1565</v>
      </c>
    </row>
    <row r="24" spans="1:3" ht="75" customHeight="1" thickBot="1">
      <c r="A24" s="98" t="s">
        <v>1566</v>
      </c>
      <c r="B24" s="99" t="s">
        <v>1567</v>
      </c>
      <c r="C24" s="97" t="s">
        <v>1568</v>
      </c>
    </row>
    <row r="25" spans="1:3" ht="75" customHeight="1" thickBot="1">
      <c r="A25" s="98" t="s">
        <v>1569</v>
      </c>
      <c r="B25" s="99" t="s">
        <v>1570</v>
      </c>
      <c r="C25" s="97" t="s">
        <v>1571</v>
      </c>
    </row>
    <row r="26" spans="1:3" ht="75" customHeight="1" thickBot="1">
      <c r="A26" s="98" t="s">
        <v>1572</v>
      </c>
      <c r="B26" s="99" t="s">
        <v>1573</v>
      </c>
      <c r="C26" s="97" t="s">
        <v>1574</v>
      </c>
    </row>
    <row r="27" spans="1:3" ht="75" customHeight="1" thickBot="1">
      <c r="A27" s="98" t="s">
        <v>1575</v>
      </c>
      <c r="B27" s="99"/>
      <c r="C27" s="97" t="s">
        <v>1576</v>
      </c>
    </row>
    <row r="28" spans="1:3" ht="75" customHeight="1" thickBot="1">
      <c r="A28" s="98" t="s">
        <v>1577</v>
      </c>
      <c r="B28" s="99" t="s">
        <v>1578</v>
      </c>
      <c r="C28" s="97" t="s">
        <v>1579</v>
      </c>
    </row>
    <row r="29" spans="1:3" ht="75" customHeight="1" thickBot="1">
      <c r="A29" s="98" t="s">
        <v>1580</v>
      </c>
      <c r="B29" s="99"/>
      <c r="C29" s="97" t="s">
        <v>1581</v>
      </c>
    </row>
    <row r="30" spans="1:3" ht="75" customHeight="1" thickBot="1">
      <c r="A30" s="98" t="s">
        <v>1582</v>
      </c>
      <c r="B30" s="99" t="s">
        <v>1583</v>
      </c>
      <c r="C30" s="97" t="s">
        <v>1584</v>
      </c>
    </row>
    <row r="31" spans="1:3" ht="75" customHeight="1" thickBot="1">
      <c r="A31" s="98" t="s">
        <v>1585</v>
      </c>
      <c r="B31" s="99" t="s">
        <v>1586</v>
      </c>
      <c r="C31" s="97" t="s">
        <v>1587</v>
      </c>
    </row>
    <row r="32" spans="1:3" ht="75" customHeight="1" thickBot="1">
      <c r="A32" s="98" t="s">
        <v>1588</v>
      </c>
      <c r="B32" s="99" t="s">
        <v>1589</v>
      </c>
      <c r="C32" s="97" t="s">
        <v>1590</v>
      </c>
    </row>
    <row r="33" spans="1:3" ht="75" customHeight="1" thickBot="1">
      <c r="A33" s="98" t="s">
        <v>1591</v>
      </c>
      <c r="B33" s="99" t="s">
        <v>1592</v>
      </c>
      <c r="C33" s="97" t="s">
        <v>1593</v>
      </c>
    </row>
    <row r="34" spans="1:3" ht="75" customHeight="1" thickBot="1">
      <c r="A34" s="98" t="s">
        <v>1594</v>
      </c>
      <c r="B34" s="99"/>
      <c r="C34" s="97" t="s">
        <v>1595</v>
      </c>
    </row>
    <row r="35" spans="1:3" ht="75" customHeight="1" thickBot="1">
      <c r="A35" s="98" t="s">
        <v>1596</v>
      </c>
      <c r="B35" s="99"/>
      <c r="C35" s="97" t="s">
        <v>1597</v>
      </c>
    </row>
    <row r="36" spans="1:3" ht="75" customHeight="1" thickBot="1">
      <c r="A36" s="98" t="s">
        <v>1598</v>
      </c>
      <c r="B36" s="99"/>
      <c r="C36" s="97" t="s">
        <v>1599</v>
      </c>
    </row>
    <row r="37" spans="1:3" ht="75" customHeight="1" thickBot="1">
      <c r="A37" s="98" t="s">
        <v>438</v>
      </c>
      <c r="B37" s="99"/>
      <c r="C37" s="97" t="s">
        <v>1600</v>
      </c>
    </row>
    <row r="38" spans="1:3" ht="75" customHeight="1" thickBot="1">
      <c r="A38" s="98" t="s">
        <v>627</v>
      </c>
      <c r="B38" s="99" t="s">
        <v>1601</v>
      </c>
      <c r="C38" s="97" t="s">
        <v>628</v>
      </c>
    </row>
    <row r="39" spans="1:3" ht="75" customHeight="1" thickBot="1">
      <c r="A39" s="98" t="s">
        <v>621</v>
      </c>
      <c r="B39" s="99"/>
      <c r="C39" s="97" t="s">
        <v>622</v>
      </c>
    </row>
    <row r="40" spans="1:3" ht="75" customHeight="1" thickBot="1">
      <c r="A40" s="98" t="s">
        <v>661</v>
      </c>
      <c r="B40" s="99" t="s">
        <v>1602</v>
      </c>
      <c r="C40" s="97" t="s">
        <v>661</v>
      </c>
    </row>
    <row r="41" spans="1:3" ht="75" customHeight="1" thickBot="1">
      <c r="A41" s="98" t="s">
        <v>564</v>
      </c>
      <c r="B41" s="99" t="s">
        <v>1603</v>
      </c>
      <c r="C41" s="97" t="s">
        <v>1604</v>
      </c>
    </row>
    <row r="42" spans="1:3" ht="75" customHeight="1" thickBot="1">
      <c r="A42" s="98" t="s">
        <v>1605</v>
      </c>
      <c r="B42" s="99" t="s">
        <v>1606</v>
      </c>
      <c r="C42" s="97" t="s">
        <v>1607</v>
      </c>
    </row>
    <row r="43" spans="1:3" ht="75" customHeight="1" thickBot="1">
      <c r="A43" s="98" t="s">
        <v>1608</v>
      </c>
      <c r="B43" s="99"/>
      <c r="C43" s="97" t="s">
        <v>1609</v>
      </c>
    </row>
    <row r="44" spans="1:3" ht="75" customHeight="1" thickBot="1">
      <c r="A44" s="98" t="s">
        <v>1610</v>
      </c>
      <c r="B44" s="99"/>
      <c r="C44" s="97" t="s">
        <v>1611</v>
      </c>
    </row>
    <row r="45" spans="1:3" ht="75" customHeight="1" thickBot="1">
      <c r="A45" s="98" t="s">
        <v>1612</v>
      </c>
      <c r="B45" s="99"/>
      <c r="C45" s="97" t="s">
        <v>1613</v>
      </c>
    </row>
    <row r="46" spans="1:3" ht="75" customHeight="1" thickBot="1">
      <c r="A46" s="98" t="s">
        <v>633</v>
      </c>
      <c r="B46" s="99"/>
      <c r="C46" s="97" t="s">
        <v>1614</v>
      </c>
    </row>
    <row r="47" spans="1:3" ht="75" customHeight="1" thickBot="1">
      <c r="A47" s="98" t="s">
        <v>635</v>
      </c>
      <c r="B47" s="99"/>
      <c r="C47" s="97" t="s">
        <v>636</v>
      </c>
    </row>
    <row r="48" spans="1:3" ht="75" customHeight="1" thickBot="1">
      <c r="A48" s="98" t="s">
        <v>1615</v>
      </c>
      <c r="B48" s="99"/>
      <c r="C48" s="97" t="s">
        <v>1616</v>
      </c>
    </row>
    <row r="49" spans="1:3" ht="75" customHeight="1" thickBot="1">
      <c r="A49" s="98" t="s">
        <v>1617</v>
      </c>
      <c r="B49" s="99" t="s">
        <v>1618</v>
      </c>
      <c r="C49" s="97" t="s">
        <v>1619</v>
      </c>
    </row>
    <row r="50" spans="1:3" ht="75" customHeight="1" thickBot="1">
      <c r="A50" s="98" t="s">
        <v>1620</v>
      </c>
      <c r="B50" s="99"/>
      <c r="C50" s="97" t="s">
        <v>1621</v>
      </c>
    </row>
    <row r="51" spans="1:3" ht="75" customHeight="1" thickBot="1">
      <c r="A51" s="98" t="s">
        <v>1622</v>
      </c>
      <c r="B51" s="99"/>
      <c r="C51" s="97" t="s">
        <v>1623</v>
      </c>
    </row>
    <row r="52" spans="1:3" ht="75" customHeight="1" thickBot="1">
      <c r="A52" s="98" t="s">
        <v>1624</v>
      </c>
      <c r="B52" s="99"/>
      <c r="C52" s="97" t="s">
        <v>1625</v>
      </c>
    </row>
    <row r="53" spans="1:3" ht="75" customHeight="1" thickBot="1">
      <c r="A53" s="98" t="s">
        <v>1626</v>
      </c>
      <c r="B53" s="99"/>
      <c r="C53" s="97" t="s">
        <v>1627</v>
      </c>
    </row>
    <row r="54" spans="1:3" ht="75" customHeight="1" thickBot="1">
      <c r="A54" s="98" t="s">
        <v>920</v>
      </c>
      <c r="B54" s="99" t="s">
        <v>1628</v>
      </c>
      <c r="C54" s="97" t="s">
        <v>1629</v>
      </c>
    </row>
    <row r="55" spans="1:3" ht="75" customHeight="1" thickBot="1">
      <c r="A55" s="98" t="s">
        <v>1630</v>
      </c>
      <c r="B55" s="99"/>
      <c r="C55" s="97" t="s">
        <v>1631</v>
      </c>
    </row>
    <row r="56" spans="1:3" ht="75" customHeight="1" thickBot="1">
      <c r="A56" s="98" t="s">
        <v>1632</v>
      </c>
      <c r="B56" s="99"/>
      <c r="C56" s="97" t="s">
        <v>1633</v>
      </c>
    </row>
    <row r="57" spans="1:3" ht="75" customHeight="1" thickBot="1">
      <c r="A57" s="98" t="s">
        <v>1634</v>
      </c>
      <c r="B57" s="99"/>
      <c r="C57" s="97" t="s">
        <v>1635</v>
      </c>
    </row>
    <row r="58" spans="1:3" ht="75" customHeight="1" thickBot="1">
      <c r="A58" s="98" t="s">
        <v>1636</v>
      </c>
      <c r="B58" s="99" t="s">
        <v>1637</v>
      </c>
      <c r="C58" s="97" t="s">
        <v>1638</v>
      </c>
    </row>
    <row r="59" spans="1:3" ht="75" customHeight="1" thickBot="1">
      <c r="A59" s="98" t="s">
        <v>1639</v>
      </c>
      <c r="B59" s="99"/>
      <c r="C59" s="97" t="s">
        <v>1640</v>
      </c>
    </row>
    <row r="60" spans="1:3" ht="75" customHeight="1" thickBot="1">
      <c r="A60" s="98" t="s">
        <v>1641</v>
      </c>
      <c r="B60" s="99"/>
      <c r="C60" s="97" t="s">
        <v>1642</v>
      </c>
    </row>
    <row r="61" spans="1:3" ht="75" customHeight="1" thickBot="1">
      <c r="A61" s="98" t="s">
        <v>1643</v>
      </c>
      <c r="B61" s="99"/>
      <c r="C61" s="97" t="s">
        <v>1644</v>
      </c>
    </row>
    <row r="62" spans="1:3" ht="75" customHeight="1" thickBot="1">
      <c r="A62" s="98" t="s">
        <v>1645</v>
      </c>
      <c r="B62" s="99"/>
      <c r="C62" s="97" t="s">
        <v>1646</v>
      </c>
    </row>
    <row r="63" spans="1:3" ht="75"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443D438-8A77-4AEE-958C-D0F4DED086A9}">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59F1C-F1C3-40A6-80D5-E668C8999DA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1649</v>
      </c>
    </row>
    <row r="3" spans="1:13" ht="17.25" customHeight="1">
      <c r="A3" s="295" t="s">
        <v>625</v>
      </c>
      <c r="B3" s="295"/>
      <c r="C3" s="295"/>
      <c r="D3" s="295"/>
      <c r="E3" s="295"/>
      <c r="F3" s="295"/>
      <c r="G3" s="296" t="s">
        <v>626</v>
      </c>
      <c r="H3" s="296"/>
      <c r="I3" s="296"/>
      <c r="J3" s="296"/>
      <c r="K3" s="296"/>
      <c r="L3" s="296"/>
      <c r="M3" s="296"/>
    </row>
    <row r="4" spans="1:13">
      <c r="A4" s="297"/>
      <c r="B4" s="297"/>
      <c r="C4" s="298" t="s">
        <v>1650</v>
      </c>
      <c r="D4" s="298"/>
      <c r="E4" s="298"/>
      <c r="F4" s="298"/>
      <c r="G4" s="298"/>
      <c r="H4" s="298"/>
      <c r="I4" s="298"/>
      <c r="J4" s="298"/>
      <c r="K4" s="298"/>
      <c r="L4" s="297"/>
      <c r="M4" s="297"/>
    </row>
    <row r="5" spans="1:13" ht="23.25">
      <c r="A5" s="297"/>
      <c r="B5" s="297"/>
      <c r="C5" s="102" t="s">
        <v>625</v>
      </c>
      <c r="D5" s="102" t="s">
        <v>1651</v>
      </c>
      <c r="E5" s="102" t="s">
        <v>1652</v>
      </c>
      <c r="F5" s="102" t="s">
        <v>1653</v>
      </c>
      <c r="G5" s="102" t="s">
        <v>1654</v>
      </c>
      <c r="H5" s="102" t="s">
        <v>1655</v>
      </c>
      <c r="I5" s="102" t="s">
        <v>1656</v>
      </c>
      <c r="J5" s="102" t="s">
        <v>1657</v>
      </c>
      <c r="K5" s="102" t="s">
        <v>625</v>
      </c>
      <c r="L5" s="297"/>
      <c r="M5" s="297"/>
    </row>
    <row r="6" spans="1:13" ht="15.75" thickBot="1">
      <c r="A6" s="291" t="s">
        <v>1658</v>
      </c>
      <c r="B6" s="103" t="s">
        <v>1659</v>
      </c>
      <c r="C6" s="104">
        <v>3095755385</v>
      </c>
      <c r="D6" s="104">
        <v>111512435</v>
      </c>
      <c r="E6" s="105"/>
      <c r="F6" s="104"/>
      <c r="G6" s="104">
        <v>157871</v>
      </c>
      <c r="H6" s="104">
        <v>19007406</v>
      </c>
      <c r="I6" s="104"/>
      <c r="J6" s="105"/>
      <c r="K6" s="104">
        <v>3226433097</v>
      </c>
      <c r="L6" s="106" t="s">
        <v>1660</v>
      </c>
      <c r="M6" s="293" t="s">
        <v>1661</v>
      </c>
    </row>
    <row r="7" spans="1:13" ht="26.25" thickBot="1">
      <c r="A7" s="291"/>
      <c r="B7" s="103" t="s">
        <v>1662</v>
      </c>
      <c r="C7" s="104">
        <v>2825308611</v>
      </c>
      <c r="D7" s="104">
        <v>12333731</v>
      </c>
      <c r="E7" s="105">
        <v>1323135</v>
      </c>
      <c r="F7" s="104">
        <v>13660140</v>
      </c>
      <c r="G7" s="104">
        <v>501005</v>
      </c>
      <c r="H7" s="104">
        <v>200339875</v>
      </c>
      <c r="I7" s="104"/>
      <c r="J7" s="105"/>
      <c r="K7" s="104">
        <v>3050820227</v>
      </c>
      <c r="L7" s="106" t="s">
        <v>1663</v>
      </c>
      <c r="M7" s="293"/>
    </row>
    <row r="8" spans="1:13" ht="15.75" thickBot="1">
      <c r="A8" s="291"/>
      <c r="B8" s="103" t="s">
        <v>1664</v>
      </c>
      <c r="C8" s="104">
        <v>1551679673</v>
      </c>
      <c r="D8" s="104">
        <v>41346684</v>
      </c>
      <c r="E8" s="105">
        <v>1622857</v>
      </c>
      <c r="F8" s="104"/>
      <c r="G8" s="104">
        <v>3151368</v>
      </c>
      <c r="H8" s="104">
        <v>868037641</v>
      </c>
      <c r="I8" s="104"/>
      <c r="J8" s="105"/>
      <c r="K8" s="104">
        <v>2462592509</v>
      </c>
      <c r="L8" s="106" t="s">
        <v>1665</v>
      </c>
      <c r="M8" s="293"/>
    </row>
    <row r="9" spans="1:13" ht="15.75" thickBot="1">
      <c r="A9" s="291"/>
      <c r="B9" s="103" t="s">
        <v>1666</v>
      </c>
      <c r="C9" s="104"/>
      <c r="D9" s="104"/>
      <c r="E9" s="105"/>
      <c r="F9" s="104"/>
      <c r="G9" s="104"/>
      <c r="H9" s="104"/>
      <c r="I9" s="104"/>
      <c r="J9" s="105"/>
      <c r="K9" s="104"/>
      <c r="L9" s="106" t="s">
        <v>1667</v>
      </c>
      <c r="M9" s="293"/>
    </row>
    <row r="10" spans="1:13" ht="15.75" thickBot="1">
      <c r="A10" s="291"/>
      <c r="B10" s="103" t="s">
        <v>1668</v>
      </c>
      <c r="C10" s="104"/>
      <c r="D10" s="104"/>
      <c r="E10" s="105"/>
      <c r="F10" s="104"/>
      <c r="G10" s="104"/>
      <c r="H10" s="104"/>
      <c r="I10" s="104"/>
      <c r="J10" s="105"/>
      <c r="K10" s="104"/>
      <c r="L10" s="106" t="s">
        <v>1669</v>
      </c>
      <c r="M10" s="293"/>
    </row>
    <row r="11" spans="1:13" ht="26.25" thickBot="1">
      <c r="A11" s="291"/>
      <c r="B11" s="103" t="s">
        <v>1670</v>
      </c>
      <c r="C11" s="104">
        <v>592978356</v>
      </c>
      <c r="D11" s="104">
        <v>30056943</v>
      </c>
      <c r="E11" s="105">
        <v>1897640</v>
      </c>
      <c r="F11" s="104">
        <v>284513</v>
      </c>
      <c r="G11" s="104">
        <v>230508</v>
      </c>
      <c r="H11" s="104">
        <v>70731253</v>
      </c>
      <c r="I11" s="104"/>
      <c r="J11" s="105"/>
      <c r="K11" s="104">
        <v>692383933</v>
      </c>
      <c r="L11" s="106" t="s">
        <v>1671</v>
      </c>
      <c r="M11" s="293"/>
    </row>
    <row r="12" spans="1:13" ht="15.75" thickBot="1">
      <c r="A12" s="291"/>
      <c r="B12" s="103" t="s">
        <v>1672</v>
      </c>
      <c r="C12" s="104">
        <v>270126456</v>
      </c>
      <c r="D12" s="104">
        <v>8721417</v>
      </c>
      <c r="E12" s="105">
        <v>9712496</v>
      </c>
      <c r="F12" s="104"/>
      <c r="G12" s="104">
        <v>662259</v>
      </c>
      <c r="H12" s="104">
        <v>28142756</v>
      </c>
      <c r="I12" s="104"/>
      <c r="J12" s="105"/>
      <c r="K12" s="104">
        <v>297940392</v>
      </c>
      <c r="L12" s="106" t="s">
        <v>1673</v>
      </c>
      <c r="M12" s="293"/>
    </row>
    <row r="13" spans="1:13" ht="15.75" thickBot="1">
      <c r="A13" s="291"/>
      <c r="B13" s="103" t="s">
        <v>1674</v>
      </c>
      <c r="C13" s="104"/>
      <c r="D13" s="104"/>
      <c r="E13" s="105"/>
      <c r="F13" s="104"/>
      <c r="G13" s="104"/>
      <c r="H13" s="104"/>
      <c r="I13" s="104"/>
      <c r="J13" s="105"/>
      <c r="K13" s="104"/>
      <c r="L13" s="106" t="s">
        <v>1675</v>
      </c>
      <c r="M13" s="293"/>
    </row>
    <row r="14" spans="1:13" ht="15.75" thickBot="1">
      <c r="A14" s="291"/>
      <c r="B14" s="103" t="s">
        <v>1676</v>
      </c>
      <c r="C14" s="104"/>
      <c r="D14" s="104"/>
      <c r="E14" s="105"/>
      <c r="F14" s="104"/>
      <c r="G14" s="104"/>
      <c r="H14" s="104"/>
      <c r="I14" s="104"/>
      <c r="J14" s="105"/>
      <c r="K14" s="104"/>
      <c r="L14" s="106" t="s">
        <v>1677</v>
      </c>
      <c r="M14" s="293"/>
    </row>
    <row r="15" spans="1:13" ht="15.75" thickBot="1">
      <c r="A15" s="291"/>
      <c r="B15" s="103" t="s">
        <v>1678</v>
      </c>
      <c r="C15" s="104"/>
      <c r="D15" s="104"/>
      <c r="E15" s="105"/>
      <c r="F15" s="104"/>
      <c r="G15" s="104"/>
      <c r="H15" s="104"/>
      <c r="I15" s="104"/>
      <c r="J15" s="105"/>
      <c r="K15" s="104"/>
      <c r="L15" s="106" t="s">
        <v>1679</v>
      </c>
      <c r="M15" s="293"/>
    </row>
    <row r="16" spans="1:13" ht="15.75" thickBot="1">
      <c r="A16" s="291"/>
      <c r="B16" s="103" t="s">
        <v>1680</v>
      </c>
      <c r="C16" s="104"/>
      <c r="D16" s="104"/>
      <c r="E16" s="105"/>
      <c r="F16" s="104"/>
      <c r="G16" s="104"/>
      <c r="H16" s="104"/>
      <c r="I16" s="104"/>
      <c r="J16" s="105"/>
      <c r="K16" s="104"/>
      <c r="L16" s="106" t="s">
        <v>1681</v>
      </c>
      <c r="M16" s="293"/>
    </row>
    <row r="17" spans="1:13" ht="26.25" thickBot="1">
      <c r="A17" s="291"/>
      <c r="B17" s="103" t="s">
        <v>1682</v>
      </c>
      <c r="C17" s="104"/>
      <c r="D17" s="104"/>
      <c r="E17" s="105"/>
      <c r="F17" s="104"/>
      <c r="G17" s="104"/>
      <c r="H17" s="104"/>
      <c r="I17" s="104"/>
      <c r="J17" s="105"/>
      <c r="K17" s="104"/>
      <c r="L17" s="106" t="s">
        <v>1683</v>
      </c>
      <c r="M17" s="293"/>
    </row>
    <row r="18" spans="1:13" ht="15.75" thickBot="1">
      <c r="A18" s="291"/>
      <c r="B18" s="103" t="s">
        <v>1684</v>
      </c>
      <c r="C18" s="104"/>
      <c r="D18" s="104"/>
      <c r="E18" s="105"/>
      <c r="F18" s="104"/>
      <c r="G18" s="104"/>
      <c r="H18" s="104"/>
      <c r="I18" s="104"/>
      <c r="J18" s="105"/>
      <c r="K18" s="104"/>
      <c r="L18" s="106" t="s">
        <v>1685</v>
      </c>
      <c r="M18" s="293"/>
    </row>
    <row r="19" spans="1:13" ht="15.75" thickBot="1">
      <c r="A19" s="291"/>
      <c r="B19" s="103" t="s">
        <v>1686</v>
      </c>
      <c r="C19" s="104">
        <v>1930152309</v>
      </c>
      <c r="D19" s="104">
        <v>40679008</v>
      </c>
      <c r="E19" s="105">
        <v>1794677</v>
      </c>
      <c r="F19" s="104">
        <v>10164404</v>
      </c>
      <c r="G19" s="104"/>
      <c r="H19" s="104"/>
      <c r="I19" s="104"/>
      <c r="J19" s="105"/>
      <c r="K19" s="104">
        <v>1979201044</v>
      </c>
      <c r="L19" s="106" t="s">
        <v>1687</v>
      </c>
      <c r="M19" s="293"/>
    </row>
    <row r="20" spans="1:13" ht="15.75" thickBot="1">
      <c r="A20" s="291"/>
      <c r="B20" s="103" t="s">
        <v>1688</v>
      </c>
      <c r="C20" s="104">
        <v>10266000790</v>
      </c>
      <c r="D20" s="104">
        <v>244650218</v>
      </c>
      <c r="E20" s="105">
        <v>16350805</v>
      </c>
      <c r="F20" s="104">
        <v>24109057</v>
      </c>
      <c r="G20" s="104">
        <v>4703011</v>
      </c>
      <c r="H20" s="104">
        <v>1186258931</v>
      </c>
      <c r="I20" s="104"/>
      <c r="J20" s="105"/>
      <c r="K20" s="104">
        <v>11709371202</v>
      </c>
      <c r="L20" s="106" t="s">
        <v>1689</v>
      </c>
      <c r="M20" s="293"/>
    </row>
    <row r="21" spans="1:13" ht="15.75" thickBot="1">
      <c r="A21" s="291"/>
      <c r="B21" s="103" t="s">
        <v>1690</v>
      </c>
      <c r="C21" s="104"/>
      <c r="D21" s="104"/>
      <c r="E21" s="105"/>
      <c r="F21" s="104"/>
      <c r="G21" s="104"/>
      <c r="H21" s="104"/>
      <c r="I21" s="104"/>
      <c r="J21" s="105"/>
      <c r="K21" s="104"/>
      <c r="L21" s="106" t="s">
        <v>1691</v>
      </c>
      <c r="M21" s="293"/>
    </row>
    <row r="22" spans="1:13" ht="26.25" thickBot="1">
      <c r="A22" s="291"/>
      <c r="B22" s="103" t="s">
        <v>1692</v>
      </c>
      <c r="C22" s="104"/>
      <c r="D22" s="104"/>
      <c r="E22" s="105"/>
      <c r="F22" s="104"/>
      <c r="G22" s="104"/>
      <c r="H22" s="104"/>
      <c r="I22" s="104"/>
      <c r="J22" s="105"/>
      <c r="K22" s="104"/>
      <c r="L22" s="106" t="s">
        <v>1693</v>
      </c>
      <c r="M22" s="293"/>
    </row>
    <row r="23" spans="1:13" ht="15.75" thickBot="1">
      <c r="A23" s="291"/>
      <c r="B23" s="103" t="s">
        <v>1694</v>
      </c>
      <c r="C23" s="104"/>
      <c r="D23" s="104"/>
      <c r="E23" s="105"/>
      <c r="F23" s="104"/>
      <c r="G23" s="104"/>
      <c r="H23" s="104"/>
      <c r="I23" s="104"/>
      <c r="J23" s="105"/>
      <c r="K23" s="104"/>
      <c r="L23" s="106" t="s">
        <v>1695</v>
      </c>
      <c r="M23" s="293"/>
    </row>
    <row r="24" spans="1:13" ht="15.75" thickBot="1">
      <c r="A24" s="291"/>
      <c r="B24" s="103" t="s">
        <v>1696</v>
      </c>
      <c r="C24" s="104"/>
      <c r="D24" s="104"/>
      <c r="E24" s="105"/>
      <c r="F24" s="104"/>
      <c r="G24" s="104"/>
      <c r="H24" s="104"/>
      <c r="I24" s="104"/>
      <c r="J24" s="105"/>
      <c r="K24" s="104"/>
      <c r="L24" s="106" t="s">
        <v>1697</v>
      </c>
      <c r="M24" s="293"/>
    </row>
    <row r="25" spans="1:13" ht="26.25" thickBot="1">
      <c r="A25" s="291"/>
      <c r="B25" s="103" t="s">
        <v>1698</v>
      </c>
      <c r="C25" s="104"/>
      <c r="D25" s="104"/>
      <c r="E25" s="105"/>
      <c r="F25" s="104"/>
      <c r="G25" s="104"/>
      <c r="H25" s="104"/>
      <c r="I25" s="104"/>
      <c r="J25" s="105"/>
      <c r="K25" s="104"/>
      <c r="L25" s="106" t="s">
        <v>1699</v>
      </c>
      <c r="M25" s="293"/>
    </row>
    <row r="26" spans="1:13" ht="15.75" thickBot="1">
      <c r="A26" s="291"/>
      <c r="B26" s="103" t="s">
        <v>1700</v>
      </c>
      <c r="C26" s="104"/>
      <c r="D26" s="104"/>
      <c r="E26" s="105"/>
      <c r="F26" s="104"/>
      <c r="G26" s="104"/>
      <c r="H26" s="104"/>
      <c r="I26" s="104"/>
      <c r="J26" s="105"/>
      <c r="K26" s="104"/>
      <c r="L26" s="106" t="s">
        <v>1701</v>
      </c>
      <c r="M26" s="293"/>
    </row>
    <row r="27" spans="1:13" ht="15.75" thickBot="1">
      <c r="A27" s="291"/>
      <c r="B27" s="103" t="s">
        <v>1702</v>
      </c>
      <c r="C27" s="104"/>
      <c r="D27" s="104"/>
      <c r="E27" s="105"/>
      <c r="F27" s="104"/>
      <c r="G27" s="104"/>
      <c r="H27" s="104"/>
      <c r="I27" s="104"/>
      <c r="J27" s="105"/>
      <c r="K27" s="104"/>
      <c r="L27" s="106" t="s">
        <v>1703</v>
      </c>
      <c r="M27" s="293"/>
    </row>
    <row r="28" spans="1:13" ht="15.75" thickBot="1">
      <c r="A28" s="291"/>
      <c r="B28" s="103" t="s">
        <v>1704</v>
      </c>
      <c r="C28" s="104"/>
      <c r="D28" s="104"/>
      <c r="E28" s="105"/>
      <c r="F28" s="104"/>
      <c r="G28" s="104"/>
      <c r="H28" s="104"/>
      <c r="I28" s="104"/>
      <c r="J28" s="105"/>
      <c r="K28" s="104"/>
      <c r="L28" s="106" t="s">
        <v>1705</v>
      </c>
      <c r="M28" s="293"/>
    </row>
    <row r="29" spans="1:13" ht="15.75" thickBot="1">
      <c r="A29" s="291"/>
      <c r="B29" s="103" t="s">
        <v>1706</v>
      </c>
      <c r="C29" s="104"/>
      <c r="D29" s="104"/>
      <c r="E29" s="105"/>
      <c r="F29" s="104"/>
      <c r="G29" s="104"/>
      <c r="H29" s="104"/>
      <c r="I29" s="104"/>
      <c r="J29" s="105"/>
      <c r="K29" s="104"/>
      <c r="L29" s="106" t="s">
        <v>1707</v>
      </c>
      <c r="M29" s="293"/>
    </row>
    <row r="30" spans="1:13" ht="15.75" thickBot="1">
      <c r="A30" s="291"/>
      <c r="B30" s="103" t="s">
        <v>1708</v>
      </c>
      <c r="C30" s="104"/>
      <c r="D30" s="104"/>
      <c r="E30" s="105"/>
      <c r="F30" s="104"/>
      <c r="G30" s="104"/>
      <c r="H30" s="104"/>
      <c r="I30" s="104"/>
      <c r="J30" s="105"/>
      <c r="K30" s="104"/>
      <c r="L30" s="106" t="s">
        <v>1709</v>
      </c>
      <c r="M30" s="293"/>
    </row>
    <row r="31" spans="1:13" ht="26.25" thickBot="1">
      <c r="A31" s="291"/>
      <c r="B31" s="103" t="s">
        <v>1710</v>
      </c>
      <c r="C31" s="104"/>
      <c r="D31" s="104"/>
      <c r="E31" s="105"/>
      <c r="F31" s="104"/>
      <c r="G31" s="104"/>
      <c r="H31" s="104"/>
      <c r="I31" s="104"/>
      <c r="J31" s="105"/>
      <c r="K31" s="104"/>
      <c r="L31" s="106" t="s">
        <v>1711</v>
      </c>
      <c r="M31" s="293"/>
    </row>
    <row r="32" spans="1:13" ht="15.75" thickBot="1">
      <c r="A32" s="291"/>
      <c r="B32" s="103" t="s">
        <v>1712</v>
      </c>
      <c r="C32" s="104"/>
      <c r="D32" s="104"/>
      <c r="E32" s="105"/>
      <c r="F32" s="104"/>
      <c r="G32" s="104"/>
      <c r="H32" s="104"/>
      <c r="I32" s="104"/>
      <c r="J32" s="105"/>
      <c r="K32" s="104"/>
      <c r="L32" s="106" t="s">
        <v>1713</v>
      </c>
      <c r="M32" s="293"/>
    </row>
    <row r="33" spans="1:13" ht="15.75" thickBot="1">
      <c r="A33" s="291"/>
      <c r="B33" s="103" t="s">
        <v>1714</v>
      </c>
      <c r="C33" s="104"/>
      <c r="D33" s="104"/>
      <c r="E33" s="105"/>
      <c r="F33" s="104"/>
      <c r="G33" s="104"/>
      <c r="H33" s="104"/>
      <c r="I33" s="104"/>
      <c r="J33" s="105"/>
      <c r="K33" s="104"/>
      <c r="L33" s="106" t="s">
        <v>1715</v>
      </c>
      <c r="M33" s="293"/>
    </row>
    <row r="34" spans="1:13" ht="15.75" thickBot="1">
      <c r="A34" s="291"/>
      <c r="B34" s="103" t="s">
        <v>627</v>
      </c>
      <c r="C34" s="104"/>
      <c r="D34" s="104"/>
      <c r="E34" s="105"/>
      <c r="F34" s="104"/>
      <c r="G34" s="104"/>
      <c r="H34" s="104"/>
      <c r="I34" s="104"/>
      <c r="J34" s="105"/>
      <c r="K34" s="104"/>
      <c r="L34" s="106" t="s">
        <v>628</v>
      </c>
      <c r="M34" s="293"/>
    </row>
    <row r="35" spans="1:13" ht="15.75" thickBot="1">
      <c r="A35" s="291"/>
      <c r="B35" s="103" t="s">
        <v>1716</v>
      </c>
      <c r="C35" s="104">
        <v>41936799</v>
      </c>
      <c r="D35" s="104">
        <v>52653037</v>
      </c>
      <c r="E35" s="105"/>
      <c r="F35" s="104">
        <v>-13906844</v>
      </c>
      <c r="G35" s="104"/>
      <c r="H35" s="104">
        <v>24503373</v>
      </c>
      <c r="I35" s="104"/>
      <c r="J35" s="105"/>
      <c r="K35" s="104">
        <v>105186365</v>
      </c>
      <c r="L35" s="106" t="s">
        <v>1717</v>
      </c>
      <c r="M35" s="293"/>
    </row>
    <row r="36" spans="1:13" ht="26.25" thickBot="1">
      <c r="A36" s="291"/>
      <c r="B36" s="103" t="s">
        <v>1718</v>
      </c>
      <c r="C36" s="104"/>
      <c r="D36" s="104"/>
      <c r="E36" s="105"/>
      <c r="F36" s="104"/>
      <c r="G36" s="104"/>
      <c r="H36" s="104"/>
      <c r="I36" s="104"/>
      <c r="J36" s="105"/>
      <c r="K36" s="104"/>
      <c r="L36" s="106" t="s">
        <v>1719</v>
      </c>
      <c r="M36" s="293"/>
    </row>
    <row r="37" spans="1:13" ht="26.25" thickBot="1">
      <c r="A37" s="291"/>
      <c r="B37" s="103" t="s">
        <v>1720</v>
      </c>
      <c r="C37" s="104"/>
      <c r="D37" s="104"/>
      <c r="E37" s="105"/>
      <c r="F37" s="104"/>
      <c r="G37" s="104"/>
      <c r="H37" s="104"/>
      <c r="I37" s="104"/>
      <c r="J37" s="105"/>
      <c r="K37" s="104"/>
      <c r="L37" s="106" t="s">
        <v>1721</v>
      </c>
      <c r="M37" s="293"/>
    </row>
    <row r="38" spans="1:13" ht="26.25" thickBot="1">
      <c r="A38" s="291"/>
      <c r="B38" s="103" t="s">
        <v>1722</v>
      </c>
      <c r="C38" s="104"/>
      <c r="D38" s="104"/>
      <c r="E38" s="105"/>
      <c r="F38" s="104"/>
      <c r="G38" s="104"/>
      <c r="H38" s="104"/>
      <c r="I38" s="104"/>
      <c r="J38" s="105"/>
      <c r="K38" s="104"/>
      <c r="L38" s="106" t="s">
        <v>1723</v>
      </c>
      <c r="M38" s="293"/>
    </row>
    <row r="39" spans="1:13" ht="26.25" thickBot="1">
      <c r="A39" s="291"/>
      <c r="B39" s="103" t="s">
        <v>1724</v>
      </c>
      <c r="C39" s="104"/>
      <c r="D39" s="104"/>
      <c r="E39" s="105"/>
      <c r="F39" s="104"/>
      <c r="G39" s="104"/>
      <c r="H39" s="104"/>
      <c r="I39" s="104"/>
      <c r="J39" s="105"/>
      <c r="K39" s="104"/>
      <c r="L39" s="106" t="s">
        <v>1725</v>
      </c>
      <c r="M39" s="293"/>
    </row>
    <row r="40" spans="1:13" ht="26.25" thickBot="1">
      <c r="A40" s="291"/>
      <c r="B40" s="103" t="s">
        <v>1726</v>
      </c>
      <c r="C40" s="104"/>
      <c r="D40" s="104"/>
      <c r="E40" s="105"/>
      <c r="F40" s="104"/>
      <c r="G40" s="104"/>
      <c r="H40" s="104"/>
      <c r="I40" s="104"/>
      <c r="J40" s="105"/>
      <c r="K40" s="104"/>
      <c r="L40" s="106" t="s">
        <v>1727</v>
      </c>
      <c r="M40" s="293"/>
    </row>
    <row r="41" spans="1:13" ht="15.75" thickBot="1">
      <c r="A41" s="291"/>
      <c r="B41" s="103" t="s">
        <v>1728</v>
      </c>
      <c r="C41" s="104">
        <v>8150670</v>
      </c>
      <c r="D41" s="104">
        <v>2566561</v>
      </c>
      <c r="E41" s="105"/>
      <c r="F41" s="104">
        <v>-10717231</v>
      </c>
      <c r="G41" s="104"/>
      <c r="H41" s="104"/>
      <c r="I41" s="104"/>
      <c r="J41" s="105"/>
      <c r="K41" s="104"/>
      <c r="L41" s="106" t="s">
        <v>1729</v>
      </c>
      <c r="M41" s="293"/>
    </row>
    <row r="42" spans="1:13" ht="15.75" thickBot="1">
      <c r="A42" s="291"/>
      <c r="B42" s="103" t="s">
        <v>1730</v>
      </c>
      <c r="C42" s="104">
        <v>50087469</v>
      </c>
      <c r="D42" s="104">
        <v>55219598</v>
      </c>
      <c r="E42" s="105"/>
      <c r="F42" s="104">
        <v>-24624075</v>
      </c>
      <c r="G42" s="104"/>
      <c r="H42" s="104">
        <v>24503373</v>
      </c>
      <c r="I42" s="104"/>
      <c r="J42" s="105"/>
      <c r="K42" s="104">
        <v>105186365</v>
      </c>
      <c r="L42" s="106" t="s">
        <v>1731</v>
      </c>
      <c r="M42" s="293"/>
    </row>
    <row r="43" spans="1:13" ht="15.75" thickBot="1">
      <c r="A43" s="292"/>
      <c r="B43" s="103" t="s">
        <v>625</v>
      </c>
      <c r="C43" s="104">
        <v>10316088259</v>
      </c>
      <c r="D43" s="104">
        <v>299869816</v>
      </c>
      <c r="E43" s="105">
        <v>16350805</v>
      </c>
      <c r="F43" s="104">
        <v>-515018</v>
      </c>
      <c r="G43" s="104">
        <v>4703011</v>
      </c>
      <c r="H43" s="104">
        <v>1210762304</v>
      </c>
      <c r="I43" s="104"/>
      <c r="J43" s="105"/>
      <c r="K43" s="104">
        <v>11814557567</v>
      </c>
      <c r="L43" s="106" t="s">
        <v>626</v>
      </c>
      <c r="M43" s="294"/>
    </row>
    <row r="44" spans="1:13" ht="15.75" thickBot="1">
      <c r="A44" s="299" t="s">
        <v>1732</v>
      </c>
      <c r="B44" s="103" t="s">
        <v>1659</v>
      </c>
      <c r="C44" s="104"/>
      <c r="D44" s="104"/>
      <c r="E44" s="105"/>
      <c r="F44" s="104"/>
      <c r="G44" s="104"/>
      <c r="H44" s="104"/>
      <c r="I44" s="104"/>
      <c r="J44" s="105"/>
      <c r="K44" s="104"/>
      <c r="L44" s="106" t="s">
        <v>1660</v>
      </c>
      <c r="M44" s="300" t="s">
        <v>1733</v>
      </c>
    </row>
    <row r="45" spans="1:13" ht="26.25" thickBot="1">
      <c r="A45" s="291"/>
      <c r="B45" s="103" t="s">
        <v>1662</v>
      </c>
      <c r="C45" s="104">
        <v>1238823010</v>
      </c>
      <c r="D45" s="104">
        <v>69036395</v>
      </c>
      <c r="E45" s="105">
        <v>1217769</v>
      </c>
      <c r="F45" s="104">
        <v>-5058</v>
      </c>
      <c r="G45" s="104">
        <v>286035</v>
      </c>
      <c r="H45" s="104">
        <v>136761720</v>
      </c>
      <c r="I45" s="104"/>
      <c r="J45" s="105"/>
      <c r="K45" s="104">
        <v>1443684333</v>
      </c>
      <c r="L45" s="106" t="s">
        <v>1663</v>
      </c>
      <c r="M45" s="293"/>
    </row>
    <row r="46" spans="1:13" ht="15.75" thickBot="1">
      <c r="A46" s="291"/>
      <c r="B46" s="103" t="s">
        <v>1664</v>
      </c>
      <c r="C46" s="104">
        <v>1054651669</v>
      </c>
      <c r="D46" s="104">
        <v>78375945</v>
      </c>
      <c r="E46" s="105">
        <v>1402719</v>
      </c>
      <c r="F46" s="104">
        <v>31865</v>
      </c>
      <c r="G46" s="104">
        <v>2075953</v>
      </c>
      <c r="H46" s="104">
        <v>543690719</v>
      </c>
      <c r="I46" s="104"/>
      <c r="J46" s="105"/>
      <c r="K46" s="104">
        <v>1677423432</v>
      </c>
      <c r="L46" s="106" t="s">
        <v>1665</v>
      </c>
      <c r="M46" s="293"/>
    </row>
    <row r="47" spans="1:13" ht="15.75" thickBot="1">
      <c r="A47" s="291"/>
      <c r="B47" s="103" t="s">
        <v>1666</v>
      </c>
      <c r="C47" s="104"/>
      <c r="D47" s="104"/>
      <c r="E47" s="105"/>
      <c r="F47" s="104"/>
      <c r="G47" s="104"/>
      <c r="H47" s="104"/>
      <c r="I47" s="104"/>
      <c r="J47" s="105"/>
      <c r="K47" s="104"/>
      <c r="L47" s="106" t="s">
        <v>1667</v>
      </c>
      <c r="M47" s="293"/>
    </row>
    <row r="48" spans="1:13" ht="15.75" thickBot="1">
      <c r="A48" s="291"/>
      <c r="B48" s="103" t="s">
        <v>1668</v>
      </c>
      <c r="C48" s="104"/>
      <c r="D48" s="104"/>
      <c r="E48" s="105"/>
      <c r="F48" s="104"/>
      <c r="G48" s="104"/>
      <c r="H48" s="104"/>
      <c r="I48" s="104"/>
      <c r="J48" s="105"/>
      <c r="K48" s="104"/>
      <c r="L48" s="106" t="s">
        <v>1669</v>
      </c>
      <c r="M48" s="293"/>
    </row>
    <row r="49" spans="1:13" ht="26.25" thickBot="1">
      <c r="A49" s="291"/>
      <c r="B49" s="103" t="s">
        <v>1670</v>
      </c>
      <c r="C49" s="104">
        <v>462633592</v>
      </c>
      <c r="D49" s="104">
        <v>27400549</v>
      </c>
      <c r="E49" s="105">
        <v>1745225</v>
      </c>
      <c r="F49" s="104">
        <v>-26807</v>
      </c>
      <c r="G49" s="104">
        <v>134208</v>
      </c>
      <c r="H49" s="104">
        <v>78424593</v>
      </c>
      <c r="I49" s="104"/>
      <c r="J49" s="105"/>
      <c r="K49" s="104">
        <v>566820910</v>
      </c>
      <c r="L49" s="106" t="s">
        <v>1671</v>
      </c>
      <c r="M49" s="293"/>
    </row>
    <row r="50" spans="1:13" ht="15.75" thickBot="1">
      <c r="A50" s="291"/>
      <c r="B50" s="103" t="s">
        <v>1672</v>
      </c>
      <c r="C50" s="104">
        <v>188959686</v>
      </c>
      <c r="D50" s="104">
        <v>13383801</v>
      </c>
      <c r="E50" s="105">
        <v>8494664</v>
      </c>
      <c r="F50" s="104"/>
      <c r="G50" s="104">
        <v>234020</v>
      </c>
      <c r="H50" s="104">
        <v>26677070</v>
      </c>
      <c r="I50" s="104"/>
      <c r="J50" s="105"/>
      <c r="K50" s="104">
        <v>220759913</v>
      </c>
      <c r="L50" s="106" t="s">
        <v>1673</v>
      </c>
      <c r="M50" s="293"/>
    </row>
    <row r="51" spans="1:13" ht="15.75" thickBot="1">
      <c r="A51" s="291"/>
      <c r="B51" s="103" t="s">
        <v>1674</v>
      </c>
      <c r="C51" s="104"/>
      <c r="D51" s="104"/>
      <c r="E51" s="105"/>
      <c r="F51" s="104"/>
      <c r="G51" s="104"/>
      <c r="H51" s="104"/>
      <c r="I51" s="104"/>
      <c r="J51" s="105"/>
      <c r="K51" s="104"/>
      <c r="L51" s="106" t="s">
        <v>1675</v>
      </c>
      <c r="M51" s="293"/>
    </row>
    <row r="52" spans="1:13" ht="15.75" thickBot="1">
      <c r="A52" s="291"/>
      <c r="B52" s="103" t="s">
        <v>1676</v>
      </c>
      <c r="C52" s="104"/>
      <c r="D52" s="104"/>
      <c r="E52" s="105"/>
      <c r="F52" s="104"/>
      <c r="G52" s="104"/>
      <c r="H52" s="104"/>
      <c r="I52" s="104"/>
      <c r="J52" s="105"/>
      <c r="K52" s="104"/>
      <c r="L52" s="106" t="s">
        <v>1677</v>
      </c>
      <c r="M52" s="293"/>
    </row>
    <row r="53" spans="1:13" ht="15.75" thickBot="1">
      <c r="A53" s="291"/>
      <c r="B53" s="103" t="s">
        <v>1678</v>
      </c>
      <c r="C53" s="104"/>
      <c r="D53" s="104"/>
      <c r="E53" s="105"/>
      <c r="F53" s="104"/>
      <c r="G53" s="104"/>
      <c r="H53" s="104"/>
      <c r="I53" s="104"/>
      <c r="J53" s="105"/>
      <c r="K53" s="104"/>
      <c r="L53" s="106" t="s">
        <v>1679</v>
      </c>
      <c r="M53" s="293"/>
    </row>
    <row r="54" spans="1:13" ht="15.75" thickBot="1">
      <c r="A54" s="291"/>
      <c r="B54" s="103" t="s">
        <v>1680</v>
      </c>
      <c r="C54" s="104"/>
      <c r="D54" s="104"/>
      <c r="E54" s="105"/>
      <c r="F54" s="104"/>
      <c r="G54" s="104"/>
      <c r="H54" s="104"/>
      <c r="I54" s="104"/>
      <c r="J54" s="105"/>
      <c r="K54" s="104"/>
      <c r="L54" s="106" t="s">
        <v>1681</v>
      </c>
      <c r="M54" s="293"/>
    </row>
    <row r="55" spans="1:13" ht="26.25" thickBot="1">
      <c r="A55" s="291"/>
      <c r="B55" s="103" t="s">
        <v>1682</v>
      </c>
      <c r="C55" s="104"/>
      <c r="D55" s="104"/>
      <c r="E55" s="105"/>
      <c r="F55" s="104"/>
      <c r="G55" s="104"/>
      <c r="H55" s="104"/>
      <c r="I55" s="104"/>
      <c r="J55" s="105"/>
      <c r="K55" s="104"/>
      <c r="L55" s="106" t="s">
        <v>1683</v>
      </c>
      <c r="M55" s="293"/>
    </row>
    <row r="56" spans="1:13" ht="15.75" thickBot="1">
      <c r="A56" s="291"/>
      <c r="B56" s="103" t="s">
        <v>1684</v>
      </c>
      <c r="C56" s="104"/>
      <c r="D56" s="104"/>
      <c r="E56" s="105"/>
      <c r="F56" s="104"/>
      <c r="G56" s="104"/>
      <c r="H56" s="104"/>
      <c r="I56" s="104"/>
      <c r="J56" s="105"/>
      <c r="K56" s="104"/>
      <c r="L56" s="106" t="s">
        <v>1685</v>
      </c>
      <c r="M56" s="293"/>
    </row>
    <row r="57" spans="1:13" ht="15.75" thickBot="1">
      <c r="A57" s="291"/>
      <c r="B57" s="103" t="s">
        <v>1686</v>
      </c>
      <c r="C57" s="104">
        <v>1440323650</v>
      </c>
      <c r="D57" s="104">
        <v>66653234</v>
      </c>
      <c r="E57" s="105">
        <v>1698549</v>
      </c>
      <c r="F57" s="104"/>
      <c r="G57" s="104"/>
      <c r="H57" s="104"/>
      <c r="I57" s="104"/>
      <c r="J57" s="105"/>
      <c r="K57" s="104">
        <v>1505278335</v>
      </c>
      <c r="L57" s="106" t="s">
        <v>1687</v>
      </c>
      <c r="M57" s="293"/>
    </row>
    <row r="58" spans="1:13" ht="15.75" thickBot="1">
      <c r="A58" s="291"/>
      <c r="B58" s="103" t="s">
        <v>1688</v>
      </c>
      <c r="C58" s="104">
        <v>4385391607</v>
      </c>
      <c r="D58" s="104">
        <v>254849924</v>
      </c>
      <c r="E58" s="105">
        <v>14558926</v>
      </c>
      <c r="F58" s="104"/>
      <c r="G58" s="104">
        <v>2730216</v>
      </c>
      <c r="H58" s="104">
        <v>785554102</v>
      </c>
      <c r="I58" s="104"/>
      <c r="J58" s="105"/>
      <c r="K58" s="104">
        <v>5413966923</v>
      </c>
      <c r="L58" s="106" t="s">
        <v>1689</v>
      </c>
      <c r="M58" s="293"/>
    </row>
    <row r="59" spans="1:13" ht="15.75" thickBot="1">
      <c r="A59" s="291"/>
      <c r="B59" s="103" t="s">
        <v>1690</v>
      </c>
      <c r="C59" s="104"/>
      <c r="D59" s="104"/>
      <c r="E59" s="105"/>
      <c r="F59" s="104"/>
      <c r="G59" s="104"/>
      <c r="H59" s="104"/>
      <c r="I59" s="104"/>
      <c r="J59" s="105"/>
      <c r="K59" s="104"/>
      <c r="L59" s="106" t="s">
        <v>1691</v>
      </c>
      <c r="M59" s="293"/>
    </row>
    <row r="60" spans="1:13" ht="26.25" thickBot="1">
      <c r="A60" s="291"/>
      <c r="B60" s="103" t="s">
        <v>1692</v>
      </c>
      <c r="C60" s="104"/>
      <c r="D60" s="104"/>
      <c r="E60" s="105"/>
      <c r="F60" s="104"/>
      <c r="G60" s="104"/>
      <c r="H60" s="104"/>
      <c r="I60" s="104"/>
      <c r="J60" s="105"/>
      <c r="K60" s="104"/>
      <c r="L60" s="106" t="s">
        <v>1693</v>
      </c>
      <c r="M60" s="293"/>
    </row>
    <row r="61" spans="1:13" ht="15.75" thickBot="1">
      <c r="A61" s="291"/>
      <c r="B61" s="103" t="s">
        <v>1694</v>
      </c>
      <c r="C61" s="104"/>
      <c r="D61" s="104"/>
      <c r="E61" s="105"/>
      <c r="F61" s="104"/>
      <c r="G61" s="104"/>
      <c r="H61" s="104"/>
      <c r="I61" s="104"/>
      <c r="J61" s="105"/>
      <c r="K61" s="104"/>
      <c r="L61" s="106" t="s">
        <v>1695</v>
      </c>
      <c r="M61" s="293"/>
    </row>
    <row r="62" spans="1:13" ht="15.75" thickBot="1">
      <c r="A62" s="291"/>
      <c r="B62" s="103" t="s">
        <v>1696</v>
      </c>
      <c r="C62" s="104"/>
      <c r="D62" s="104"/>
      <c r="E62" s="105"/>
      <c r="F62" s="104"/>
      <c r="G62" s="104"/>
      <c r="H62" s="104"/>
      <c r="I62" s="104"/>
      <c r="J62" s="105"/>
      <c r="K62" s="104"/>
      <c r="L62" s="106" t="s">
        <v>1697</v>
      </c>
      <c r="M62" s="293"/>
    </row>
    <row r="63" spans="1:13" ht="26.25" thickBot="1">
      <c r="A63" s="291"/>
      <c r="B63" s="103" t="s">
        <v>1698</v>
      </c>
      <c r="C63" s="104"/>
      <c r="D63" s="104"/>
      <c r="E63" s="105"/>
      <c r="F63" s="104"/>
      <c r="G63" s="104"/>
      <c r="H63" s="104"/>
      <c r="I63" s="104"/>
      <c r="J63" s="105"/>
      <c r="K63" s="104"/>
      <c r="L63" s="106" t="s">
        <v>1699</v>
      </c>
      <c r="M63" s="293"/>
    </row>
    <row r="64" spans="1:13" ht="15.75" thickBot="1">
      <c r="A64" s="291"/>
      <c r="B64" s="103" t="s">
        <v>1700</v>
      </c>
      <c r="C64" s="104"/>
      <c r="D64" s="104"/>
      <c r="E64" s="105"/>
      <c r="F64" s="104"/>
      <c r="G64" s="104"/>
      <c r="H64" s="104"/>
      <c r="I64" s="104"/>
      <c r="J64" s="105"/>
      <c r="K64" s="104"/>
      <c r="L64" s="106" t="s">
        <v>1701</v>
      </c>
      <c r="M64" s="293"/>
    </row>
    <row r="65" spans="1:13" ht="15.75" thickBot="1">
      <c r="A65" s="291"/>
      <c r="B65" s="103" t="s">
        <v>1702</v>
      </c>
      <c r="C65" s="104"/>
      <c r="D65" s="104"/>
      <c r="E65" s="105"/>
      <c r="F65" s="104"/>
      <c r="G65" s="104"/>
      <c r="H65" s="104"/>
      <c r="I65" s="104"/>
      <c r="J65" s="105"/>
      <c r="K65" s="104"/>
      <c r="L65" s="106" t="s">
        <v>1703</v>
      </c>
      <c r="M65" s="293"/>
    </row>
    <row r="66" spans="1:13" ht="15.75" thickBot="1">
      <c r="A66" s="291"/>
      <c r="B66" s="103" t="s">
        <v>1704</v>
      </c>
      <c r="C66" s="104"/>
      <c r="D66" s="104"/>
      <c r="E66" s="105"/>
      <c r="F66" s="104"/>
      <c r="G66" s="104"/>
      <c r="H66" s="104"/>
      <c r="I66" s="104"/>
      <c r="J66" s="105"/>
      <c r="K66" s="104"/>
      <c r="L66" s="106" t="s">
        <v>1705</v>
      </c>
      <c r="M66" s="293"/>
    </row>
    <row r="67" spans="1:13" ht="15.75" thickBot="1">
      <c r="A67" s="291"/>
      <c r="B67" s="103" t="s">
        <v>1706</v>
      </c>
      <c r="C67" s="104"/>
      <c r="D67" s="104"/>
      <c r="E67" s="105"/>
      <c r="F67" s="104"/>
      <c r="G67" s="104"/>
      <c r="H67" s="104"/>
      <c r="I67" s="104"/>
      <c r="J67" s="105"/>
      <c r="K67" s="104"/>
      <c r="L67" s="106" t="s">
        <v>1707</v>
      </c>
      <c r="M67" s="293"/>
    </row>
    <row r="68" spans="1:13" ht="15.75" thickBot="1">
      <c r="A68" s="291"/>
      <c r="B68" s="103" t="s">
        <v>1708</v>
      </c>
      <c r="C68" s="104"/>
      <c r="D68" s="104"/>
      <c r="E68" s="105"/>
      <c r="F68" s="104"/>
      <c r="G68" s="104"/>
      <c r="H68" s="104"/>
      <c r="I68" s="104"/>
      <c r="J68" s="105"/>
      <c r="K68" s="104"/>
      <c r="L68" s="106" t="s">
        <v>1709</v>
      </c>
      <c r="M68" s="293"/>
    </row>
    <row r="69" spans="1:13" ht="26.25" thickBot="1">
      <c r="A69" s="291"/>
      <c r="B69" s="103" t="s">
        <v>1710</v>
      </c>
      <c r="C69" s="104"/>
      <c r="D69" s="104"/>
      <c r="E69" s="105"/>
      <c r="F69" s="104"/>
      <c r="G69" s="104"/>
      <c r="H69" s="104"/>
      <c r="I69" s="104"/>
      <c r="J69" s="105"/>
      <c r="K69" s="104"/>
      <c r="L69" s="106" t="s">
        <v>1711</v>
      </c>
      <c r="M69" s="293"/>
    </row>
    <row r="70" spans="1:13" ht="15.75" thickBot="1">
      <c r="A70" s="291"/>
      <c r="B70" s="103" t="s">
        <v>1712</v>
      </c>
      <c r="C70" s="104"/>
      <c r="D70" s="104"/>
      <c r="E70" s="105"/>
      <c r="F70" s="104"/>
      <c r="G70" s="104"/>
      <c r="H70" s="104"/>
      <c r="I70" s="104"/>
      <c r="J70" s="105"/>
      <c r="K70" s="104"/>
      <c r="L70" s="106" t="s">
        <v>1713</v>
      </c>
      <c r="M70" s="293"/>
    </row>
    <row r="71" spans="1:13" ht="15.75" thickBot="1">
      <c r="A71" s="291"/>
      <c r="B71" s="103" t="s">
        <v>1714</v>
      </c>
      <c r="C71" s="104"/>
      <c r="D71" s="104"/>
      <c r="E71" s="105"/>
      <c r="F71" s="104"/>
      <c r="G71" s="104"/>
      <c r="H71" s="104"/>
      <c r="I71" s="104"/>
      <c r="J71" s="105"/>
      <c r="K71" s="104"/>
      <c r="L71" s="106" t="s">
        <v>1715</v>
      </c>
      <c r="M71" s="293"/>
    </row>
    <row r="72" spans="1:13" ht="15.75" thickBot="1">
      <c r="A72" s="291"/>
      <c r="B72" s="103" t="s">
        <v>627</v>
      </c>
      <c r="C72" s="104"/>
      <c r="D72" s="104"/>
      <c r="E72" s="105"/>
      <c r="F72" s="104"/>
      <c r="G72" s="104"/>
      <c r="H72" s="104"/>
      <c r="I72" s="104"/>
      <c r="J72" s="105"/>
      <c r="K72" s="104"/>
      <c r="L72" s="106" t="s">
        <v>628</v>
      </c>
      <c r="M72" s="293"/>
    </row>
    <row r="73" spans="1:13" ht="15.75" thickBot="1">
      <c r="A73" s="291"/>
      <c r="B73" s="103" t="s">
        <v>1716</v>
      </c>
      <c r="C73" s="104"/>
      <c r="D73" s="104"/>
      <c r="E73" s="105"/>
      <c r="F73" s="104"/>
      <c r="G73" s="104"/>
      <c r="H73" s="104"/>
      <c r="I73" s="104"/>
      <c r="J73" s="105"/>
      <c r="K73" s="104"/>
      <c r="L73" s="106" t="s">
        <v>1717</v>
      </c>
      <c r="M73" s="293"/>
    </row>
    <row r="74" spans="1:13" ht="26.25" thickBot="1">
      <c r="A74" s="291"/>
      <c r="B74" s="103" t="s">
        <v>1718</v>
      </c>
      <c r="C74" s="104"/>
      <c r="D74" s="104"/>
      <c r="E74" s="105"/>
      <c r="F74" s="104"/>
      <c r="G74" s="104"/>
      <c r="H74" s="104"/>
      <c r="I74" s="104"/>
      <c r="J74" s="105"/>
      <c r="K74" s="104"/>
      <c r="L74" s="106" t="s">
        <v>1719</v>
      </c>
      <c r="M74" s="293"/>
    </row>
    <row r="75" spans="1:13" ht="26.25" thickBot="1">
      <c r="A75" s="291"/>
      <c r="B75" s="103" t="s">
        <v>1720</v>
      </c>
      <c r="C75" s="104"/>
      <c r="D75" s="104"/>
      <c r="E75" s="105"/>
      <c r="F75" s="104"/>
      <c r="G75" s="104"/>
      <c r="H75" s="104"/>
      <c r="I75" s="104"/>
      <c r="J75" s="105"/>
      <c r="K75" s="104"/>
      <c r="L75" s="106" t="s">
        <v>1721</v>
      </c>
      <c r="M75" s="293"/>
    </row>
    <row r="76" spans="1:13" ht="26.25" thickBot="1">
      <c r="A76" s="291"/>
      <c r="B76" s="103" t="s">
        <v>1722</v>
      </c>
      <c r="C76" s="104"/>
      <c r="D76" s="104"/>
      <c r="E76" s="105"/>
      <c r="F76" s="104"/>
      <c r="G76" s="104"/>
      <c r="H76" s="104"/>
      <c r="I76" s="104"/>
      <c r="J76" s="105"/>
      <c r="K76" s="104"/>
      <c r="L76" s="106" t="s">
        <v>1723</v>
      </c>
      <c r="M76" s="293"/>
    </row>
    <row r="77" spans="1:13" ht="26.25" thickBot="1">
      <c r="A77" s="291"/>
      <c r="B77" s="103" t="s">
        <v>1724</v>
      </c>
      <c r="C77" s="104"/>
      <c r="D77" s="104"/>
      <c r="E77" s="105"/>
      <c r="F77" s="104"/>
      <c r="G77" s="104"/>
      <c r="H77" s="104"/>
      <c r="I77" s="104"/>
      <c r="J77" s="105"/>
      <c r="K77" s="104"/>
      <c r="L77" s="106" t="s">
        <v>1725</v>
      </c>
      <c r="M77" s="293"/>
    </row>
    <row r="78" spans="1:13" ht="26.25" thickBot="1">
      <c r="A78" s="291"/>
      <c r="B78" s="103" t="s">
        <v>1726</v>
      </c>
      <c r="C78" s="104"/>
      <c r="D78" s="104"/>
      <c r="E78" s="105"/>
      <c r="F78" s="104"/>
      <c r="G78" s="104"/>
      <c r="H78" s="104"/>
      <c r="I78" s="104"/>
      <c r="J78" s="105"/>
      <c r="K78" s="104"/>
      <c r="L78" s="106" t="s">
        <v>1727</v>
      </c>
      <c r="M78" s="293"/>
    </row>
    <row r="79" spans="1:13" ht="15.75" thickBot="1">
      <c r="A79" s="291"/>
      <c r="B79" s="103" t="s">
        <v>1728</v>
      </c>
      <c r="C79" s="104"/>
      <c r="D79" s="104"/>
      <c r="E79" s="105"/>
      <c r="F79" s="104"/>
      <c r="G79" s="104"/>
      <c r="H79" s="104"/>
      <c r="I79" s="104"/>
      <c r="J79" s="105"/>
      <c r="K79" s="104"/>
      <c r="L79" s="106" t="s">
        <v>1729</v>
      </c>
      <c r="M79" s="293"/>
    </row>
    <row r="80" spans="1:13" ht="15.75" thickBot="1">
      <c r="A80" s="291"/>
      <c r="B80" s="103" t="s">
        <v>1730</v>
      </c>
      <c r="C80" s="104"/>
      <c r="D80" s="104"/>
      <c r="E80" s="105"/>
      <c r="F80" s="104"/>
      <c r="G80" s="104"/>
      <c r="H80" s="104"/>
      <c r="I80" s="104"/>
      <c r="J80" s="105"/>
      <c r="K80" s="104"/>
      <c r="L80" s="106" t="s">
        <v>1731</v>
      </c>
      <c r="M80" s="293"/>
    </row>
    <row r="81" spans="1:13" ht="15.75" thickBot="1">
      <c r="A81" s="292"/>
      <c r="B81" s="103" t="s">
        <v>625</v>
      </c>
      <c r="C81" s="104">
        <v>4385391607</v>
      </c>
      <c r="D81" s="104">
        <v>254849924</v>
      </c>
      <c r="E81" s="105">
        <v>14558926</v>
      </c>
      <c r="F81" s="104"/>
      <c r="G81" s="104">
        <v>2730216</v>
      </c>
      <c r="H81" s="104">
        <v>785554102</v>
      </c>
      <c r="I81" s="104"/>
      <c r="J81" s="105"/>
      <c r="K81" s="104">
        <v>5413966923</v>
      </c>
      <c r="L81" s="106" t="s">
        <v>626</v>
      </c>
      <c r="M81" s="294"/>
    </row>
    <row r="82" spans="1:13" ht="17.25" customHeight="1">
      <c r="A82" s="301" t="s">
        <v>625</v>
      </c>
      <c r="B82" s="301"/>
      <c r="C82" s="301"/>
      <c r="D82" s="301"/>
      <c r="E82" s="301"/>
      <c r="F82" s="301"/>
      <c r="G82" s="302" t="s">
        <v>626</v>
      </c>
      <c r="H82" s="302"/>
      <c r="I82" s="302"/>
      <c r="J82" s="302"/>
      <c r="K82" s="302"/>
      <c r="L82" s="302"/>
      <c r="M82" s="302"/>
    </row>
    <row r="83" spans="1:13">
      <c r="A83" s="297"/>
      <c r="B83" s="297"/>
      <c r="C83" s="298" t="s">
        <v>1650</v>
      </c>
      <c r="D83" s="298"/>
      <c r="E83" s="298"/>
      <c r="F83" s="298"/>
      <c r="G83" s="298"/>
      <c r="H83" s="298"/>
      <c r="I83" s="298"/>
      <c r="J83" s="298"/>
      <c r="K83" s="298"/>
      <c r="L83" s="297"/>
      <c r="M83" s="297"/>
    </row>
    <row r="84" spans="1:13" ht="23.25">
      <c r="A84" s="297"/>
      <c r="B84" s="297"/>
      <c r="C84" s="102" t="s">
        <v>625</v>
      </c>
      <c r="D84" s="102" t="s">
        <v>1651</v>
      </c>
      <c r="E84" s="102" t="s">
        <v>1652</v>
      </c>
      <c r="F84" s="102" t="s">
        <v>1653</v>
      </c>
      <c r="G84" s="102" t="s">
        <v>1654</v>
      </c>
      <c r="H84" s="102" t="s">
        <v>1655</v>
      </c>
      <c r="I84" s="102" t="s">
        <v>1656</v>
      </c>
      <c r="J84" s="102" t="s">
        <v>1657</v>
      </c>
      <c r="K84" s="102" t="s">
        <v>625</v>
      </c>
      <c r="L84" s="297"/>
      <c r="M84" s="297"/>
    </row>
    <row r="85" spans="1:13" ht="15.75" thickBot="1">
      <c r="A85" s="103" t="s">
        <v>1734</v>
      </c>
      <c r="B85" s="103" t="s">
        <v>625</v>
      </c>
      <c r="C85" s="104">
        <v>5930696652</v>
      </c>
      <c r="D85" s="104">
        <v>45019892</v>
      </c>
      <c r="E85" s="105">
        <v>1791879</v>
      </c>
      <c r="F85" s="104">
        <v>-515018</v>
      </c>
      <c r="G85" s="104">
        <v>1972795</v>
      </c>
      <c r="H85" s="104">
        <v>425208202</v>
      </c>
      <c r="I85" s="104"/>
      <c r="J85" s="105"/>
      <c r="K85" s="104">
        <v>6400590644</v>
      </c>
      <c r="L85" s="106" t="s">
        <v>626</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49DC183-2A1D-4933-B74C-0C8B49746C3E}">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FEA5F-59AC-445C-98EB-EF56AC7F08D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1736</v>
      </c>
    </row>
    <row r="3" spans="1:13" ht="17.25" customHeight="1">
      <c r="A3" s="313" t="s">
        <v>625</v>
      </c>
      <c r="B3" s="313"/>
      <c r="C3" s="313"/>
      <c r="D3" s="313"/>
      <c r="E3" s="313"/>
      <c r="F3" s="313"/>
      <c r="G3" s="314" t="s">
        <v>626</v>
      </c>
      <c r="H3" s="314"/>
      <c r="I3" s="314"/>
      <c r="J3" s="314"/>
      <c r="K3" s="314"/>
      <c r="L3" s="314"/>
      <c r="M3" s="314"/>
    </row>
    <row r="4" spans="1:13">
      <c r="A4" s="311"/>
      <c r="B4" s="311"/>
      <c r="C4" s="312" t="s">
        <v>1650</v>
      </c>
      <c r="D4" s="312"/>
      <c r="E4" s="312"/>
      <c r="F4" s="312"/>
      <c r="G4" s="312"/>
      <c r="H4" s="312"/>
      <c r="I4" s="312"/>
      <c r="J4" s="312"/>
      <c r="K4" s="312"/>
      <c r="L4" s="311"/>
      <c r="M4" s="311"/>
    </row>
    <row r="5" spans="1:13" ht="23.25">
      <c r="A5" s="311"/>
      <c r="B5" s="311"/>
      <c r="C5" s="109" t="s">
        <v>625</v>
      </c>
      <c r="D5" s="109" t="s">
        <v>1651</v>
      </c>
      <c r="E5" s="109" t="s">
        <v>1652</v>
      </c>
      <c r="F5" s="109" t="s">
        <v>1653</v>
      </c>
      <c r="G5" s="109" t="s">
        <v>1654</v>
      </c>
      <c r="H5" s="109" t="s">
        <v>1655</v>
      </c>
      <c r="I5" s="109" t="s">
        <v>1656</v>
      </c>
      <c r="J5" s="109" t="s">
        <v>1657</v>
      </c>
      <c r="K5" s="109" t="s">
        <v>625</v>
      </c>
      <c r="L5" s="311"/>
      <c r="M5" s="311"/>
    </row>
    <row r="6" spans="1:13" ht="15.75" thickBot="1">
      <c r="A6" s="304" t="s">
        <v>1658</v>
      </c>
      <c r="B6" s="110" t="s">
        <v>1659</v>
      </c>
      <c r="C6" s="111">
        <v>2811710649</v>
      </c>
      <c r="D6" s="111">
        <v>284044736</v>
      </c>
      <c r="E6" s="112"/>
      <c r="F6" s="111"/>
      <c r="G6" s="111"/>
      <c r="H6" s="111"/>
      <c r="I6" s="111"/>
      <c r="J6" s="112"/>
      <c r="K6" s="111">
        <v>3095755385</v>
      </c>
      <c r="L6" s="113" t="s">
        <v>1660</v>
      </c>
      <c r="M6" s="307" t="s">
        <v>1661</v>
      </c>
    </row>
    <row r="7" spans="1:13" ht="26.25" thickBot="1">
      <c r="A7" s="304"/>
      <c r="B7" s="110" t="s">
        <v>1662</v>
      </c>
      <c r="C7" s="111">
        <v>2749026353</v>
      </c>
      <c r="D7" s="111">
        <v>53711668</v>
      </c>
      <c r="E7" s="112">
        <v>1915834</v>
      </c>
      <c r="F7" s="111">
        <v>24556460</v>
      </c>
      <c r="G7" s="111">
        <v>-70036</v>
      </c>
      <c r="H7" s="111"/>
      <c r="I7" s="111"/>
      <c r="J7" s="112"/>
      <c r="K7" s="111">
        <v>2825308611</v>
      </c>
      <c r="L7" s="113" t="s">
        <v>1663</v>
      </c>
      <c r="M7" s="307"/>
    </row>
    <row r="8" spans="1:13" ht="15.75" thickBot="1">
      <c r="A8" s="304"/>
      <c r="B8" s="110" t="s">
        <v>1664</v>
      </c>
      <c r="C8" s="111">
        <v>1491865524</v>
      </c>
      <c r="D8" s="111">
        <v>113547956</v>
      </c>
      <c r="E8" s="112">
        <v>50902454</v>
      </c>
      <c r="F8" s="111">
        <v>-1873593</v>
      </c>
      <c r="G8" s="111">
        <v>-957760</v>
      </c>
      <c r="H8" s="111"/>
      <c r="I8" s="111"/>
      <c r="J8" s="112"/>
      <c r="K8" s="111">
        <v>1551679673</v>
      </c>
      <c r="L8" s="113" t="s">
        <v>1665</v>
      </c>
      <c r="M8" s="307"/>
    </row>
    <row r="9" spans="1:13" ht="15.75" thickBot="1">
      <c r="A9" s="304"/>
      <c r="B9" s="110" t="s">
        <v>1666</v>
      </c>
      <c r="C9" s="111"/>
      <c r="D9" s="111"/>
      <c r="E9" s="112"/>
      <c r="F9" s="111"/>
      <c r="G9" s="111"/>
      <c r="H9" s="111"/>
      <c r="I9" s="111"/>
      <c r="J9" s="112"/>
      <c r="K9" s="111"/>
      <c r="L9" s="113" t="s">
        <v>1667</v>
      </c>
      <c r="M9" s="307"/>
    </row>
    <row r="10" spans="1:13" ht="15.75" thickBot="1">
      <c r="A10" s="304"/>
      <c r="B10" s="110" t="s">
        <v>1668</v>
      </c>
      <c r="C10" s="111"/>
      <c r="D10" s="111"/>
      <c r="E10" s="112"/>
      <c r="F10" s="111"/>
      <c r="G10" s="111"/>
      <c r="H10" s="111"/>
      <c r="I10" s="111"/>
      <c r="J10" s="112"/>
      <c r="K10" s="111"/>
      <c r="L10" s="113" t="s">
        <v>1669</v>
      </c>
      <c r="M10" s="307"/>
    </row>
    <row r="11" spans="1:13" ht="26.25" thickBot="1">
      <c r="A11" s="304"/>
      <c r="B11" s="110" t="s">
        <v>1670</v>
      </c>
      <c r="C11" s="111">
        <v>556448025</v>
      </c>
      <c r="D11" s="111">
        <v>66232401</v>
      </c>
      <c r="E11" s="112">
        <v>33980336</v>
      </c>
      <c r="F11" s="111">
        <v>-829343</v>
      </c>
      <c r="G11" s="111">
        <v>11050</v>
      </c>
      <c r="H11" s="111">
        <v>5096559</v>
      </c>
      <c r="I11" s="111"/>
      <c r="J11" s="112"/>
      <c r="K11" s="111">
        <v>592978356</v>
      </c>
      <c r="L11" s="113" t="s">
        <v>1671</v>
      </c>
      <c r="M11" s="307"/>
    </row>
    <row r="12" spans="1:13" ht="15.75" thickBot="1">
      <c r="A12" s="304"/>
      <c r="B12" s="110" t="s">
        <v>1672</v>
      </c>
      <c r="C12" s="111">
        <v>261487330</v>
      </c>
      <c r="D12" s="111">
        <v>26939329</v>
      </c>
      <c r="E12" s="112">
        <v>18093884</v>
      </c>
      <c r="F12" s="111"/>
      <c r="G12" s="111">
        <v>-206319</v>
      </c>
      <c r="H12" s="111"/>
      <c r="I12" s="111"/>
      <c r="J12" s="112"/>
      <c r="K12" s="111">
        <v>270126456</v>
      </c>
      <c r="L12" s="113" t="s">
        <v>1673</v>
      </c>
      <c r="M12" s="307"/>
    </row>
    <row r="13" spans="1:13" ht="15.75" thickBot="1">
      <c r="A13" s="304"/>
      <c r="B13" s="110" t="s">
        <v>1674</v>
      </c>
      <c r="C13" s="111"/>
      <c r="D13" s="111"/>
      <c r="E13" s="112"/>
      <c r="F13" s="111"/>
      <c r="G13" s="111"/>
      <c r="H13" s="111"/>
      <c r="I13" s="111"/>
      <c r="J13" s="112"/>
      <c r="K13" s="111"/>
      <c r="L13" s="113" t="s">
        <v>1675</v>
      </c>
      <c r="M13" s="307"/>
    </row>
    <row r="14" spans="1:13" ht="15.75" thickBot="1">
      <c r="A14" s="304"/>
      <c r="B14" s="110" t="s">
        <v>1676</v>
      </c>
      <c r="C14" s="111"/>
      <c r="D14" s="111"/>
      <c r="E14" s="112"/>
      <c r="F14" s="111"/>
      <c r="G14" s="111"/>
      <c r="H14" s="111"/>
      <c r="I14" s="111"/>
      <c r="J14" s="112"/>
      <c r="K14" s="111"/>
      <c r="L14" s="113" t="s">
        <v>1677</v>
      </c>
      <c r="M14" s="307"/>
    </row>
    <row r="15" spans="1:13" ht="15.75" thickBot="1">
      <c r="A15" s="304"/>
      <c r="B15" s="110" t="s">
        <v>1678</v>
      </c>
      <c r="C15" s="111"/>
      <c r="D15" s="111"/>
      <c r="E15" s="112"/>
      <c r="F15" s="111"/>
      <c r="G15" s="111"/>
      <c r="H15" s="111"/>
      <c r="I15" s="111"/>
      <c r="J15" s="112"/>
      <c r="K15" s="111"/>
      <c r="L15" s="113" t="s">
        <v>1679</v>
      </c>
      <c r="M15" s="307"/>
    </row>
    <row r="16" spans="1:13" ht="15.75" thickBot="1">
      <c r="A16" s="304"/>
      <c r="B16" s="110" t="s">
        <v>1680</v>
      </c>
      <c r="C16" s="111"/>
      <c r="D16" s="111"/>
      <c r="E16" s="112"/>
      <c r="F16" s="111"/>
      <c r="G16" s="111"/>
      <c r="H16" s="111"/>
      <c r="I16" s="111"/>
      <c r="J16" s="112"/>
      <c r="K16" s="111"/>
      <c r="L16" s="113" t="s">
        <v>1681</v>
      </c>
      <c r="M16" s="307"/>
    </row>
    <row r="17" spans="1:13" ht="26.25" thickBot="1">
      <c r="A17" s="304"/>
      <c r="B17" s="110" t="s">
        <v>1682</v>
      </c>
      <c r="C17" s="111"/>
      <c r="D17" s="111"/>
      <c r="E17" s="112"/>
      <c r="F17" s="111"/>
      <c r="G17" s="111"/>
      <c r="H17" s="111"/>
      <c r="I17" s="111"/>
      <c r="J17" s="112"/>
      <c r="K17" s="111"/>
      <c r="L17" s="113" t="s">
        <v>1683</v>
      </c>
      <c r="M17" s="307"/>
    </row>
    <row r="18" spans="1:13" ht="15.75" thickBot="1">
      <c r="A18" s="304"/>
      <c r="B18" s="110" t="s">
        <v>1684</v>
      </c>
      <c r="C18" s="111"/>
      <c r="D18" s="111"/>
      <c r="E18" s="112"/>
      <c r="F18" s="111"/>
      <c r="G18" s="111"/>
      <c r="H18" s="111"/>
      <c r="I18" s="111"/>
      <c r="J18" s="112"/>
      <c r="K18" s="111"/>
      <c r="L18" s="113" t="s">
        <v>1685</v>
      </c>
      <c r="M18" s="307"/>
    </row>
    <row r="19" spans="1:13" ht="15.75" thickBot="1">
      <c r="A19" s="304"/>
      <c r="B19" s="110" t="s">
        <v>1686</v>
      </c>
      <c r="C19" s="111">
        <v>1815630930</v>
      </c>
      <c r="D19" s="111">
        <v>137833349</v>
      </c>
      <c r="E19" s="112">
        <v>127664220</v>
      </c>
      <c r="F19" s="111">
        <v>104352250</v>
      </c>
      <c r="G19" s="111"/>
      <c r="H19" s="111"/>
      <c r="I19" s="111"/>
      <c r="J19" s="112"/>
      <c r="K19" s="111">
        <v>1930152309</v>
      </c>
      <c r="L19" s="113" t="s">
        <v>1687</v>
      </c>
      <c r="M19" s="307"/>
    </row>
    <row r="20" spans="1:13" ht="15.75" thickBot="1">
      <c r="A20" s="304"/>
      <c r="B20" s="110" t="s">
        <v>1688</v>
      </c>
      <c r="C20" s="111">
        <v>9686168811</v>
      </c>
      <c r="D20" s="111">
        <v>682309439</v>
      </c>
      <c r="E20" s="112">
        <v>232556728</v>
      </c>
      <c r="F20" s="111">
        <v>126205774</v>
      </c>
      <c r="G20" s="111">
        <v>-1223065</v>
      </c>
      <c r="H20" s="111">
        <v>5096559</v>
      </c>
      <c r="I20" s="111"/>
      <c r="J20" s="112"/>
      <c r="K20" s="111">
        <v>10266000790</v>
      </c>
      <c r="L20" s="113" t="s">
        <v>1689</v>
      </c>
      <c r="M20" s="307"/>
    </row>
    <row r="21" spans="1:13" ht="15.75" thickBot="1">
      <c r="A21" s="304"/>
      <c r="B21" s="110" t="s">
        <v>1690</v>
      </c>
      <c r="C21" s="111"/>
      <c r="D21" s="111"/>
      <c r="E21" s="112"/>
      <c r="F21" s="111"/>
      <c r="G21" s="111"/>
      <c r="H21" s="111"/>
      <c r="I21" s="111"/>
      <c r="J21" s="112"/>
      <c r="K21" s="111"/>
      <c r="L21" s="113" t="s">
        <v>1691</v>
      </c>
      <c r="M21" s="307"/>
    </row>
    <row r="22" spans="1:13" ht="26.25" thickBot="1">
      <c r="A22" s="304"/>
      <c r="B22" s="110" t="s">
        <v>1692</v>
      </c>
      <c r="C22" s="111"/>
      <c r="D22" s="111"/>
      <c r="E22" s="112"/>
      <c r="F22" s="111"/>
      <c r="G22" s="111"/>
      <c r="H22" s="111"/>
      <c r="I22" s="111"/>
      <c r="J22" s="112"/>
      <c r="K22" s="111"/>
      <c r="L22" s="113" t="s">
        <v>1693</v>
      </c>
      <c r="M22" s="307"/>
    </row>
    <row r="23" spans="1:13" ht="15.75" thickBot="1">
      <c r="A23" s="304"/>
      <c r="B23" s="110" t="s">
        <v>1694</v>
      </c>
      <c r="C23" s="111"/>
      <c r="D23" s="111"/>
      <c r="E23" s="112"/>
      <c r="F23" s="111"/>
      <c r="G23" s="111"/>
      <c r="H23" s="111"/>
      <c r="I23" s="111"/>
      <c r="J23" s="112"/>
      <c r="K23" s="111"/>
      <c r="L23" s="113" t="s">
        <v>1695</v>
      </c>
      <c r="M23" s="307"/>
    </row>
    <row r="24" spans="1:13" ht="15.75" thickBot="1">
      <c r="A24" s="304"/>
      <c r="B24" s="110" t="s">
        <v>1696</v>
      </c>
      <c r="C24" s="111"/>
      <c r="D24" s="111"/>
      <c r="E24" s="112"/>
      <c r="F24" s="111"/>
      <c r="G24" s="111"/>
      <c r="H24" s="111"/>
      <c r="I24" s="111"/>
      <c r="J24" s="112"/>
      <c r="K24" s="111"/>
      <c r="L24" s="113" t="s">
        <v>1697</v>
      </c>
      <c r="M24" s="307"/>
    </row>
    <row r="25" spans="1:13" ht="26.25" thickBot="1">
      <c r="A25" s="304"/>
      <c r="B25" s="110" t="s">
        <v>1698</v>
      </c>
      <c r="C25" s="111"/>
      <c r="D25" s="111"/>
      <c r="E25" s="112"/>
      <c r="F25" s="111"/>
      <c r="G25" s="111"/>
      <c r="H25" s="111"/>
      <c r="I25" s="111"/>
      <c r="J25" s="112"/>
      <c r="K25" s="111"/>
      <c r="L25" s="113" t="s">
        <v>1699</v>
      </c>
      <c r="M25" s="307"/>
    </row>
    <row r="26" spans="1:13" ht="15.75" thickBot="1">
      <c r="A26" s="304"/>
      <c r="B26" s="110" t="s">
        <v>1700</v>
      </c>
      <c r="C26" s="111"/>
      <c r="D26" s="111"/>
      <c r="E26" s="112"/>
      <c r="F26" s="111"/>
      <c r="G26" s="111"/>
      <c r="H26" s="111"/>
      <c r="I26" s="111"/>
      <c r="J26" s="112"/>
      <c r="K26" s="111"/>
      <c r="L26" s="113" t="s">
        <v>1701</v>
      </c>
      <c r="M26" s="307"/>
    </row>
    <row r="27" spans="1:13" ht="15.75" thickBot="1">
      <c r="A27" s="304"/>
      <c r="B27" s="110" t="s">
        <v>1702</v>
      </c>
      <c r="C27" s="111"/>
      <c r="D27" s="111"/>
      <c r="E27" s="112"/>
      <c r="F27" s="111"/>
      <c r="G27" s="111"/>
      <c r="H27" s="111"/>
      <c r="I27" s="111"/>
      <c r="J27" s="112"/>
      <c r="K27" s="111"/>
      <c r="L27" s="113" t="s">
        <v>1703</v>
      </c>
      <c r="M27" s="307"/>
    </row>
    <row r="28" spans="1:13" ht="15.75" thickBot="1">
      <c r="A28" s="304"/>
      <c r="B28" s="110" t="s">
        <v>1704</v>
      </c>
      <c r="C28" s="111"/>
      <c r="D28" s="111"/>
      <c r="E28" s="112"/>
      <c r="F28" s="111"/>
      <c r="G28" s="111"/>
      <c r="H28" s="111"/>
      <c r="I28" s="111"/>
      <c r="J28" s="112"/>
      <c r="K28" s="111"/>
      <c r="L28" s="113" t="s">
        <v>1705</v>
      </c>
      <c r="M28" s="307"/>
    </row>
    <row r="29" spans="1:13" ht="15.75" thickBot="1">
      <c r="A29" s="304"/>
      <c r="B29" s="110" t="s">
        <v>1706</v>
      </c>
      <c r="C29" s="111"/>
      <c r="D29" s="111"/>
      <c r="E29" s="112"/>
      <c r="F29" s="111"/>
      <c r="G29" s="111"/>
      <c r="H29" s="111"/>
      <c r="I29" s="111"/>
      <c r="J29" s="112"/>
      <c r="K29" s="111"/>
      <c r="L29" s="113" t="s">
        <v>1707</v>
      </c>
      <c r="M29" s="307"/>
    </row>
    <row r="30" spans="1:13" ht="15.75" thickBot="1">
      <c r="A30" s="304"/>
      <c r="B30" s="110" t="s">
        <v>1708</v>
      </c>
      <c r="C30" s="111"/>
      <c r="D30" s="111"/>
      <c r="E30" s="112"/>
      <c r="F30" s="111"/>
      <c r="G30" s="111"/>
      <c r="H30" s="111"/>
      <c r="I30" s="111"/>
      <c r="J30" s="112"/>
      <c r="K30" s="111"/>
      <c r="L30" s="113" t="s">
        <v>1709</v>
      </c>
      <c r="M30" s="307"/>
    </row>
    <row r="31" spans="1:13" ht="26.25" thickBot="1">
      <c r="A31" s="304"/>
      <c r="B31" s="110" t="s">
        <v>1710</v>
      </c>
      <c r="C31" s="111"/>
      <c r="D31" s="111"/>
      <c r="E31" s="112"/>
      <c r="F31" s="111"/>
      <c r="G31" s="111"/>
      <c r="H31" s="111"/>
      <c r="I31" s="111"/>
      <c r="J31" s="112"/>
      <c r="K31" s="111"/>
      <c r="L31" s="113" t="s">
        <v>1711</v>
      </c>
      <c r="M31" s="307"/>
    </row>
    <row r="32" spans="1:13" ht="15.75" thickBot="1">
      <c r="A32" s="304"/>
      <c r="B32" s="110" t="s">
        <v>1712</v>
      </c>
      <c r="C32" s="111"/>
      <c r="D32" s="111"/>
      <c r="E32" s="112"/>
      <c r="F32" s="111"/>
      <c r="G32" s="111"/>
      <c r="H32" s="111"/>
      <c r="I32" s="111"/>
      <c r="J32" s="112"/>
      <c r="K32" s="111"/>
      <c r="L32" s="113" t="s">
        <v>1713</v>
      </c>
      <c r="M32" s="307"/>
    </row>
    <row r="33" spans="1:13" ht="15.75" thickBot="1">
      <c r="A33" s="304"/>
      <c r="B33" s="110" t="s">
        <v>1714</v>
      </c>
      <c r="C33" s="111"/>
      <c r="D33" s="111"/>
      <c r="E33" s="112"/>
      <c r="F33" s="111"/>
      <c r="G33" s="111"/>
      <c r="H33" s="111"/>
      <c r="I33" s="111"/>
      <c r="J33" s="112"/>
      <c r="K33" s="111"/>
      <c r="L33" s="113" t="s">
        <v>1715</v>
      </c>
      <c r="M33" s="307"/>
    </row>
    <row r="34" spans="1:13" ht="15.75" thickBot="1">
      <c r="A34" s="304"/>
      <c r="B34" s="110" t="s">
        <v>627</v>
      </c>
      <c r="C34" s="111"/>
      <c r="D34" s="111"/>
      <c r="E34" s="112"/>
      <c r="F34" s="111"/>
      <c r="G34" s="111"/>
      <c r="H34" s="111"/>
      <c r="I34" s="111"/>
      <c r="J34" s="112"/>
      <c r="K34" s="111"/>
      <c r="L34" s="113" t="s">
        <v>628</v>
      </c>
      <c r="M34" s="307"/>
    </row>
    <row r="35" spans="1:13" ht="15.75" thickBot="1">
      <c r="A35" s="304"/>
      <c r="B35" s="110" t="s">
        <v>1716</v>
      </c>
      <c r="C35" s="111">
        <v>19417488</v>
      </c>
      <c r="D35" s="111">
        <v>144040000</v>
      </c>
      <c r="E35" s="112"/>
      <c r="F35" s="111">
        <v>-121520689</v>
      </c>
      <c r="G35" s="111"/>
      <c r="H35" s="111"/>
      <c r="I35" s="111"/>
      <c r="J35" s="112"/>
      <c r="K35" s="111">
        <v>41936799</v>
      </c>
      <c r="L35" s="113" t="s">
        <v>1717</v>
      </c>
      <c r="M35" s="307"/>
    </row>
    <row r="36" spans="1:13" ht="26.25" thickBot="1">
      <c r="A36" s="304"/>
      <c r="B36" s="110" t="s">
        <v>1718</v>
      </c>
      <c r="C36" s="111"/>
      <c r="D36" s="111"/>
      <c r="E36" s="112"/>
      <c r="F36" s="111"/>
      <c r="G36" s="111"/>
      <c r="H36" s="111"/>
      <c r="I36" s="111"/>
      <c r="J36" s="112"/>
      <c r="K36" s="111"/>
      <c r="L36" s="113" t="s">
        <v>1719</v>
      </c>
      <c r="M36" s="307"/>
    </row>
    <row r="37" spans="1:13" ht="26.25" thickBot="1">
      <c r="A37" s="304"/>
      <c r="B37" s="110" t="s">
        <v>1720</v>
      </c>
      <c r="C37" s="111"/>
      <c r="D37" s="111"/>
      <c r="E37" s="112"/>
      <c r="F37" s="111"/>
      <c r="G37" s="111"/>
      <c r="H37" s="111"/>
      <c r="I37" s="111"/>
      <c r="J37" s="112"/>
      <c r="K37" s="111"/>
      <c r="L37" s="113" t="s">
        <v>1721</v>
      </c>
      <c r="M37" s="307"/>
    </row>
    <row r="38" spans="1:13" ht="26.25" thickBot="1">
      <c r="A38" s="304"/>
      <c r="B38" s="110" t="s">
        <v>1722</v>
      </c>
      <c r="C38" s="111"/>
      <c r="D38" s="111"/>
      <c r="E38" s="112"/>
      <c r="F38" s="111"/>
      <c r="G38" s="111"/>
      <c r="H38" s="111"/>
      <c r="I38" s="111"/>
      <c r="J38" s="112"/>
      <c r="K38" s="111"/>
      <c r="L38" s="113" t="s">
        <v>1723</v>
      </c>
      <c r="M38" s="307"/>
    </row>
    <row r="39" spans="1:13" ht="26.25" thickBot="1">
      <c r="A39" s="304"/>
      <c r="B39" s="110" t="s">
        <v>1724</v>
      </c>
      <c r="C39" s="111"/>
      <c r="D39" s="111"/>
      <c r="E39" s="112"/>
      <c r="F39" s="111"/>
      <c r="G39" s="111"/>
      <c r="H39" s="111"/>
      <c r="I39" s="111"/>
      <c r="J39" s="112"/>
      <c r="K39" s="111"/>
      <c r="L39" s="113" t="s">
        <v>1725</v>
      </c>
      <c r="M39" s="307"/>
    </row>
    <row r="40" spans="1:13" ht="26.25" thickBot="1">
      <c r="A40" s="304"/>
      <c r="B40" s="110" t="s">
        <v>1726</v>
      </c>
      <c r="C40" s="111"/>
      <c r="D40" s="111"/>
      <c r="E40" s="112"/>
      <c r="F40" s="111"/>
      <c r="G40" s="111"/>
      <c r="H40" s="111"/>
      <c r="I40" s="111"/>
      <c r="J40" s="112"/>
      <c r="K40" s="111"/>
      <c r="L40" s="113" t="s">
        <v>1727</v>
      </c>
      <c r="M40" s="307"/>
    </row>
    <row r="41" spans="1:13" ht="15.75" thickBot="1">
      <c r="A41" s="304"/>
      <c r="B41" s="110" t="s">
        <v>1728</v>
      </c>
      <c r="C41" s="111">
        <v>6529237</v>
      </c>
      <c r="D41" s="111">
        <v>10048323</v>
      </c>
      <c r="E41" s="112"/>
      <c r="F41" s="111">
        <v>-8426890</v>
      </c>
      <c r="G41" s="111"/>
      <c r="H41" s="111"/>
      <c r="I41" s="111"/>
      <c r="J41" s="112"/>
      <c r="K41" s="111">
        <v>8150670</v>
      </c>
      <c r="L41" s="113" t="s">
        <v>1729</v>
      </c>
      <c r="M41" s="307"/>
    </row>
    <row r="42" spans="1:13" ht="15.75" thickBot="1">
      <c r="A42" s="304"/>
      <c r="B42" s="110" t="s">
        <v>1730</v>
      </c>
      <c r="C42" s="111">
        <v>25946725</v>
      </c>
      <c r="D42" s="111">
        <v>154088323</v>
      </c>
      <c r="E42" s="112"/>
      <c r="F42" s="111">
        <v>-129947579</v>
      </c>
      <c r="G42" s="111"/>
      <c r="H42" s="111"/>
      <c r="I42" s="111"/>
      <c r="J42" s="112"/>
      <c r="K42" s="111">
        <v>50087469</v>
      </c>
      <c r="L42" s="113" t="s">
        <v>1731</v>
      </c>
      <c r="M42" s="307"/>
    </row>
    <row r="43" spans="1:13" ht="15.75" thickBot="1">
      <c r="A43" s="305"/>
      <c r="B43" s="110" t="s">
        <v>625</v>
      </c>
      <c r="C43" s="111">
        <v>9712115536</v>
      </c>
      <c r="D43" s="111">
        <v>836397762</v>
      </c>
      <c r="E43" s="112">
        <v>232556728</v>
      </c>
      <c r="F43" s="111">
        <v>-3741805</v>
      </c>
      <c r="G43" s="111">
        <v>-1223065</v>
      </c>
      <c r="H43" s="111">
        <v>5096559</v>
      </c>
      <c r="I43" s="111"/>
      <c r="J43" s="112"/>
      <c r="K43" s="111">
        <v>10316088259</v>
      </c>
      <c r="L43" s="113" t="s">
        <v>626</v>
      </c>
      <c r="M43" s="308"/>
    </row>
    <row r="44" spans="1:13" ht="15.75" thickBot="1">
      <c r="A44" s="303" t="s">
        <v>1732</v>
      </c>
      <c r="B44" s="110" t="s">
        <v>1659</v>
      </c>
      <c r="C44" s="111"/>
      <c r="D44" s="111"/>
      <c r="E44" s="112"/>
      <c r="F44" s="111"/>
      <c r="G44" s="111"/>
      <c r="H44" s="111"/>
      <c r="I44" s="111"/>
      <c r="J44" s="112"/>
      <c r="K44" s="111"/>
      <c r="L44" s="113" t="s">
        <v>1660</v>
      </c>
      <c r="M44" s="306" t="s">
        <v>1733</v>
      </c>
    </row>
    <row r="45" spans="1:13" ht="26.25" thickBot="1">
      <c r="A45" s="304"/>
      <c r="B45" s="110" t="s">
        <v>1662</v>
      </c>
      <c r="C45" s="111">
        <v>1105426330</v>
      </c>
      <c r="D45" s="111">
        <v>135086540</v>
      </c>
      <c r="E45" s="112">
        <v>1689602</v>
      </c>
      <c r="F45" s="111"/>
      <c r="G45" s="111">
        <v>-258</v>
      </c>
      <c r="H45" s="111"/>
      <c r="I45" s="111"/>
      <c r="J45" s="112"/>
      <c r="K45" s="111">
        <v>1238823010</v>
      </c>
      <c r="L45" s="113" t="s">
        <v>1663</v>
      </c>
      <c r="M45" s="307"/>
    </row>
    <row r="46" spans="1:13" ht="15.75" thickBot="1">
      <c r="A46" s="304"/>
      <c r="B46" s="110" t="s">
        <v>1664</v>
      </c>
      <c r="C46" s="111">
        <v>967733129</v>
      </c>
      <c r="D46" s="111">
        <v>140946339</v>
      </c>
      <c r="E46" s="112">
        <v>50344104</v>
      </c>
      <c r="F46" s="111">
        <v>-3411135</v>
      </c>
      <c r="G46" s="111">
        <v>-272560</v>
      </c>
      <c r="H46" s="111"/>
      <c r="I46" s="111"/>
      <c r="J46" s="112"/>
      <c r="K46" s="111">
        <v>1054651669</v>
      </c>
      <c r="L46" s="113" t="s">
        <v>1665</v>
      </c>
      <c r="M46" s="307"/>
    </row>
    <row r="47" spans="1:13" ht="15.75" thickBot="1">
      <c r="A47" s="304"/>
      <c r="B47" s="110" t="s">
        <v>1666</v>
      </c>
      <c r="C47" s="111"/>
      <c r="D47" s="111"/>
      <c r="E47" s="112"/>
      <c r="F47" s="111"/>
      <c r="G47" s="111"/>
      <c r="H47" s="111"/>
      <c r="I47" s="111"/>
      <c r="J47" s="112"/>
      <c r="K47" s="111"/>
      <c r="L47" s="113" t="s">
        <v>1667</v>
      </c>
      <c r="M47" s="307"/>
    </row>
    <row r="48" spans="1:13" ht="15.75" thickBot="1">
      <c r="A48" s="304"/>
      <c r="B48" s="110" t="s">
        <v>1668</v>
      </c>
      <c r="C48" s="111"/>
      <c r="D48" s="111"/>
      <c r="E48" s="112"/>
      <c r="F48" s="111"/>
      <c r="G48" s="111"/>
      <c r="H48" s="111"/>
      <c r="I48" s="111"/>
      <c r="J48" s="112"/>
      <c r="K48" s="111"/>
      <c r="L48" s="113" t="s">
        <v>1669</v>
      </c>
      <c r="M48" s="307"/>
    </row>
    <row r="49" spans="1:13" ht="26.25" thickBot="1">
      <c r="A49" s="304"/>
      <c r="B49" s="110" t="s">
        <v>1670</v>
      </c>
      <c r="C49" s="111">
        <v>440140950</v>
      </c>
      <c r="D49" s="111">
        <v>54453872</v>
      </c>
      <c r="E49" s="112">
        <v>31033447</v>
      </c>
      <c r="F49" s="111">
        <v>-1180619</v>
      </c>
      <c r="G49" s="111">
        <v>2492</v>
      </c>
      <c r="H49" s="111">
        <v>250344</v>
      </c>
      <c r="I49" s="111"/>
      <c r="J49" s="112"/>
      <c r="K49" s="111">
        <v>462633592</v>
      </c>
      <c r="L49" s="113" t="s">
        <v>1671</v>
      </c>
      <c r="M49" s="307"/>
    </row>
    <row r="50" spans="1:13" ht="15.75" thickBot="1">
      <c r="A50" s="304"/>
      <c r="B50" s="110" t="s">
        <v>1672</v>
      </c>
      <c r="C50" s="111">
        <v>176141088</v>
      </c>
      <c r="D50" s="111">
        <v>28616709</v>
      </c>
      <c r="E50" s="112">
        <v>15771867</v>
      </c>
      <c r="F50" s="111"/>
      <c r="G50" s="111">
        <v>-26244</v>
      </c>
      <c r="H50" s="111"/>
      <c r="I50" s="111"/>
      <c r="J50" s="112"/>
      <c r="K50" s="111">
        <v>188959686</v>
      </c>
      <c r="L50" s="113" t="s">
        <v>1673</v>
      </c>
      <c r="M50" s="307"/>
    </row>
    <row r="51" spans="1:13" ht="15.75" thickBot="1">
      <c r="A51" s="304"/>
      <c r="B51" s="110" t="s">
        <v>1674</v>
      </c>
      <c r="C51" s="111"/>
      <c r="D51" s="111"/>
      <c r="E51" s="112"/>
      <c r="F51" s="111"/>
      <c r="G51" s="111"/>
      <c r="H51" s="111"/>
      <c r="I51" s="111"/>
      <c r="J51" s="112"/>
      <c r="K51" s="111"/>
      <c r="L51" s="113" t="s">
        <v>1675</v>
      </c>
      <c r="M51" s="307"/>
    </row>
    <row r="52" spans="1:13" ht="15.75" thickBot="1">
      <c r="A52" s="304"/>
      <c r="B52" s="110" t="s">
        <v>1676</v>
      </c>
      <c r="C52" s="111"/>
      <c r="D52" s="111"/>
      <c r="E52" s="112"/>
      <c r="F52" s="111"/>
      <c r="G52" s="111"/>
      <c r="H52" s="111"/>
      <c r="I52" s="111"/>
      <c r="J52" s="112"/>
      <c r="K52" s="111"/>
      <c r="L52" s="113" t="s">
        <v>1677</v>
      </c>
      <c r="M52" s="307"/>
    </row>
    <row r="53" spans="1:13" ht="15.75" thickBot="1">
      <c r="A53" s="304"/>
      <c r="B53" s="110" t="s">
        <v>1678</v>
      </c>
      <c r="C53" s="111"/>
      <c r="D53" s="111"/>
      <c r="E53" s="112"/>
      <c r="F53" s="111"/>
      <c r="G53" s="111"/>
      <c r="H53" s="111"/>
      <c r="I53" s="111"/>
      <c r="J53" s="112"/>
      <c r="K53" s="111"/>
      <c r="L53" s="113" t="s">
        <v>1679</v>
      </c>
      <c r="M53" s="307"/>
    </row>
    <row r="54" spans="1:13" ht="15.75" thickBot="1">
      <c r="A54" s="304"/>
      <c r="B54" s="110" t="s">
        <v>1680</v>
      </c>
      <c r="C54" s="111"/>
      <c r="D54" s="111"/>
      <c r="E54" s="112"/>
      <c r="F54" s="111"/>
      <c r="G54" s="111"/>
      <c r="H54" s="111"/>
      <c r="I54" s="111"/>
      <c r="J54" s="112"/>
      <c r="K54" s="111"/>
      <c r="L54" s="113" t="s">
        <v>1681</v>
      </c>
      <c r="M54" s="307"/>
    </row>
    <row r="55" spans="1:13" ht="26.25" thickBot="1">
      <c r="A55" s="304"/>
      <c r="B55" s="110" t="s">
        <v>1682</v>
      </c>
      <c r="C55" s="111"/>
      <c r="D55" s="111"/>
      <c r="E55" s="112"/>
      <c r="F55" s="111"/>
      <c r="G55" s="111"/>
      <c r="H55" s="111"/>
      <c r="I55" s="111"/>
      <c r="J55" s="112"/>
      <c r="K55" s="111"/>
      <c r="L55" s="113" t="s">
        <v>1683</v>
      </c>
      <c r="M55" s="307"/>
    </row>
    <row r="56" spans="1:13" ht="15.75" thickBot="1">
      <c r="A56" s="304"/>
      <c r="B56" s="110" t="s">
        <v>1684</v>
      </c>
      <c r="C56" s="111"/>
      <c r="D56" s="111"/>
      <c r="E56" s="112"/>
      <c r="F56" s="111"/>
      <c r="G56" s="111"/>
      <c r="H56" s="111"/>
      <c r="I56" s="111"/>
      <c r="J56" s="112"/>
      <c r="K56" s="111"/>
      <c r="L56" s="113" t="s">
        <v>1685</v>
      </c>
      <c r="M56" s="307"/>
    </row>
    <row r="57" spans="1:13" ht="15.75" thickBot="1">
      <c r="A57" s="304"/>
      <c r="B57" s="110" t="s">
        <v>1686</v>
      </c>
      <c r="C57" s="111">
        <v>1438564843</v>
      </c>
      <c r="D57" s="111">
        <v>129308517</v>
      </c>
      <c r="E57" s="112">
        <v>127551800</v>
      </c>
      <c r="F57" s="111">
        <v>2090</v>
      </c>
      <c r="G57" s="111"/>
      <c r="H57" s="111"/>
      <c r="I57" s="111"/>
      <c r="J57" s="112"/>
      <c r="K57" s="111">
        <v>1440323650</v>
      </c>
      <c r="L57" s="113" t="s">
        <v>1687</v>
      </c>
      <c r="M57" s="307"/>
    </row>
    <row r="58" spans="1:13" ht="15.75" thickBot="1">
      <c r="A58" s="304"/>
      <c r="B58" s="110" t="s">
        <v>1688</v>
      </c>
      <c r="C58" s="111">
        <v>4128006340</v>
      </c>
      <c r="D58" s="111">
        <v>488411977</v>
      </c>
      <c r="E58" s="112">
        <v>226390820</v>
      </c>
      <c r="F58" s="111">
        <v>-4589664</v>
      </c>
      <c r="G58" s="111">
        <v>-296570</v>
      </c>
      <c r="H58" s="111">
        <v>250344</v>
      </c>
      <c r="I58" s="111"/>
      <c r="J58" s="112"/>
      <c r="K58" s="111">
        <v>4385391607</v>
      </c>
      <c r="L58" s="113" t="s">
        <v>1689</v>
      </c>
      <c r="M58" s="307"/>
    </row>
    <row r="59" spans="1:13" ht="15.75" thickBot="1">
      <c r="A59" s="304"/>
      <c r="B59" s="110" t="s">
        <v>1690</v>
      </c>
      <c r="C59" s="111"/>
      <c r="D59" s="111"/>
      <c r="E59" s="112"/>
      <c r="F59" s="111"/>
      <c r="G59" s="111"/>
      <c r="H59" s="111"/>
      <c r="I59" s="111"/>
      <c r="J59" s="112"/>
      <c r="K59" s="111"/>
      <c r="L59" s="113" t="s">
        <v>1691</v>
      </c>
      <c r="M59" s="307"/>
    </row>
    <row r="60" spans="1:13" ht="26.25" thickBot="1">
      <c r="A60" s="304"/>
      <c r="B60" s="110" t="s">
        <v>1692</v>
      </c>
      <c r="C60" s="111"/>
      <c r="D60" s="111"/>
      <c r="E60" s="112"/>
      <c r="F60" s="111"/>
      <c r="G60" s="111"/>
      <c r="H60" s="111"/>
      <c r="I60" s="111"/>
      <c r="J60" s="112"/>
      <c r="K60" s="111"/>
      <c r="L60" s="113" t="s">
        <v>1693</v>
      </c>
      <c r="M60" s="307"/>
    </row>
    <row r="61" spans="1:13" ht="15.75" thickBot="1">
      <c r="A61" s="304"/>
      <c r="B61" s="110" t="s">
        <v>1694</v>
      </c>
      <c r="C61" s="111"/>
      <c r="D61" s="111"/>
      <c r="E61" s="112"/>
      <c r="F61" s="111"/>
      <c r="G61" s="111"/>
      <c r="H61" s="111"/>
      <c r="I61" s="111"/>
      <c r="J61" s="112"/>
      <c r="K61" s="111"/>
      <c r="L61" s="113" t="s">
        <v>1695</v>
      </c>
      <c r="M61" s="307"/>
    </row>
    <row r="62" spans="1:13" ht="15.75" thickBot="1">
      <c r="A62" s="304"/>
      <c r="B62" s="110" t="s">
        <v>1696</v>
      </c>
      <c r="C62" s="111"/>
      <c r="D62" s="111"/>
      <c r="E62" s="112"/>
      <c r="F62" s="111"/>
      <c r="G62" s="111"/>
      <c r="H62" s="111"/>
      <c r="I62" s="111"/>
      <c r="J62" s="112"/>
      <c r="K62" s="111"/>
      <c r="L62" s="113" t="s">
        <v>1697</v>
      </c>
      <c r="M62" s="307"/>
    </row>
    <row r="63" spans="1:13" ht="26.25" thickBot="1">
      <c r="A63" s="304"/>
      <c r="B63" s="110" t="s">
        <v>1698</v>
      </c>
      <c r="C63" s="111"/>
      <c r="D63" s="111"/>
      <c r="E63" s="112"/>
      <c r="F63" s="111"/>
      <c r="G63" s="111"/>
      <c r="H63" s="111"/>
      <c r="I63" s="111"/>
      <c r="J63" s="112"/>
      <c r="K63" s="111"/>
      <c r="L63" s="113" t="s">
        <v>1699</v>
      </c>
      <c r="M63" s="307"/>
    </row>
    <row r="64" spans="1:13" ht="15.75" thickBot="1">
      <c r="A64" s="304"/>
      <c r="B64" s="110" t="s">
        <v>1700</v>
      </c>
      <c r="C64" s="111"/>
      <c r="D64" s="111"/>
      <c r="E64" s="112"/>
      <c r="F64" s="111"/>
      <c r="G64" s="111"/>
      <c r="H64" s="111"/>
      <c r="I64" s="111"/>
      <c r="J64" s="112"/>
      <c r="K64" s="111"/>
      <c r="L64" s="113" t="s">
        <v>1701</v>
      </c>
      <c r="M64" s="307"/>
    </row>
    <row r="65" spans="1:13" ht="15.75" thickBot="1">
      <c r="A65" s="304"/>
      <c r="B65" s="110" t="s">
        <v>1702</v>
      </c>
      <c r="C65" s="111"/>
      <c r="D65" s="111"/>
      <c r="E65" s="112"/>
      <c r="F65" s="111"/>
      <c r="G65" s="111"/>
      <c r="H65" s="111"/>
      <c r="I65" s="111"/>
      <c r="J65" s="112"/>
      <c r="K65" s="111"/>
      <c r="L65" s="113" t="s">
        <v>1703</v>
      </c>
      <c r="M65" s="307"/>
    </row>
    <row r="66" spans="1:13" ht="15.75" thickBot="1">
      <c r="A66" s="304"/>
      <c r="B66" s="110" t="s">
        <v>1704</v>
      </c>
      <c r="C66" s="111"/>
      <c r="D66" s="111"/>
      <c r="E66" s="112"/>
      <c r="F66" s="111"/>
      <c r="G66" s="111"/>
      <c r="H66" s="111"/>
      <c r="I66" s="111"/>
      <c r="J66" s="112"/>
      <c r="K66" s="111"/>
      <c r="L66" s="113" t="s">
        <v>1705</v>
      </c>
      <c r="M66" s="307"/>
    </row>
    <row r="67" spans="1:13" ht="15.75" thickBot="1">
      <c r="A67" s="304"/>
      <c r="B67" s="110" t="s">
        <v>1706</v>
      </c>
      <c r="C67" s="111"/>
      <c r="D67" s="111"/>
      <c r="E67" s="112"/>
      <c r="F67" s="111"/>
      <c r="G67" s="111"/>
      <c r="H67" s="111"/>
      <c r="I67" s="111"/>
      <c r="J67" s="112"/>
      <c r="K67" s="111"/>
      <c r="L67" s="113" t="s">
        <v>1707</v>
      </c>
      <c r="M67" s="307"/>
    </row>
    <row r="68" spans="1:13" ht="15.75" thickBot="1">
      <c r="A68" s="304"/>
      <c r="B68" s="110" t="s">
        <v>1708</v>
      </c>
      <c r="C68" s="111"/>
      <c r="D68" s="111"/>
      <c r="E68" s="112"/>
      <c r="F68" s="111"/>
      <c r="G68" s="111"/>
      <c r="H68" s="111"/>
      <c r="I68" s="111"/>
      <c r="J68" s="112"/>
      <c r="K68" s="111"/>
      <c r="L68" s="113" t="s">
        <v>1709</v>
      </c>
      <c r="M68" s="307"/>
    </row>
    <row r="69" spans="1:13" ht="26.25" thickBot="1">
      <c r="A69" s="304"/>
      <c r="B69" s="110" t="s">
        <v>1710</v>
      </c>
      <c r="C69" s="111"/>
      <c r="D69" s="111"/>
      <c r="E69" s="112"/>
      <c r="F69" s="111"/>
      <c r="G69" s="111"/>
      <c r="H69" s="111"/>
      <c r="I69" s="111"/>
      <c r="J69" s="112"/>
      <c r="K69" s="111"/>
      <c r="L69" s="113" t="s">
        <v>1711</v>
      </c>
      <c r="M69" s="307"/>
    </row>
    <row r="70" spans="1:13" ht="15.75" thickBot="1">
      <c r="A70" s="304"/>
      <c r="B70" s="110" t="s">
        <v>1712</v>
      </c>
      <c r="C70" s="111"/>
      <c r="D70" s="111"/>
      <c r="E70" s="112"/>
      <c r="F70" s="111"/>
      <c r="G70" s="111"/>
      <c r="H70" s="111"/>
      <c r="I70" s="111"/>
      <c r="J70" s="112"/>
      <c r="K70" s="111"/>
      <c r="L70" s="113" t="s">
        <v>1713</v>
      </c>
      <c r="M70" s="307"/>
    </row>
    <row r="71" spans="1:13" ht="15.75" thickBot="1">
      <c r="A71" s="304"/>
      <c r="B71" s="110" t="s">
        <v>1714</v>
      </c>
      <c r="C71" s="111"/>
      <c r="D71" s="111"/>
      <c r="E71" s="112"/>
      <c r="F71" s="111"/>
      <c r="G71" s="111"/>
      <c r="H71" s="111"/>
      <c r="I71" s="111"/>
      <c r="J71" s="112"/>
      <c r="K71" s="111"/>
      <c r="L71" s="113" t="s">
        <v>1715</v>
      </c>
      <c r="M71" s="307"/>
    </row>
    <row r="72" spans="1:13" ht="15.75" thickBot="1">
      <c r="A72" s="304"/>
      <c r="B72" s="110" t="s">
        <v>627</v>
      </c>
      <c r="C72" s="111"/>
      <c r="D72" s="111"/>
      <c r="E72" s="112"/>
      <c r="F72" s="111"/>
      <c r="G72" s="111"/>
      <c r="H72" s="111"/>
      <c r="I72" s="111"/>
      <c r="J72" s="112"/>
      <c r="K72" s="111"/>
      <c r="L72" s="113" t="s">
        <v>628</v>
      </c>
      <c r="M72" s="307"/>
    </row>
    <row r="73" spans="1:13" ht="15.75" thickBot="1">
      <c r="A73" s="304"/>
      <c r="B73" s="110" t="s">
        <v>1716</v>
      </c>
      <c r="C73" s="111"/>
      <c r="D73" s="111"/>
      <c r="E73" s="112"/>
      <c r="F73" s="111"/>
      <c r="G73" s="111"/>
      <c r="H73" s="111"/>
      <c r="I73" s="111"/>
      <c r="J73" s="112"/>
      <c r="K73" s="111"/>
      <c r="L73" s="113" t="s">
        <v>1717</v>
      </c>
      <c r="M73" s="307"/>
    </row>
    <row r="74" spans="1:13" ht="26.25" thickBot="1">
      <c r="A74" s="304"/>
      <c r="B74" s="110" t="s">
        <v>1718</v>
      </c>
      <c r="C74" s="111"/>
      <c r="D74" s="111"/>
      <c r="E74" s="112"/>
      <c r="F74" s="111"/>
      <c r="G74" s="111"/>
      <c r="H74" s="111"/>
      <c r="I74" s="111"/>
      <c r="J74" s="112"/>
      <c r="K74" s="111"/>
      <c r="L74" s="113" t="s">
        <v>1719</v>
      </c>
      <c r="M74" s="307"/>
    </row>
    <row r="75" spans="1:13" ht="26.25" thickBot="1">
      <c r="A75" s="304"/>
      <c r="B75" s="110" t="s">
        <v>1720</v>
      </c>
      <c r="C75" s="111"/>
      <c r="D75" s="111"/>
      <c r="E75" s="112"/>
      <c r="F75" s="111"/>
      <c r="G75" s="111"/>
      <c r="H75" s="111"/>
      <c r="I75" s="111"/>
      <c r="J75" s="112"/>
      <c r="K75" s="111"/>
      <c r="L75" s="113" t="s">
        <v>1721</v>
      </c>
      <c r="M75" s="307"/>
    </row>
    <row r="76" spans="1:13" ht="26.25" thickBot="1">
      <c r="A76" s="304"/>
      <c r="B76" s="110" t="s">
        <v>1722</v>
      </c>
      <c r="C76" s="111"/>
      <c r="D76" s="111"/>
      <c r="E76" s="112"/>
      <c r="F76" s="111"/>
      <c r="G76" s="111"/>
      <c r="H76" s="111"/>
      <c r="I76" s="111"/>
      <c r="J76" s="112"/>
      <c r="K76" s="111"/>
      <c r="L76" s="113" t="s">
        <v>1723</v>
      </c>
      <c r="M76" s="307"/>
    </row>
    <row r="77" spans="1:13" ht="26.25" thickBot="1">
      <c r="A77" s="304"/>
      <c r="B77" s="110" t="s">
        <v>1724</v>
      </c>
      <c r="C77" s="111"/>
      <c r="D77" s="111"/>
      <c r="E77" s="112"/>
      <c r="F77" s="111"/>
      <c r="G77" s="111"/>
      <c r="H77" s="111"/>
      <c r="I77" s="111"/>
      <c r="J77" s="112"/>
      <c r="K77" s="111"/>
      <c r="L77" s="113" t="s">
        <v>1725</v>
      </c>
      <c r="M77" s="307"/>
    </row>
    <row r="78" spans="1:13" ht="26.25" thickBot="1">
      <c r="A78" s="304"/>
      <c r="B78" s="110" t="s">
        <v>1726</v>
      </c>
      <c r="C78" s="111"/>
      <c r="D78" s="111"/>
      <c r="E78" s="112"/>
      <c r="F78" s="111"/>
      <c r="G78" s="111"/>
      <c r="H78" s="111"/>
      <c r="I78" s="111"/>
      <c r="J78" s="112"/>
      <c r="K78" s="111"/>
      <c r="L78" s="113" t="s">
        <v>1727</v>
      </c>
      <c r="M78" s="307"/>
    </row>
    <row r="79" spans="1:13" ht="15.75" thickBot="1">
      <c r="A79" s="304"/>
      <c r="B79" s="110" t="s">
        <v>1728</v>
      </c>
      <c r="C79" s="111"/>
      <c r="D79" s="111"/>
      <c r="E79" s="112"/>
      <c r="F79" s="111"/>
      <c r="G79" s="111"/>
      <c r="H79" s="111"/>
      <c r="I79" s="111"/>
      <c r="J79" s="112"/>
      <c r="K79" s="111"/>
      <c r="L79" s="113" t="s">
        <v>1729</v>
      </c>
      <c r="M79" s="307"/>
    </row>
    <row r="80" spans="1:13" ht="15.75" thickBot="1">
      <c r="A80" s="304"/>
      <c r="B80" s="110" t="s">
        <v>1730</v>
      </c>
      <c r="C80" s="111"/>
      <c r="D80" s="111"/>
      <c r="E80" s="112"/>
      <c r="F80" s="111"/>
      <c r="G80" s="111"/>
      <c r="H80" s="111"/>
      <c r="I80" s="111"/>
      <c r="J80" s="112"/>
      <c r="K80" s="111"/>
      <c r="L80" s="113" t="s">
        <v>1731</v>
      </c>
      <c r="M80" s="307"/>
    </row>
    <row r="81" spans="1:13" ht="15.75" thickBot="1">
      <c r="A81" s="305"/>
      <c r="B81" s="110" t="s">
        <v>625</v>
      </c>
      <c r="C81" s="111">
        <v>4128006340</v>
      </c>
      <c r="D81" s="111">
        <v>488411977</v>
      </c>
      <c r="E81" s="112">
        <v>226390820</v>
      </c>
      <c r="F81" s="111">
        <v>-4589664</v>
      </c>
      <c r="G81" s="111">
        <v>-296570</v>
      </c>
      <c r="H81" s="111">
        <v>250344</v>
      </c>
      <c r="I81" s="111"/>
      <c r="J81" s="112"/>
      <c r="K81" s="111">
        <v>4385391607</v>
      </c>
      <c r="L81" s="113" t="s">
        <v>626</v>
      </c>
      <c r="M81" s="308"/>
    </row>
    <row r="82" spans="1:13" ht="17.25" customHeight="1">
      <c r="A82" s="309" t="s">
        <v>625</v>
      </c>
      <c r="B82" s="309"/>
      <c r="C82" s="309"/>
      <c r="D82" s="309"/>
      <c r="E82" s="309"/>
      <c r="F82" s="309"/>
      <c r="G82" s="310" t="s">
        <v>626</v>
      </c>
      <c r="H82" s="310"/>
      <c r="I82" s="310"/>
      <c r="J82" s="310"/>
      <c r="K82" s="310"/>
      <c r="L82" s="310"/>
      <c r="M82" s="310"/>
    </row>
    <row r="83" spans="1:13">
      <c r="A83" s="311"/>
      <c r="B83" s="311"/>
      <c r="C83" s="312" t="s">
        <v>1650</v>
      </c>
      <c r="D83" s="312"/>
      <c r="E83" s="312"/>
      <c r="F83" s="312"/>
      <c r="G83" s="312"/>
      <c r="H83" s="312"/>
      <c r="I83" s="312"/>
      <c r="J83" s="312"/>
      <c r="K83" s="312"/>
      <c r="L83" s="311"/>
      <c r="M83" s="311"/>
    </row>
    <row r="84" spans="1:13" ht="23.25">
      <c r="A84" s="311"/>
      <c r="B84" s="311"/>
      <c r="C84" s="109" t="s">
        <v>625</v>
      </c>
      <c r="D84" s="109" t="s">
        <v>1651</v>
      </c>
      <c r="E84" s="109" t="s">
        <v>1652</v>
      </c>
      <c r="F84" s="109" t="s">
        <v>1653</v>
      </c>
      <c r="G84" s="109" t="s">
        <v>1654</v>
      </c>
      <c r="H84" s="109" t="s">
        <v>1655</v>
      </c>
      <c r="I84" s="109" t="s">
        <v>1656</v>
      </c>
      <c r="J84" s="109" t="s">
        <v>1657</v>
      </c>
      <c r="K84" s="109" t="s">
        <v>625</v>
      </c>
      <c r="L84" s="311"/>
      <c r="M84" s="311"/>
    </row>
    <row r="85" spans="1:13" ht="15.75" thickBot="1">
      <c r="A85" s="110" t="s">
        <v>1734</v>
      </c>
      <c r="B85" s="110" t="s">
        <v>625</v>
      </c>
      <c r="C85" s="111">
        <v>5584109196</v>
      </c>
      <c r="D85" s="111">
        <v>347985785</v>
      </c>
      <c r="E85" s="112">
        <v>6165908</v>
      </c>
      <c r="F85" s="111">
        <v>847859</v>
      </c>
      <c r="G85" s="111">
        <v>-926495</v>
      </c>
      <c r="H85" s="111">
        <v>4846215</v>
      </c>
      <c r="I85" s="111"/>
      <c r="J85" s="112"/>
      <c r="K85" s="111">
        <v>5930696652</v>
      </c>
      <c r="L85" s="113" t="s">
        <v>626</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E81F750-8F5D-492F-BB97-11C32E78FDCD}">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C23C5-B7DC-4A8F-9716-8AEFD85CFB4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15" t="s">
        <v>1737</v>
      </c>
      <c r="B1" s="316"/>
      <c r="C1" s="316"/>
    </row>
    <row r="3" spans="1:3" ht="17.25" customHeight="1">
      <c r="A3" s="115" t="s">
        <v>1738</v>
      </c>
      <c r="B3" s="317" t="s">
        <v>1739</v>
      </c>
      <c r="C3" s="317"/>
    </row>
    <row r="4" spans="1:3">
      <c r="A4" s="116"/>
      <c r="B4" s="117" t="s">
        <v>104</v>
      </c>
    </row>
    <row r="5" spans="1:3" ht="15.75" thickBot="1">
      <c r="A5" s="118" t="s">
        <v>1738</v>
      </c>
      <c r="B5" s="119"/>
      <c r="C5" s="120" t="s">
        <v>1739</v>
      </c>
    </row>
    <row r="6" spans="1:3" ht="75" customHeight="1" thickBot="1">
      <c r="A6" s="121" t="s">
        <v>1740</v>
      </c>
      <c r="B6" s="122" t="s">
        <v>1741</v>
      </c>
      <c r="C6" s="120"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4C4060-4FA8-4A68-A61A-07C3B82B7021}">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5BECC-658E-4135-A039-380141CA402A}">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1743</v>
      </c>
    </row>
    <row r="3" spans="1:13" ht="17.25" customHeight="1">
      <c r="A3" s="328" t="s">
        <v>627</v>
      </c>
      <c r="B3" s="328"/>
      <c r="C3" s="328"/>
      <c r="D3" s="328"/>
      <c r="E3" s="328"/>
      <c r="F3" s="328"/>
      <c r="G3" s="329" t="s">
        <v>628</v>
      </c>
      <c r="H3" s="329"/>
      <c r="I3" s="329"/>
      <c r="J3" s="329"/>
      <c r="K3" s="329"/>
      <c r="L3" s="329"/>
      <c r="M3" s="329"/>
    </row>
    <row r="4" spans="1:13">
      <c r="A4" s="326"/>
      <c r="B4" s="326"/>
      <c r="C4" s="327" t="s">
        <v>1744</v>
      </c>
      <c r="D4" s="327"/>
      <c r="E4" s="327"/>
      <c r="F4" s="327"/>
      <c r="G4" s="327"/>
      <c r="H4" s="327"/>
      <c r="I4" s="327"/>
      <c r="J4" s="327"/>
      <c r="K4" s="327"/>
      <c r="L4" s="326"/>
      <c r="M4" s="326"/>
    </row>
    <row r="5" spans="1:13" ht="23.25">
      <c r="A5" s="326"/>
      <c r="B5" s="326"/>
      <c r="C5" s="125" t="s">
        <v>627</v>
      </c>
      <c r="D5" s="125" t="s">
        <v>1745</v>
      </c>
      <c r="E5" s="125" t="s">
        <v>1746</v>
      </c>
      <c r="F5" s="125" t="s">
        <v>1747</v>
      </c>
      <c r="G5" s="125" t="s">
        <v>1748</v>
      </c>
      <c r="H5" s="125" t="s">
        <v>1749</v>
      </c>
      <c r="I5" s="125" t="s">
        <v>1750</v>
      </c>
      <c r="J5" s="125" t="s">
        <v>1751</v>
      </c>
      <c r="K5" s="125" t="s">
        <v>627</v>
      </c>
      <c r="L5" s="326"/>
      <c r="M5" s="326"/>
    </row>
    <row r="6" spans="1:13" ht="15.75" thickBot="1">
      <c r="A6" s="319" t="s">
        <v>1658</v>
      </c>
      <c r="B6" s="126" t="s">
        <v>1690</v>
      </c>
      <c r="C6" s="127"/>
      <c r="D6" s="127"/>
      <c r="E6" s="128"/>
      <c r="F6" s="127"/>
      <c r="G6" s="127"/>
      <c r="H6" s="127"/>
      <c r="I6" s="127"/>
      <c r="J6" s="128"/>
      <c r="K6" s="127"/>
      <c r="L6" s="129" t="s">
        <v>1691</v>
      </c>
      <c r="M6" s="322" t="s">
        <v>1661</v>
      </c>
    </row>
    <row r="7" spans="1:13" ht="26.25" thickBot="1">
      <c r="A7" s="319"/>
      <c r="B7" s="126" t="s">
        <v>1692</v>
      </c>
      <c r="C7" s="127"/>
      <c r="D7" s="127"/>
      <c r="E7" s="128"/>
      <c r="F7" s="127"/>
      <c r="G7" s="127"/>
      <c r="H7" s="127"/>
      <c r="I7" s="127"/>
      <c r="J7" s="128"/>
      <c r="K7" s="127"/>
      <c r="L7" s="129" t="s">
        <v>1693</v>
      </c>
      <c r="M7" s="322"/>
    </row>
    <row r="8" spans="1:13" ht="15.75" thickBot="1">
      <c r="A8" s="319"/>
      <c r="B8" s="126" t="s">
        <v>1694</v>
      </c>
      <c r="C8" s="127"/>
      <c r="D8" s="127"/>
      <c r="E8" s="128"/>
      <c r="F8" s="127"/>
      <c r="G8" s="127"/>
      <c r="H8" s="127"/>
      <c r="I8" s="127"/>
      <c r="J8" s="128"/>
      <c r="K8" s="127"/>
      <c r="L8" s="129" t="s">
        <v>1695</v>
      </c>
      <c r="M8" s="322"/>
    </row>
    <row r="9" spans="1:13" ht="15.75" thickBot="1">
      <c r="A9" s="319"/>
      <c r="B9" s="126" t="s">
        <v>1696</v>
      </c>
      <c r="C9" s="127">
        <v>165996404</v>
      </c>
      <c r="D9" s="127">
        <v>30270006</v>
      </c>
      <c r="E9" s="128">
        <v>7569723</v>
      </c>
      <c r="F9" s="127"/>
      <c r="G9" s="127">
        <v>304668</v>
      </c>
      <c r="H9" s="127">
        <v>124668913</v>
      </c>
      <c r="I9" s="127"/>
      <c r="J9" s="128"/>
      <c r="K9" s="127">
        <v>313670268</v>
      </c>
      <c r="L9" s="129" t="s">
        <v>1697</v>
      </c>
      <c r="M9" s="322"/>
    </row>
    <row r="10" spans="1:13" ht="15.75" thickBot="1">
      <c r="A10" s="319"/>
      <c r="B10" s="126" t="s">
        <v>1702</v>
      </c>
      <c r="C10" s="127"/>
      <c r="D10" s="127"/>
      <c r="E10" s="128"/>
      <c r="F10" s="127"/>
      <c r="G10" s="127"/>
      <c r="H10" s="127"/>
      <c r="I10" s="127"/>
      <c r="J10" s="128"/>
      <c r="K10" s="127"/>
      <c r="L10" s="129" t="s">
        <v>1703</v>
      </c>
      <c r="M10" s="322"/>
    </row>
    <row r="11" spans="1:13" ht="15.75" thickBot="1">
      <c r="A11" s="319"/>
      <c r="B11" s="126" t="s">
        <v>1704</v>
      </c>
      <c r="C11" s="127"/>
      <c r="D11" s="127"/>
      <c r="E11" s="128"/>
      <c r="F11" s="127"/>
      <c r="G11" s="127"/>
      <c r="H11" s="127"/>
      <c r="I11" s="127"/>
      <c r="J11" s="128"/>
      <c r="K11" s="127"/>
      <c r="L11" s="129" t="s">
        <v>1705</v>
      </c>
      <c r="M11" s="322"/>
    </row>
    <row r="12" spans="1:13" ht="15.75" thickBot="1">
      <c r="A12" s="319"/>
      <c r="B12" s="126" t="s">
        <v>1714</v>
      </c>
      <c r="C12" s="127">
        <v>2306803</v>
      </c>
      <c r="D12" s="127"/>
      <c r="E12" s="128"/>
      <c r="F12" s="127"/>
      <c r="G12" s="127"/>
      <c r="H12" s="127">
        <v>67309000</v>
      </c>
      <c r="I12" s="127"/>
      <c r="J12" s="128"/>
      <c r="K12" s="127">
        <v>69615803</v>
      </c>
      <c r="L12" s="129" t="s">
        <v>1715</v>
      </c>
      <c r="M12" s="322"/>
    </row>
    <row r="13" spans="1:13" ht="15.75" thickBot="1">
      <c r="A13" s="320"/>
      <c r="B13" s="126" t="s">
        <v>627</v>
      </c>
      <c r="C13" s="127">
        <v>168303207</v>
      </c>
      <c r="D13" s="127">
        <v>30270006</v>
      </c>
      <c r="E13" s="128">
        <v>7569723</v>
      </c>
      <c r="F13" s="127"/>
      <c r="G13" s="127">
        <v>304668</v>
      </c>
      <c r="H13" s="127">
        <v>191977913</v>
      </c>
      <c r="I13" s="127"/>
      <c r="J13" s="128"/>
      <c r="K13" s="127">
        <v>383286071</v>
      </c>
      <c r="L13" s="129" t="s">
        <v>628</v>
      </c>
      <c r="M13" s="323"/>
    </row>
    <row r="14" spans="1:13" ht="15.75" thickBot="1">
      <c r="A14" s="318" t="s">
        <v>1732</v>
      </c>
      <c r="B14" s="126" t="s">
        <v>1690</v>
      </c>
      <c r="C14" s="127"/>
      <c r="D14" s="127"/>
      <c r="E14" s="128"/>
      <c r="F14" s="127"/>
      <c r="G14" s="127"/>
      <c r="H14" s="127"/>
      <c r="I14" s="127"/>
      <c r="J14" s="128"/>
      <c r="K14" s="127"/>
      <c r="L14" s="129" t="s">
        <v>1691</v>
      </c>
      <c r="M14" s="321" t="s">
        <v>1733</v>
      </c>
    </row>
    <row r="15" spans="1:13" ht="26.25" thickBot="1">
      <c r="A15" s="319"/>
      <c r="B15" s="126" t="s">
        <v>1692</v>
      </c>
      <c r="C15" s="127"/>
      <c r="D15" s="127"/>
      <c r="E15" s="128"/>
      <c r="F15" s="127"/>
      <c r="G15" s="127"/>
      <c r="H15" s="127"/>
      <c r="I15" s="127"/>
      <c r="J15" s="128"/>
      <c r="K15" s="127"/>
      <c r="L15" s="129" t="s">
        <v>1693</v>
      </c>
      <c r="M15" s="322"/>
    </row>
    <row r="16" spans="1:13" ht="15.75" thickBot="1">
      <c r="A16" s="319"/>
      <c r="B16" s="126" t="s">
        <v>1694</v>
      </c>
      <c r="C16" s="127"/>
      <c r="D16" s="127"/>
      <c r="E16" s="128"/>
      <c r="F16" s="127"/>
      <c r="G16" s="127"/>
      <c r="H16" s="127"/>
      <c r="I16" s="127"/>
      <c r="J16" s="128"/>
      <c r="K16" s="127"/>
      <c r="L16" s="129" t="s">
        <v>1695</v>
      </c>
      <c r="M16" s="322"/>
    </row>
    <row r="17" spans="1:13" ht="15.75" thickBot="1">
      <c r="A17" s="319"/>
      <c r="B17" s="126" t="s">
        <v>1696</v>
      </c>
      <c r="C17" s="127">
        <v>40343656</v>
      </c>
      <c r="D17" s="127">
        <v>17445312</v>
      </c>
      <c r="E17" s="128">
        <v>1350315</v>
      </c>
      <c r="F17" s="127"/>
      <c r="G17" s="127">
        <v>172289</v>
      </c>
      <c r="H17" s="127">
        <v>78601185</v>
      </c>
      <c r="I17" s="127"/>
      <c r="J17" s="128"/>
      <c r="K17" s="127">
        <v>135212127</v>
      </c>
      <c r="L17" s="129" t="s">
        <v>1697</v>
      </c>
      <c r="M17" s="322"/>
    </row>
    <row r="18" spans="1:13" ht="15.75" thickBot="1">
      <c r="A18" s="319"/>
      <c r="B18" s="126" t="s">
        <v>1702</v>
      </c>
      <c r="C18" s="127"/>
      <c r="D18" s="127"/>
      <c r="E18" s="128"/>
      <c r="F18" s="127"/>
      <c r="G18" s="127"/>
      <c r="H18" s="127"/>
      <c r="I18" s="127"/>
      <c r="J18" s="128"/>
      <c r="K18" s="127"/>
      <c r="L18" s="129" t="s">
        <v>1703</v>
      </c>
      <c r="M18" s="322"/>
    </row>
    <row r="19" spans="1:13" ht="15.75" thickBot="1">
      <c r="A19" s="319"/>
      <c r="B19" s="126" t="s">
        <v>1704</v>
      </c>
      <c r="C19" s="127"/>
      <c r="D19" s="127"/>
      <c r="E19" s="128"/>
      <c r="F19" s="127"/>
      <c r="G19" s="127"/>
      <c r="H19" s="127"/>
      <c r="I19" s="127"/>
      <c r="J19" s="128"/>
      <c r="K19" s="127"/>
      <c r="L19" s="129" t="s">
        <v>1705</v>
      </c>
      <c r="M19" s="322"/>
    </row>
    <row r="20" spans="1:13" ht="15.75" thickBot="1">
      <c r="A20" s="319"/>
      <c r="B20" s="126" t="s">
        <v>1714</v>
      </c>
      <c r="C20" s="127">
        <v>863426</v>
      </c>
      <c r="D20" s="127">
        <v>946502</v>
      </c>
      <c r="E20" s="128"/>
      <c r="F20" s="127"/>
      <c r="G20" s="127"/>
      <c r="H20" s="127">
        <v>36786945</v>
      </c>
      <c r="I20" s="127"/>
      <c r="J20" s="128"/>
      <c r="K20" s="127">
        <v>38596873</v>
      </c>
      <c r="L20" s="129" t="s">
        <v>1715</v>
      </c>
      <c r="M20" s="322"/>
    </row>
    <row r="21" spans="1:13" ht="15.75" thickBot="1">
      <c r="A21" s="320"/>
      <c r="B21" s="126" t="s">
        <v>627</v>
      </c>
      <c r="C21" s="127">
        <v>41207082</v>
      </c>
      <c r="D21" s="127">
        <v>18391814</v>
      </c>
      <c r="E21" s="128">
        <v>1350315</v>
      </c>
      <c r="F21" s="127"/>
      <c r="G21" s="127">
        <v>172289</v>
      </c>
      <c r="H21" s="127">
        <v>115388130</v>
      </c>
      <c r="I21" s="127"/>
      <c r="J21" s="128"/>
      <c r="K21" s="127">
        <v>173809000</v>
      </c>
      <c r="L21" s="129" t="s">
        <v>628</v>
      </c>
      <c r="M21" s="323"/>
    </row>
    <row r="22" spans="1:13" ht="17.25" customHeight="1">
      <c r="A22" s="324" t="s">
        <v>627</v>
      </c>
      <c r="B22" s="324"/>
      <c r="C22" s="324"/>
      <c r="D22" s="324"/>
      <c r="E22" s="324"/>
      <c r="F22" s="324"/>
      <c r="G22" s="325" t="s">
        <v>628</v>
      </c>
      <c r="H22" s="325"/>
      <c r="I22" s="325"/>
      <c r="J22" s="325"/>
      <c r="K22" s="325"/>
      <c r="L22" s="325"/>
      <c r="M22" s="325"/>
    </row>
    <row r="23" spans="1:13">
      <c r="A23" s="326"/>
      <c r="B23" s="326"/>
      <c r="C23" s="327" t="s">
        <v>1744</v>
      </c>
      <c r="D23" s="327"/>
      <c r="E23" s="327"/>
      <c r="F23" s="327"/>
      <c r="G23" s="327"/>
      <c r="H23" s="327"/>
      <c r="I23" s="327"/>
      <c r="J23" s="327"/>
      <c r="K23" s="327"/>
      <c r="L23" s="326"/>
      <c r="M23" s="326"/>
    </row>
    <row r="24" spans="1:13" ht="23.25">
      <c r="A24" s="326"/>
      <c r="B24" s="326"/>
      <c r="C24" s="125" t="s">
        <v>627</v>
      </c>
      <c r="D24" s="125" t="s">
        <v>1745</v>
      </c>
      <c r="E24" s="125" t="s">
        <v>1746</v>
      </c>
      <c r="F24" s="125" t="s">
        <v>1747</v>
      </c>
      <c r="G24" s="125" t="s">
        <v>1748</v>
      </c>
      <c r="H24" s="125" t="s">
        <v>1749</v>
      </c>
      <c r="I24" s="125" t="s">
        <v>1750</v>
      </c>
      <c r="J24" s="125" t="s">
        <v>1751</v>
      </c>
      <c r="K24" s="125" t="s">
        <v>627</v>
      </c>
      <c r="L24" s="326"/>
      <c r="M24" s="326"/>
    </row>
    <row r="25" spans="1:13" ht="15.75" thickBot="1">
      <c r="A25" s="126" t="s">
        <v>1734</v>
      </c>
      <c r="B25" s="126" t="s">
        <v>627</v>
      </c>
      <c r="C25" s="127">
        <v>127096125</v>
      </c>
      <c r="D25" s="127">
        <v>11878192</v>
      </c>
      <c r="E25" s="128">
        <v>6219408</v>
      </c>
      <c r="F25" s="127"/>
      <c r="G25" s="127">
        <v>132379</v>
      </c>
      <c r="H25" s="127">
        <v>76589783</v>
      </c>
      <c r="I25" s="127"/>
      <c r="J25" s="128"/>
      <c r="K25" s="127">
        <v>209477071</v>
      </c>
      <c r="L25" s="129" t="s">
        <v>628</v>
      </c>
      <c r="M25" s="129"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104BDC3-18D6-4FA9-A1F6-AA49302A3425}">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DA257-3440-4CC0-AC8E-90BB8BFCB8DD}">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1752</v>
      </c>
    </row>
    <row r="3" spans="1:13" ht="17.25" customHeight="1">
      <c r="A3" s="334" t="s">
        <v>627</v>
      </c>
      <c r="B3" s="334"/>
      <c r="C3" s="334"/>
      <c r="D3" s="334"/>
      <c r="E3" s="334"/>
      <c r="F3" s="334"/>
      <c r="G3" s="335" t="s">
        <v>628</v>
      </c>
      <c r="H3" s="335"/>
      <c r="I3" s="335"/>
      <c r="J3" s="335"/>
      <c r="K3" s="335"/>
      <c r="L3" s="335"/>
      <c r="M3" s="335"/>
    </row>
    <row r="4" spans="1:13">
      <c r="A4" s="336"/>
      <c r="B4" s="336"/>
      <c r="C4" s="337" t="s">
        <v>1744</v>
      </c>
      <c r="D4" s="337"/>
      <c r="E4" s="337"/>
      <c r="F4" s="337"/>
      <c r="G4" s="337"/>
      <c r="H4" s="337"/>
      <c r="I4" s="337"/>
      <c r="J4" s="337"/>
      <c r="K4" s="337"/>
      <c r="L4" s="336"/>
      <c r="M4" s="336"/>
    </row>
    <row r="5" spans="1:13" ht="23.25">
      <c r="A5" s="336"/>
      <c r="B5" s="336"/>
      <c r="C5" s="132" t="s">
        <v>627</v>
      </c>
      <c r="D5" s="132" t="s">
        <v>1745</v>
      </c>
      <c r="E5" s="132" t="s">
        <v>1746</v>
      </c>
      <c r="F5" s="132" t="s">
        <v>1747</v>
      </c>
      <c r="G5" s="132" t="s">
        <v>1748</v>
      </c>
      <c r="H5" s="132" t="s">
        <v>1749</v>
      </c>
      <c r="I5" s="132" t="s">
        <v>1750</v>
      </c>
      <c r="J5" s="132" t="s">
        <v>1751</v>
      </c>
      <c r="K5" s="132" t="s">
        <v>627</v>
      </c>
      <c r="L5" s="336"/>
      <c r="M5" s="336"/>
    </row>
    <row r="6" spans="1:13" ht="15.75" thickBot="1">
      <c r="A6" s="330" t="s">
        <v>1658</v>
      </c>
      <c r="B6" s="133" t="s">
        <v>1690</v>
      </c>
      <c r="C6" s="134"/>
      <c r="D6" s="134"/>
      <c r="E6" s="135"/>
      <c r="F6" s="134"/>
      <c r="G6" s="134"/>
      <c r="H6" s="134"/>
      <c r="I6" s="134"/>
      <c r="J6" s="135"/>
      <c r="K6" s="134"/>
      <c r="L6" s="136" t="s">
        <v>1691</v>
      </c>
      <c r="M6" s="332" t="s">
        <v>1661</v>
      </c>
    </row>
    <row r="7" spans="1:13" ht="26.25" thickBot="1">
      <c r="A7" s="330"/>
      <c r="B7" s="133" t="s">
        <v>1692</v>
      </c>
      <c r="C7" s="134"/>
      <c r="D7" s="134"/>
      <c r="E7" s="135"/>
      <c r="F7" s="134"/>
      <c r="G7" s="134"/>
      <c r="H7" s="134"/>
      <c r="I7" s="134"/>
      <c r="J7" s="135"/>
      <c r="K7" s="134"/>
      <c r="L7" s="136" t="s">
        <v>1693</v>
      </c>
      <c r="M7" s="332"/>
    </row>
    <row r="8" spans="1:13" ht="15.75" thickBot="1">
      <c r="A8" s="330"/>
      <c r="B8" s="133" t="s">
        <v>1694</v>
      </c>
      <c r="C8" s="134"/>
      <c r="D8" s="134"/>
      <c r="E8" s="135"/>
      <c r="F8" s="134"/>
      <c r="G8" s="134"/>
      <c r="H8" s="134"/>
      <c r="I8" s="134"/>
      <c r="J8" s="135"/>
      <c r="K8" s="134"/>
      <c r="L8" s="136" t="s">
        <v>1695</v>
      </c>
      <c r="M8" s="332"/>
    </row>
    <row r="9" spans="1:13" ht="15.75" thickBot="1">
      <c r="A9" s="330"/>
      <c r="B9" s="133" t="s">
        <v>1696</v>
      </c>
      <c r="C9" s="134">
        <v>155968824</v>
      </c>
      <c r="D9" s="134">
        <v>17246033</v>
      </c>
      <c r="E9" s="135">
        <v>7172797</v>
      </c>
      <c r="F9" s="134"/>
      <c r="G9" s="134">
        <v>-45656</v>
      </c>
      <c r="H9" s="134"/>
      <c r="I9" s="134"/>
      <c r="J9" s="135"/>
      <c r="K9" s="134">
        <v>165996404</v>
      </c>
      <c r="L9" s="136" t="s">
        <v>1697</v>
      </c>
      <c r="M9" s="332"/>
    </row>
    <row r="10" spans="1:13" ht="15.75" thickBot="1">
      <c r="A10" s="330"/>
      <c r="B10" s="133" t="s">
        <v>1702</v>
      </c>
      <c r="C10" s="134"/>
      <c r="D10" s="134"/>
      <c r="E10" s="135"/>
      <c r="F10" s="134"/>
      <c r="G10" s="134"/>
      <c r="H10" s="134"/>
      <c r="I10" s="134"/>
      <c r="J10" s="135"/>
      <c r="K10" s="134"/>
      <c r="L10" s="136" t="s">
        <v>1703</v>
      </c>
      <c r="M10" s="332"/>
    </row>
    <row r="11" spans="1:13" ht="15.75" thickBot="1">
      <c r="A11" s="330"/>
      <c r="B11" s="133" t="s">
        <v>1704</v>
      </c>
      <c r="C11" s="134"/>
      <c r="D11" s="134"/>
      <c r="E11" s="135"/>
      <c r="F11" s="134"/>
      <c r="G11" s="134"/>
      <c r="H11" s="134"/>
      <c r="I11" s="134"/>
      <c r="J11" s="135"/>
      <c r="K11" s="134"/>
      <c r="L11" s="136" t="s">
        <v>1705</v>
      </c>
      <c r="M11" s="332"/>
    </row>
    <row r="12" spans="1:13" ht="15.75" thickBot="1">
      <c r="A12" s="330"/>
      <c r="B12" s="133" t="s">
        <v>1714</v>
      </c>
      <c r="C12" s="134">
        <v>2160873</v>
      </c>
      <c r="D12" s="134"/>
      <c r="E12" s="135">
        <v>83582</v>
      </c>
      <c r="F12" s="134">
        <v>229512</v>
      </c>
      <c r="G12" s="134"/>
      <c r="H12" s="134"/>
      <c r="I12" s="134"/>
      <c r="J12" s="135"/>
      <c r="K12" s="134">
        <v>2306803</v>
      </c>
      <c r="L12" s="136" t="s">
        <v>1715</v>
      </c>
      <c r="M12" s="332"/>
    </row>
    <row r="13" spans="1:13" ht="15.75" thickBot="1">
      <c r="A13" s="331"/>
      <c r="B13" s="133" t="s">
        <v>627</v>
      </c>
      <c r="C13" s="134">
        <v>158129697</v>
      </c>
      <c r="D13" s="134">
        <v>17246033</v>
      </c>
      <c r="E13" s="135">
        <v>7256379</v>
      </c>
      <c r="F13" s="134">
        <v>229512</v>
      </c>
      <c r="G13" s="134">
        <v>-45656</v>
      </c>
      <c r="H13" s="134"/>
      <c r="I13" s="134"/>
      <c r="J13" s="135"/>
      <c r="K13" s="134">
        <v>168303207</v>
      </c>
      <c r="L13" s="136" t="s">
        <v>628</v>
      </c>
      <c r="M13" s="333"/>
    </row>
    <row r="14" spans="1:13" ht="15.75" thickBot="1">
      <c r="A14" s="338" t="s">
        <v>1732</v>
      </c>
      <c r="B14" s="133" t="s">
        <v>1690</v>
      </c>
      <c r="C14" s="134"/>
      <c r="D14" s="134"/>
      <c r="E14" s="135"/>
      <c r="F14" s="134"/>
      <c r="G14" s="134"/>
      <c r="H14" s="134"/>
      <c r="I14" s="134"/>
      <c r="J14" s="135"/>
      <c r="K14" s="134"/>
      <c r="L14" s="136" t="s">
        <v>1691</v>
      </c>
      <c r="M14" s="339" t="s">
        <v>1733</v>
      </c>
    </row>
    <row r="15" spans="1:13" ht="26.25" thickBot="1">
      <c r="A15" s="330"/>
      <c r="B15" s="133" t="s">
        <v>1692</v>
      </c>
      <c r="C15" s="134"/>
      <c r="D15" s="134"/>
      <c r="E15" s="135"/>
      <c r="F15" s="134"/>
      <c r="G15" s="134"/>
      <c r="H15" s="134"/>
      <c r="I15" s="134"/>
      <c r="J15" s="135"/>
      <c r="K15" s="134"/>
      <c r="L15" s="136" t="s">
        <v>1693</v>
      </c>
      <c r="M15" s="332"/>
    </row>
    <row r="16" spans="1:13" ht="15.75" thickBot="1">
      <c r="A16" s="330"/>
      <c r="B16" s="133" t="s">
        <v>1694</v>
      </c>
      <c r="C16" s="134"/>
      <c r="D16" s="134"/>
      <c r="E16" s="135"/>
      <c r="F16" s="134"/>
      <c r="G16" s="134"/>
      <c r="H16" s="134"/>
      <c r="I16" s="134"/>
      <c r="J16" s="135"/>
      <c r="K16" s="134"/>
      <c r="L16" s="136" t="s">
        <v>1695</v>
      </c>
      <c r="M16" s="332"/>
    </row>
    <row r="17" spans="1:13" ht="15.75" thickBot="1">
      <c r="A17" s="330"/>
      <c r="B17" s="133" t="s">
        <v>1696</v>
      </c>
      <c r="C17" s="134">
        <v>30366844</v>
      </c>
      <c r="D17" s="134">
        <v>13123777</v>
      </c>
      <c r="E17" s="135">
        <v>3132510</v>
      </c>
      <c r="F17" s="134"/>
      <c r="G17" s="134">
        <v>-14455</v>
      </c>
      <c r="H17" s="134"/>
      <c r="I17" s="134"/>
      <c r="J17" s="135"/>
      <c r="K17" s="134">
        <v>40343656</v>
      </c>
      <c r="L17" s="136" t="s">
        <v>1697</v>
      </c>
      <c r="M17" s="332"/>
    </row>
    <row r="18" spans="1:13" ht="15.75" thickBot="1">
      <c r="A18" s="330"/>
      <c r="B18" s="133" t="s">
        <v>1702</v>
      </c>
      <c r="C18" s="134"/>
      <c r="D18" s="134"/>
      <c r="E18" s="135"/>
      <c r="F18" s="134"/>
      <c r="G18" s="134"/>
      <c r="H18" s="134"/>
      <c r="I18" s="134"/>
      <c r="J18" s="135"/>
      <c r="K18" s="134"/>
      <c r="L18" s="136" t="s">
        <v>1703</v>
      </c>
      <c r="M18" s="332"/>
    </row>
    <row r="19" spans="1:13" ht="15.75" thickBot="1">
      <c r="A19" s="330"/>
      <c r="B19" s="133" t="s">
        <v>1704</v>
      </c>
      <c r="C19" s="134"/>
      <c r="D19" s="134"/>
      <c r="E19" s="135"/>
      <c r="F19" s="134"/>
      <c r="G19" s="134"/>
      <c r="H19" s="134"/>
      <c r="I19" s="134"/>
      <c r="J19" s="135"/>
      <c r="K19" s="134"/>
      <c r="L19" s="136" t="s">
        <v>1705</v>
      </c>
      <c r="M19" s="332"/>
    </row>
    <row r="20" spans="1:13" ht="15.75" thickBot="1">
      <c r="A20" s="330"/>
      <c r="B20" s="133" t="s">
        <v>1714</v>
      </c>
      <c r="C20" s="134">
        <v>680378</v>
      </c>
      <c r="D20" s="134">
        <v>296893</v>
      </c>
      <c r="E20" s="135">
        <v>83582</v>
      </c>
      <c r="F20" s="134">
        <v>-30263</v>
      </c>
      <c r="G20" s="134"/>
      <c r="H20" s="134"/>
      <c r="I20" s="134"/>
      <c r="J20" s="135"/>
      <c r="K20" s="134">
        <v>863426</v>
      </c>
      <c r="L20" s="136" t="s">
        <v>1715</v>
      </c>
      <c r="M20" s="332"/>
    </row>
    <row r="21" spans="1:13" ht="15.75" thickBot="1">
      <c r="A21" s="331"/>
      <c r="B21" s="133" t="s">
        <v>627</v>
      </c>
      <c r="C21" s="134">
        <v>31047222</v>
      </c>
      <c r="D21" s="134">
        <v>13420670</v>
      </c>
      <c r="E21" s="135">
        <v>3216092</v>
      </c>
      <c r="F21" s="134">
        <v>-30263</v>
      </c>
      <c r="G21" s="134">
        <v>-14455</v>
      </c>
      <c r="H21" s="134"/>
      <c r="I21" s="134"/>
      <c r="J21" s="135"/>
      <c r="K21" s="134">
        <v>41207082</v>
      </c>
      <c r="L21" s="136" t="s">
        <v>628</v>
      </c>
      <c r="M21" s="333"/>
    </row>
    <row r="22" spans="1:13" ht="17.25" customHeight="1">
      <c r="A22" s="340" t="s">
        <v>627</v>
      </c>
      <c r="B22" s="340"/>
      <c r="C22" s="340"/>
      <c r="D22" s="340"/>
      <c r="E22" s="340"/>
      <c r="F22" s="340"/>
      <c r="G22" s="341" t="s">
        <v>628</v>
      </c>
      <c r="H22" s="341"/>
      <c r="I22" s="341"/>
      <c r="J22" s="341"/>
      <c r="K22" s="341"/>
      <c r="L22" s="341"/>
      <c r="M22" s="341"/>
    </row>
    <row r="23" spans="1:13">
      <c r="A23" s="336"/>
      <c r="B23" s="336"/>
      <c r="C23" s="337" t="s">
        <v>1744</v>
      </c>
      <c r="D23" s="337"/>
      <c r="E23" s="337"/>
      <c r="F23" s="337"/>
      <c r="G23" s="337"/>
      <c r="H23" s="337"/>
      <c r="I23" s="337"/>
      <c r="J23" s="337"/>
      <c r="K23" s="337"/>
      <c r="L23" s="336"/>
      <c r="M23" s="336"/>
    </row>
    <row r="24" spans="1:13" ht="23.25">
      <c r="A24" s="336"/>
      <c r="B24" s="336"/>
      <c r="C24" s="132" t="s">
        <v>627</v>
      </c>
      <c r="D24" s="132" t="s">
        <v>1745</v>
      </c>
      <c r="E24" s="132" t="s">
        <v>1746</v>
      </c>
      <c r="F24" s="132" t="s">
        <v>1747</v>
      </c>
      <c r="G24" s="132" t="s">
        <v>1748</v>
      </c>
      <c r="H24" s="132" t="s">
        <v>1749</v>
      </c>
      <c r="I24" s="132" t="s">
        <v>1750</v>
      </c>
      <c r="J24" s="132" t="s">
        <v>1751</v>
      </c>
      <c r="K24" s="132" t="s">
        <v>627</v>
      </c>
      <c r="L24" s="336"/>
      <c r="M24" s="336"/>
    </row>
    <row r="25" spans="1:13" ht="15.75" thickBot="1">
      <c r="A25" s="133" t="s">
        <v>1734</v>
      </c>
      <c r="B25" s="133" t="s">
        <v>627</v>
      </c>
      <c r="C25" s="134">
        <v>127082475</v>
      </c>
      <c r="D25" s="134">
        <v>3825363</v>
      </c>
      <c r="E25" s="135">
        <v>4040287</v>
      </c>
      <c r="F25" s="134">
        <v>259775</v>
      </c>
      <c r="G25" s="134">
        <v>-31201</v>
      </c>
      <c r="H25" s="134"/>
      <c r="I25" s="134"/>
      <c r="J25" s="135"/>
      <c r="K25" s="134">
        <v>127096125</v>
      </c>
      <c r="L25" s="136" t="s">
        <v>628</v>
      </c>
      <c r="M25" s="136"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093CE95-7F97-4AAE-AB71-0AD1DA18B21D}">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696F6-E58F-476F-8F98-5912F186B286}">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1753</v>
      </c>
    </row>
    <row r="3" spans="1:8" ht="17.25" customHeight="1">
      <c r="A3" s="343" t="s">
        <v>104</v>
      </c>
      <c r="B3" s="343"/>
      <c r="C3" s="343"/>
      <c r="D3" s="343"/>
      <c r="E3" s="344" t="s">
        <v>107</v>
      </c>
      <c r="F3" s="344"/>
      <c r="G3" s="344"/>
      <c r="H3" s="344"/>
    </row>
    <row r="4" spans="1:8" ht="17.25" customHeight="1">
      <c r="A4" s="343" t="s">
        <v>1754</v>
      </c>
      <c r="B4" s="343"/>
      <c r="C4" s="344" t="s">
        <v>1755</v>
      </c>
      <c r="D4" s="344"/>
      <c r="E4" s="343" t="s">
        <v>1754</v>
      </c>
      <c r="F4" s="343"/>
      <c r="G4" s="344" t="s">
        <v>1755</v>
      </c>
      <c r="H4" s="344"/>
    </row>
    <row r="5" spans="1:8" ht="23.25">
      <c r="A5" s="342"/>
      <c r="B5" s="139" t="s">
        <v>1756</v>
      </c>
      <c r="C5" s="139" t="s">
        <v>965</v>
      </c>
      <c r="D5" s="342"/>
      <c r="E5" s="342"/>
      <c r="F5" s="139" t="s">
        <v>1756</v>
      </c>
      <c r="G5" s="139" t="s">
        <v>965</v>
      </c>
      <c r="H5" s="342"/>
    </row>
    <row r="6" spans="1:8">
      <c r="A6" s="342"/>
      <c r="B6" s="140" t="s">
        <v>1757</v>
      </c>
      <c r="C6" s="140" t="s">
        <v>966</v>
      </c>
      <c r="D6" s="342"/>
      <c r="E6" s="342"/>
      <c r="F6" s="140" t="s">
        <v>1757</v>
      </c>
      <c r="G6" s="140" t="s">
        <v>966</v>
      </c>
      <c r="H6" s="342"/>
    </row>
    <row r="7" spans="1:8" ht="15.75" thickBot="1">
      <c r="A7" s="141" t="s">
        <v>1758</v>
      </c>
      <c r="B7" s="142"/>
      <c r="C7" s="143">
        <v>2684080000</v>
      </c>
      <c r="D7" s="144" t="s">
        <v>1759</v>
      </c>
      <c r="E7" s="141" t="s">
        <v>1758</v>
      </c>
      <c r="F7" s="142"/>
      <c r="G7" s="143">
        <v>2567592255</v>
      </c>
      <c r="H7" s="144" t="s">
        <v>1759</v>
      </c>
    </row>
    <row r="8" spans="1:8" ht="15.75" thickBot="1">
      <c r="A8" s="141" t="s">
        <v>1760</v>
      </c>
      <c r="B8" s="142"/>
      <c r="C8" s="143">
        <v>1165593247</v>
      </c>
      <c r="D8" s="144" t="s">
        <v>1761</v>
      </c>
      <c r="E8" s="141" t="s">
        <v>1760</v>
      </c>
      <c r="F8" s="142"/>
      <c r="G8" s="143">
        <v>969049175</v>
      </c>
      <c r="H8" s="144" t="s">
        <v>1761</v>
      </c>
    </row>
    <row r="9" spans="1:8" ht="15.75" thickBot="1">
      <c r="A9" s="141" t="s">
        <v>1762</v>
      </c>
      <c r="B9" s="142"/>
      <c r="C9" s="143">
        <v>157643103</v>
      </c>
      <c r="D9" s="144" t="s">
        <v>1763</v>
      </c>
      <c r="E9" s="141" t="s">
        <v>1762</v>
      </c>
      <c r="F9" s="142"/>
      <c r="G9" s="143">
        <v>86862788</v>
      </c>
      <c r="H9" s="144" t="s">
        <v>1763</v>
      </c>
    </row>
    <row r="10" spans="1:8" ht="15.75" thickBot="1">
      <c r="A10" s="141" t="s">
        <v>1764</v>
      </c>
      <c r="B10" s="142"/>
      <c r="C10" s="143"/>
      <c r="D10" s="144" t="s">
        <v>1765</v>
      </c>
      <c r="E10" s="141" t="s">
        <v>1764</v>
      </c>
      <c r="F10" s="142"/>
      <c r="G10" s="143"/>
      <c r="H10" s="144" t="s">
        <v>1765</v>
      </c>
    </row>
    <row r="11" spans="1:8" ht="15.75" thickBot="1">
      <c r="A11" s="141" t="s">
        <v>1766</v>
      </c>
      <c r="B11" s="142"/>
      <c r="C11" s="143"/>
      <c r="D11" s="144" t="s">
        <v>1767</v>
      </c>
      <c r="E11" s="141" t="s">
        <v>1766</v>
      </c>
      <c r="F11" s="142"/>
      <c r="G11" s="143"/>
      <c r="H11" s="144" t="s">
        <v>1767</v>
      </c>
    </row>
    <row r="12" spans="1:8" ht="15.75" thickBot="1">
      <c r="A12" s="141" t="s">
        <v>1768</v>
      </c>
      <c r="B12" s="142"/>
      <c r="C12" s="143"/>
      <c r="D12" s="144" t="s">
        <v>1769</v>
      </c>
      <c r="E12" s="141" t="s">
        <v>1768</v>
      </c>
      <c r="F12" s="142"/>
      <c r="G12" s="143"/>
      <c r="H12" s="144" t="s">
        <v>1769</v>
      </c>
    </row>
    <row r="13" spans="1:8" ht="15.75" thickBot="1">
      <c r="A13" s="141" t="s">
        <v>1770</v>
      </c>
      <c r="B13" s="142"/>
      <c r="C13" s="143"/>
      <c r="D13" s="144" t="s">
        <v>1771</v>
      </c>
      <c r="E13" s="141" t="s">
        <v>1770</v>
      </c>
      <c r="F13" s="142"/>
      <c r="G13" s="143"/>
      <c r="H13" s="144" t="s">
        <v>1771</v>
      </c>
    </row>
    <row r="14" spans="1:8" ht="15.75" thickBot="1">
      <c r="A14" s="141" t="s">
        <v>1772</v>
      </c>
      <c r="B14" s="142"/>
      <c r="C14" s="143"/>
      <c r="D14" s="144" t="s">
        <v>1773</v>
      </c>
      <c r="E14" s="141" t="s">
        <v>1772</v>
      </c>
      <c r="F14" s="142"/>
      <c r="G14" s="143"/>
      <c r="H14" s="144" t="s">
        <v>1773</v>
      </c>
    </row>
    <row r="15" spans="1:8" ht="15.75" thickBot="1">
      <c r="A15" s="141" t="s">
        <v>1774</v>
      </c>
      <c r="B15" s="142"/>
      <c r="C15" s="143"/>
      <c r="D15" s="144" t="s">
        <v>1775</v>
      </c>
      <c r="E15" s="141" t="s">
        <v>1774</v>
      </c>
      <c r="F15" s="142"/>
      <c r="G15" s="143"/>
      <c r="H15" s="144" t="s">
        <v>1775</v>
      </c>
    </row>
    <row r="16" spans="1:8" ht="15.75" thickBot="1">
      <c r="A16" s="141" t="s">
        <v>1776</v>
      </c>
      <c r="B16" s="142"/>
      <c r="C16" s="143"/>
      <c r="D16" s="144" t="s">
        <v>1777</v>
      </c>
      <c r="E16" s="141" t="s">
        <v>1776</v>
      </c>
      <c r="F16" s="142"/>
      <c r="G16" s="143"/>
      <c r="H16" s="144" t="s">
        <v>1777</v>
      </c>
    </row>
    <row r="17" spans="1:8" ht="15.75" thickBot="1">
      <c r="A17" s="141" t="s">
        <v>1778</v>
      </c>
      <c r="B17" s="142"/>
      <c r="C17" s="143"/>
      <c r="D17" s="144" t="s">
        <v>1779</v>
      </c>
      <c r="E17" s="141" t="s">
        <v>1778</v>
      </c>
      <c r="F17" s="142"/>
      <c r="G17" s="143"/>
      <c r="H17" s="144" t="s">
        <v>1779</v>
      </c>
    </row>
    <row r="18" spans="1:8" ht="15.75" thickBot="1">
      <c r="A18" s="141" t="s">
        <v>1780</v>
      </c>
      <c r="B18" s="142"/>
      <c r="C18" s="143">
        <v>4007316350</v>
      </c>
      <c r="D18" s="144" t="s">
        <v>1781</v>
      </c>
      <c r="E18" s="141" t="s">
        <v>1780</v>
      </c>
      <c r="F18" s="142"/>
      <c r="G18" s="143">
        <v>3623504218</v>
      </c>
      <c r="H18" s="144" t="s">
        <v>1781</v>
      </c>
    </row>
    <row r="19" spans="1:8" ht="15.75" thickBot="1">
      <c r="A19" s="141" t="s">
        <v>1782</v>
      </c>
      <c r="B19" s="142"/>
      <c r="C19" s="143">
        <v>168253731</v>
      </c>
      <c r="D19" s="144" t="s">
        <v>1783</v>
      </c>
      <c r="E19" s="141" t="s">
        <v>1782</v>
      </c>
      <c r="F19" s="142"/>
      <c r="G19" s="143">
        <v>208675781</v>
      </c>
      <c r="H19" s="144" t="s">
        <v>1783</v>
      </c>
    </row>
    <row r="20" spans="1:8" ht="15.75" thickBot="1">
      <c r="A20" s="141" t="s">
        <v>1784</v>
      </c>
      <c r="B20" s="142"/>
      <c r="C20" s="143"/>
      <c r="D20" s="144" t="s">
        <v>1785</v>
      </c>
      <c r="E20" s="141" t="s">
        <v>1784</v>
      </c>
      <c r="F20" s="142"/>
      <c r="G20" s="143"/>
      <c r="H20" s="144" t="s">
        <v>1785</v>
      </c>
    </row>
    <row r="21" spans="1:8" ht="15.75" thickBot="1">
      <c r="A21" s="141" t="s">
        <v>1786</v>
      </c>
      <c r="B21" s="142"/>
      <c r="C21" s="143"/>
      <c r="D21" s="144" t="s">
        <v>1787</v>
      </c>
      <c r="E21" s="141" t="s">
        <v>1786</v>
      </c>
      <c r="F21" s="142"/>
      <c r="G21" s="143"/>
      <c r="H21" s="144" t="s">
        <v>1787</v>
      </c>
    </row>
    <row r="22" spans="1:8" ht="15.75" thickBot="1">
      <c r="A22" s="141" t="s">
        <v>1788</v>
      </c>
      <c r="B22" s="142"/>
      <c r="C22" s="143"/>
      <c r="D22" s="144" t="s">
        <v>1789</v>
      </c>
      <c r="E22" s="141" t="s">
        <v>1788</v>
      </c>
      <c r="F22" s="142"/>
      <c r="G22" s="143"/>
      <c r="H22" s="144" t="s">
        <v>1789</v>
      </c>
    </row>
    <row r="23" spans="1:8" ht="15.75" thickBot="1">
      <c r="A23" s="141" t="s">
        <v>1790</v>
      </c>
      <c r="B23" s="142"/>
      <c r="C23" s="143"/>
      <c r="D23" s="144" t="s">
        <v>1791</v>
      </c>
      <c r="E23" s="141" t="s">
        <v>1790</v>
      </c>
      <c r="F23" s="142"/>
      <c r="G23" s="143"/>
      <c r="H23" s="144" t="s">
        <v>1791</v>
      </c>
    </row>
    <row r="24" spans="1:8" ht="15.75" thickBot="1">
      <c r="A24" s="141" t="s">
        <v>1792</v>
      </c>
      <c r="B24" s="142"/>
      <c r="C24" s="143"/>
      <c r="D24" s="144" t="s">
        <v>1793</v>
      </c>
      <c r="E24" s="141" t="s">
        <v>1792</v>
      </c>
      <c r="F24" s="142"/>
      <c r="G24" s="143"/>
      <c r="H24" s="144" t="s">
        <v>1793</v>
      </c>
    </row>
    <row r="25" spans="1:8" ht="15.75" thickBot="1">
      <c r="A25" s="141" t="s">
        <v>1794</v>
      </c>
      <c r="B25" s="142"/>
      <c r="C25" s="143"/>
      <c r="D25" s="144" t="s">
        <v>1795</v>
      </c>
      <c r="E25" s="141" t="s">
        <v>1794</v>
      </c>
      <c r="F25" s="142"/>
      <c r="G25" s="143"/>
      <c r="H25" s="144" t="s">
        <v>1795</v>
      </c>
    </row>
    <row r="26" spans="1:8" ht="15.75" thickBot="1">
      <c r="A26" s="141" t="s">
        <v>1796</v>
      </c>
      <c r="B26" s="142"/>
      <c r="C26" s="143"/>
      <c r="D26" s="144" t="s">
        <v>1797</v>
      </c>
      <c r="E26" s="141" t="s">
        <v>1796</v>
      </c>
      <c r="F26" s="142"/>
      <c r="G26" s="143"/>
      <c r="H26" s="144" t="s">
        <v>1797</v>
      </c>
    </row>
    <row r="27" spans="1:8" ht="15.75" thickBot="1">
      <c r="A27" s="141" t="s">
        <v>1798</v>
      </c>
      <c r="B27" s="142"/>
      <c r="C27" s="143"/>
      <c r="D27" s="144" t="s">
        <v>1799</v>
      </c>
      <c r="E27" s="141" t="s">
        <v>1798</v>
      </c>
      <c r="F27" s="142"/>
      <c r="G27" s="143"/>
      <c r="H27" s="144" t="s">
        <v>1799</v>
      </c>
    </row>
    <row r="28" spans="1:8" ht="15.75" thickBot="1">
      <c r="A28" s="141" t="s">
        <v>1800</v>
      </c>
      <c r="B28" s="142"/>
      <c r="C28" s="143"/>
      <c r="D28" s="144" t="s">
        <v>1801</v>
      </c>
      <c r="E28" s="141" t="s">
        <v>1800</v>
      </c>
      <c r="F28" s="142"/>
      <c r="G28" s="143"/>
      <c r="H28" s="144" t="s">
        <v>1801</v>
      </c>
    </row>
    <row r="29" spans="1:8" ht="26.25" thickBot="1">
      <c r="A29" s="141" t="s">
        <v>1802</v>
      </c>
      <c r="B29" s="142"/>
      <c r="C29" s="143">
        <v>1166584055</v>
      </c>
      <c r="D29" s="144" t="s">
        <v>1803</v>
      </c>
      <c r="E29" s="141" t="s">
        <v>1802</v>
      </c>
      <c r="F29" s="142"/>
      <c r="G29" s="143">
        <v>465368774</v>
      </c>
      <c r="H29" s="144" t="s">
        <v>1803</v>
      </c>
    </row>
    <row r="30" spans="1:8" ht="15.75" thickBot="1">
      <c r="A30" s="141" t="s">
        <v>1804</v>
      </c>
      <c r="B30" s="142"/>
      <c r="C30" s="143">
        <v>1334837786</v>
      </c>
      <c r="D30" s="144" t="s">
        <v>1805</v>
      </c>
      <c r="E30" s="141" t="s">
        <v>1804</v>
      </c>
      <c r="F30" s="142"/>
      <c r="G30" s="143">
        <v>674044555</v>
      </c>
      <c r="H30" s="144" t="s">
        <v>1805</v>
      </c>
    </row>
    <row r="31" spans="1:8" ht="15.75" thickBot="1">
      <c r="A31" s="141" t="s">
        <v>1806</v>
      </c>
      <c r="B31" s="142"/>
      <c r="C31" s="143">
        <v>5342154136</v>
      </c>
      <c r="D31" s="144" t="s">
        <v>1807</v>
      </c>
      <c r="E31" s="141" t="s">
        <v>1806</v>
      </c>
      <c r="F31" s="142"/>
      <c r="G31" s="143">
        <v>4297548773</v>
      </c>
      <c r="H31" s="144"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961D9AA-A935-4D15-9C5F-21B14A88366E}">
      <formula1>-9.99999999999999E+33</formula1>
      <formula2>9.99999999999999E+33</formula2>
    </dataValidation>
    <dataValidation type="textLength" operator="greaterThan" allowBlank="1" showErrorMessage="1" errorTitle="Invalid Data Type" error="Please input data in String Data Type" sqref="B7:B31 F7:F31" xr:uid="{AF50FF05-EF50-4B8E-A52F-5C16460F686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899F-2804-4082-B843-832158C67316}">
  <dimension ref="A1:H18"/>
  <sheetViews>
    <sheetView showGridLines="0" workbookViewId="0"/>
  </sheetViews>
  <sheetFormatPr defaultRowHeight="15"/>
  <cols>
    <col min="1" max="1" width="42.6640625" style="146" bestFit="1" customWidth="1" collapsed="1"/>
    <col min="2" max="2" width="13.83203125" style="146" customWidth="1" collapsed="1"/>
    <col min="3" max="3" width="42.6640625" style="146" bestFit="1" customWidth="1" collapsed="1"/>
    <col min="4" max="4" width="42.5" style="146" bestFit="1" customWidth="1" collapsed="1"/>
    <col min="5" max="5" width="42.6640625" style="146" bestFit="1" customWidth="1" collapsed="1"/>
    <col min="6" max="6" width="13.83203125" style="146" customWidth="1" collapsed="1"/>
    <col min="7" max="7" width="42.6640625" style="146" bestFit="1" customWidth="1" collapsed="1"/>
    <col min="8" max="8" width="42.5" style="146" bestFit="1" customWidth="1" collapsed="1"/>
    <col min="9" max="16384" width="9.33203125" style="146" collapsed="1"/>
  </cols>
  <sheetData>
    <row r="1" spans="1:8" ht="17.25">
      <c r="A1" s="145" t="s">
        <v>1808</v>
      </c>
    </row>
    <row r="3" spans="1:8" ht="17.25" customHeight="1">
      <c r="A3" s="346" t="s">
        <v>104</v>
      </c>
      <c r="B3" s="346"/>
      <c r="C3" s="346"/>
      <c r="D3" s="346"/>
      <c r="E3" s="347" t="s">
        <v>107</v>
      </c>
      <c r="F3" s="347"/>
      <c r="G3" s="347"/>
      <c r="H3" s="347"/>
    </row>
    <row r="4" spans="1:8" ht="34.5" customHeight="1">
      <c r="A4" s="346" t="s">
        <v>1809</v>
      </c>
      <c r="B4" s="346"/>
      <c r="C4" s="347" t="s">
        <v>1810</v>
      </c>
      <c r="D4" s="347"/>
      <c r="E4" s="346" t="s">
        <v>1809</v>
      </c>
      <c r="F4" s="346"/>
      <c r="G4" s="347" t="s">
        <v>1810</v>
      </c>
      <c r="H4" s="347"/>
    </row>
    <row r="5" spans="1:8" ht="23.25">
      <c r="A5" s="345"/>
      <c r="B5" s="147" t="s">
        <v>1811</v>
      </c>
      <c r="C5" s="147" t="s">
        <v>1812</v>
      </c>
      <c r="D5" s="345"/>
      <c r="E5" s="345"/>
      <c r="F5" s="147" t="s">
        <v>1811</v>
      </c>
      <c r="G5" s="147" t="s">
        <v>1812</v>
      </c>
      <c r="H5" s="345"/>
    </row>
    <row r="6" spans="1:8">
      <c r="A6" s="345"/>
      <c r="B6" s="148" t="s">
        <v>1813</v>
      </c>
      <c r="C6" s="148" t="s">
        <v>1814</v>
      </c>
      <c r="D6" s="345"/>
      <c r="E6" s="345"/>
      <c r="F6" s="148" t="s">
        <v>1813</v>
      </c>
      <c r="G6" s="148" t="s">
        <v>1814</v>
      </c>
      <c r="H6" s="345"/>
    </row>
    <row r="7" spans="1:8" ht="15.75" thickBot="1">
      <c r="A7" s="149" t="s">
        <v>1815</v>
      </c>
      <c r="B7" s="150"/>
      <c r="C7" s="151"/>
      <c r="D7" s="152" t="s">
        <v>1816</v>
      </c>
      <c r="E7" s="149" t="s">
        <v>1815</v>
      </c>
      <c r="F7" s="150"/>
      <c r="G7" s="151"/>
      <c r="H7" s="152" t="s">
        <v>1816</v>
      </c>
    </row>
    <row r="8" spans="1:8" ht="15.75" thickBot="1">
      <c r="A8" s="149" t="s">
        <v>1817</v>
      </c>
      <c r="B8" s="150"/>
      <c r="C8" s="151"/>
      <c r="D8" s="152" t="s">
        <v>1818</v>
      </c>
      <c r="E8" s="149" t="s">
        <v>1817</v>
      </c>
      <c r="F8" s="150"/>
      <c r="G8" s="151"/>
      <c r="H8" s="152" t="s">
        <v>1818</v>
      </c>
    </row>
    <row r="9" spans="1:8" ht="15.75" thickBot="1">
      <c r="A9" s="149" t="s">
        <v>1819</v>
      </c>
      <c r="B9" s="150"/>
      <c r="C9" s="151"/>
      <c r="D9" s="152" t="s">
        <v>1820</v>
      </c>
      <c r="E9" s="149" t="s">
        <v>1819</v>
      </c>
      <c r="F9" s="150"/>
      <c r="G9" s="151"/>
      <c r="H9" s="152" t="s">
        <v>1820</v>
      </c>
    </row>
    <row r="10" spans="1:8" ht="15.75" thickBot="1">
      <c r="A10" s="149" t="s">
        <v>1821</v>
      </c>
      <c r="B10" s="150"/>
      <c r="C10" s="151"/>
      <c r="D10" s="152" t="s">
        <v>1822</v>
      </c>
      <c r="E10" s="149" t="s">
        <v>1821</v>
      </c>
      <c r="F10" s="150"/>
      <c r="G10" s="151"/>
      <c r="H10" s="152" t="s">
        <v>1822</v>
      </c>
    </row>
    <row r="11" spans="1:8" ht="15.75" thickBot="1">
      <c r="A11" s="149" t="s">
        <v>1823</v>
      </c>
      <c r="B11" s="150"/>
      <c r="C11" s="151"/>
      <c r="D11" s="152" t="s">
        <v>1824</v>
      </c>
      <c r="E11" s="149" t="s">
        <v>1823</v>
      </c>
      <c r="F11" s="150"/>
      <c r="G11" s="151"/>
      <c r="H11" s="152" t="s">
        <v>1824</v>
      </c>
    </row>
    <row r="12" spans="1:8" ht="15.75" thickBot="1">
      <c r="A12" s="149" t="s">
        <v>1825</v>
      </c>
      <c r="B12" s="150"/>
      <c r="C12" s="151"/>
      <c r="D12" s="152" t="s">
        <v>1826</v>
      </c>
      <c r="E12" s="149" t="s">
        <v>1825</v>
      </c>
      <c r="F12" s="150"/>
      <c r="G12" s="151"/>
      <c r="H12" s="152" t="s">
        <v>1826</v>
      </c>
    </row>
    <row r="13" spans="1:8" ht="15.75" thickBot="1">
      <c r="A13" s="149" t="s">
        <v>1827</v>
      </c>
      <c r="B13" s="150"/>
      <c r="C13" s="151"/>
      <c r="D13" s="152" t="s">
        <v>1828</v>
      </c>
      <c r="E13" s="149" t="s">
        <v>1827</v>
      </c>
      <c r="F13" s="150"/>
      <c r="G13" s="151"/>
      <c r="H13" s="152" t="s">
        <v>1828</v>
      </c>
    </row>
    <row r="14" spans="1:8" ht="15.75" thickBot="1">
      <c r="A14" s="149" t="s">
        <v>1829</v>
      </c>
      <c r="B14" s="150"/>
      <c r="C14" s="151"/>
      <c r="D14" s="152" t="s">
        <v>1830</v>
      </c>
      <c r="E14" s="149" t="s">
        <v>1829</v>
      </c>
      <c r="F14" s="150"/>
      <c r="G14" s="151"/>
      <c r="H14" s="152" t="s">
        <v>1830</v>
      </c>
    </row>
    <row r="15" spans="1:8" ht="15.75" thickBot="1">
      <c r="A15" s="149" t="s">
        <v>1831</v>
      </c>
      <c r="B15" s="150"/>
      <c r="C15" s="151"/>
      <c r="D15" s="152" t="s">
        <v>1832</v>
      </c>
      <c r="E15" s="149" t="s">
        <v>1831</v>
      </c>
      <c r="F15" s="150"/>
      <c r="G15" s="151"/>
      <c r="H15" s="152" t="s">
        <v>1832</v>
      </c>
    </row>
    <row r="16" spans="1:8" ht="15.75" thickBot="1">
      <c r="A16" s="149" t="s">
        <v>1833</v>
      </c>
      <c r="B16" s="150"/>
      <c r="C16" s="151"/>
      <c r="D16" s="152" t="s">
        <v>1834</v>
      </c>
      <c r="E16" s="149" t="s">
        <v>1833</v>
      </c>
      <c r="F16" s="150"/>
      <c r="G16" s="151"/>
      <c r="H16" s="152" t="s">
        <v>1834</v>
      </c>
    </row>
    <row r="17" spans="1:8" ht="26.25" thickBot="1">
      <c r="A17" s="149" t="s">
        <v>1835</v>
      </c>
      <c r="B17" s="150"/>
      <c r="C17" s="151"/>
      <c r="D17" s="152" t="s">
        <v>1836</v>
      </c>
      <c r="E17" s="149" t="s">
        <v>1835</v>
      </c>
      <c r="F17" s="150"/>
      <c r="G17" s="151"/>
      <c r="H17" s="152" t="s">
        <v>1836</v>
      </c>
    </row>
    <row r="18" spans="1:8" ht="15.75" thickBot="1">
      <c r="A18" s="149" t="s">
        <v>1837</v>
      </c>
      <c r="B18" s="150"/>
      <c r="C18" s="151"/>
      <c r="D18" s="152" t="s">
        <v>1838</v>
      </c>
      <c r="E18" s="149" t="s">
        <v>1837</v>
      </c>
      <c r="F18" s="150"/>
      <c r="G18" s="151"/>
      <c r="H18" s="152"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2B6F5BD-2FD9-4116-86D4-ED27A26BB8AD}">
      <formula1>0</formula1>
    </dataValidation>
    <dataValidation type="decimal" allowBlank="1" showErrorMessage="1" errorTitle="Invalid Data Type" error="Please input data in Numeric Data Type" sqref="C7:C18 G7:G18" xr:uid="{A890793F-E1B9-4287-9DB0-502316ECA18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6C0D0-7B03-4C9E-8B95-2B456B44F20D}">
  <dimension ref="A1:N42"/>
  <sheetViews>
    <sheetView showGridLines="0" workbookViewId="0"/>
  </sheetViews>
  <sheetFormatPr defaultRowHeight="15"/>
  <cols>
    <col min="1" max="1" width="22.5" style="154" customWidth="1" collapsed="1"/>
    <col min="2" max="2" width="28.83203125" style="154" customWidth="1" collapsed="1"/>
    <col min="3" max="3" width="31.6640625" style="154" bestFit="1" customWidth="1" collapsed="1"/>
    <col min="4" max="4" width="40.1640625" style="154" bestFit="1" customWidth="1" collapsed="1"/>
    <col min="5" max="5" width="14" style="154" bestFit="1" customWidth="1" collapsed="1"/>
    <col min="6" max="6" width="22.5" style="154" customWidth="1" collapsed="1"/>
    <col min="7" max="7" width="28.83203125" style="154" customWidth="1" collapsed="1"/>
    <col min="8" max="8" width="31.6640625" style="154" bestFit="1" customWidth="1" collapsed="1"/>
    <col min="9" max="9" width="15.6640625" style="154" bestFit="1" customWidth="1" collapsed="1"/>
    <col min="10" max="10" width="20.33203125" style="154" bestFit="1" customWidth="1" collapsed="1"/>
    <col min="11" max="11" width="40.1640625" style="154" bestFit="1" customWidth="1" collapsed="1"/>
    <col min="12" max="13" width="14" style="154" bestFit="1" customWidth="1" collapsed="1"/>
    <col min="14" max="14" width="9.83203125" style="154" customWidth="1" collapsed="1"/>
    <col min="15" max="16384" width="9.33203125" style="154" collapsed="1"/>
  </cols>
  <sheetData>
    <row r="1" spans="1:10" ht="17.25">
      <c r="A1" s="153" t="s">
        <v>1839</v>
      </c>
    </row>
    <row r="3" spans="1:10" ht="17.25" customHeight="1">
      <c r="A3" s="351" t="s">
        <v>19</v>
      </c>
      <c r="B3" s="351"/>
      <c r="C3" s="351"/>
      <c r="D3" s="351"/>
      <c r="E3" s="351"/>
      <c r="F3" s="352" t="s">
        <v>106</v>
      </c>
      <c r="G3" s="352"/>
      <c r="H3" s="352"/>
      <c r="I3" s="352"/>
      <c r="J3" s="352"/>
    </row>
    <row r="4" spans="1:10" ht="34.5" customHeight="1">
      <c r="A4" s="351" t="s">
        <v>1840</v>
      </c>
      <c r="B4" s="351"/>
      <c r="C4" s="352" t="s">
        <v>1841</v>
      </c>
      <c r="D4" s="352"/>
      <c r="E4" s="352"/>
      <c r="F4" s="351" t="s">
        <v>1840</v>
      </c>
      <c r="G4" s="351"/>
      <c r="H4" s="352" t="s">
        <v>1841</v>
      </c>
      <c r="I4" s="352"/>
      <c r="J4" s="352"/>
    </row>
    <row r="5" spans="1:10" ht="23.25">
      <c r="A5" s="348"/>
      <c r="B5" s="348"/>
      <c r="C5" s="155" t="s">
        <v>1842</v>
      </c>
      <c r="D5" s="348"/>
      <c r="E5" s="348"/>
      <c r="F5" s="348"/>
      <c r="G5" s="348"/>
      <c r="H5" s="155" t="s">
        <v>1842</v>
      </c>
      <c r="I5" s="348"/>
      <c r="J5" s="348"/>
    </row>
    <row r="6" spans="1:10">
      <c r="A6" s="348"/>
      <c r="B6" s="348"/>
      <c r="C6" s="155" t="s">
        <v>1843</v>
      </c>
      <c r="D6" s="348"/>
      <c r="E6" s="348"/>
      <c r="F6" s="348"/>
      <c r="G6" s="348"/>
      <c r="H6" s="155" t="s">
        <v>1843</v>
      </c>
      <c r="I6" s="348"/>
      <c r="J6" s="348"/>
    </row>
    <row r="7" spans="1:10" ht="15.75" thickBot="1">
      <c r="A7" s="355" t="s">
        <v>1844</v>
      </c>
      <c r="B7" s="156" t="s">
        <v>1845</v>
      </c>
      <c r="C7" s="157">
        <v>2906108424</v>
      </c>
      <c r="D7" s="158" t="s">
        <v>1845</v>
      </c>
      <c r="E7" s="358" t="s">
        <v>1846</v>
      </c>
      <c r="F7" s="355" t="s">
        <v>1844</v>
      </c>
      <c r="G7" s="156" t="s">
        <v>1845</v>
      </c>
      <c r="H7" s="157">
        <v>2602621304</v>
      </c>
      <c r="I7" s="158" t="s">
        <v>1845</v>
      </c>
      <c r="J7" s="358" t="s">
        <v>1846</v>
      </c>
    </row>
    <row r="8" spans="1:10" ht="15.75" thickBot="1">
      <c r="A8" s="355"/>
      <c r="B8" s="156" t="s">
        <v>1847</v>
      </c>
      <c r="C8" s="157"/>
      <c r="D8" s="158" t="s">
        <v>1847</v>
      </c>
      <c r="E8" s="358"/>
      <c r="F8" s="355"/>
      <c r="G8" s="156" t="s">
        <v>1847</v>
      </c>
      <c r="H8" s="157"/>
      <c r="I8" s="158" t="s">
        <v>1847</v>
      </c>
      <c r="J8" s="358"/>
    </row>
    <row r="9" spans="1:10" ht="15.75" thickBot="1">
      <c r="A9" s="355"/>
      <c r="B9" s="156" t="s">
        <v>1848</v>
      </c>
      <c r="C9" s="157"/>
      <c r="D9" s="158" t="s">
        <v>1848</v>
      </c>
      <c r="E9" s="358"/>
      <c r="F9" s="355"/>
      <c r="G9" s="156" t="s">
        <v>1848</v>
      </c>
      <c r="H9" s="157"/>
      <c r="I9" s="158" t="s">
        <v>1848</v>
      </c>
      <c r="J9" s="358"/>
    </row>
    <row r="10" spans="1:10" ht="15.75" thickBot="1">
      <c r="A10" s="355"/>
      <c r="B10" s="156" t="s">
        <v>1849</v>
      </c>
      <c r="C10" s="157"/>
      <c r="D10" s="158" t="s">
        <v>1849</v>
      </c>
      <c r="E10" s="358"/>
      <c r="F10" s="355"/>
      <c r="G10" s="156" t="s">
        <v>1849</v>
      </c>
      <c r="H10" s="157"/>
      <c r="I10" s="158" t="s">
        <v>1849</v>
      </c>
      <c r="J10" s="358"/>
    </row>
    <row r="11" spans="1:10" ht="15.75" thickBot="1">
      <c r="A11" s="355"/>
      <c r="B11" s="156" t="s">
        <v>1850</v>
      </c>
      <c r="C11" s="157"/>
      <c r="D11" s="158" t="s">
        <v>1850</v>
      </c>
      <c r="E11" s="358"/>
      <c r="F11" s="355"/>
      <c r="G11" s="156" t="s">
        <v>1850</v>
      </c>
      <c r="H11" s="157"/>
      <c r="I11" s="158" t="s">
        <v>1850</v>
      </c>
      <c r="J11" s="358"/>
    </row>
    <row r="12" spans="1:10" ht="15.75" thickBot="1">
      <c r="A12" s="355"/>
      <c r="B12" s="156" t="s">
        <v>1851</v>
      </c>
      <c r="C12" s="157"/>
      <c r="D12" s="158" t="s">
        <v>1851</v>
      </c>
      <c r="E12" s="358"/>
      <c r="F12" s="355"/>
      <c r="G12" s="156" t="s">
        <v>1851</v>
      </c>
      <c r="H12" s="157"/>
      <c r="I12" s="158" t="s">
        <v>1851</v>
      </c>
      <c r="J12" s="358"/>
    </row>
    <row r="13" spans="1:10" ht="15.75" thickBot="1">
      <c r="A13" s="355"/>
      <c r="B13" s="156" t="s">
        <v>1852</v>
      </c>
      <c r="C13" s="157"/>
      <c r="D13" s="158" t="s">
        <v>1852</v>
      </c>
      <c r="E13" s="358"/>
      <c r="F13" s="355"/>
      <c r="G13" s="156" t="s">
        <v>1852</v>
      </c>
      <c r="H13" s="157"/>
      <c r="I13" s="158" t="s">
        <v>1852</v>
      </c>
      <c r="J13" s="358"/>
    </row>
    <row r="14" spans="1:10" ht="15.75" thickBot="1">
      <c r="A14" s="355"/>
      <c r="B14" s="156" t="s">
        <v>1853</v>
      </c>
      <c r="C14" s="157"/>
      <c r="D14" s="158" t="s">
        <v>1853</v>
      </c>
      <c r="E14" s="358"/>
      <c r="F14" s="355"/>
      <c r="G14" s="156" t="s">
        <v>1853</v>
      </c>
      <c r="H14" s="157"/>
      <c r="I14" s="158" t="s">
        <v>1853</v>
      </c>
      <c r="J14" s="358"/>
    </row>
    <row r="15" spans="1:10" ht="15.75" thickBot="1">
      <c r="A15" s="355"/>
      <c r="B15" s="156" t="s">
        <v>1854</v>
      </c>
      <c r="C15" s="157">
        <v>2068897</v>
      </c>
      <c r="D15" s="158" t="s">
        <v>1854</v>
      </c>
      <c r="E15" s="358"/>
      <c r="F15" s="355"/>
      <c r="G15" s="156" t="s">
        <v>1854</v>
      </c>
      <c r="H15" s="157">
        <v>1131555</v>
      </c>
      <c r="I15" s="158" t="s">
        <v>1854</v>
      </c>
      <c r="J15" s="358"/>
    </row>
    <row r="16" spans="1:10" ht="15.75" thickBot="1">
      <c r="A16" s="355"/>
      <c r="B16" s="156" t="s">
        <v>1855</v>
      </c>
      <c r="C16" s="157"/>
      <c r="D16" s="158" t="s">
        <v>1855</v>
      </c>
      <c r="E16" s="358"/>
      <c r="F16" s="355"/>
      <c r="G16" s="156" t="s">
        <v>1855</v>
      </c>
      <c r="H16" s="157"/>
      <c r="I16" s="158" t="s">
        <v>1855</v>
      </c>
      <c r="J16" s="358"/>
    </row>
    <row r="17" spans="1:10" ht="15.75" thickBot="1">
      <c r="A17" s="355"/>
      <c r="B17" s="156" t="s">
        <v>1856</v>
      </c>
      <c r="C17" s="157">
        <v>108020639</v>
      </c>
      <c r="D17" s="158" t="s">
        <v>1856</v>
      </c>
      <c r="E17" s="358"/>
      <c r="F17" s="355"/>
      <c r="G17" s="156" t="s">
        <v>1856</v>
      </c>
      <c r="H17" s="157">
        <v>109294738</v>
      </c>
      <c r="I17" s="158" t="s">
        <v>1856</v>
      </c>
      <c r="J17" s="358"/>
    </row>
    <row r="18" spans="1:10" ht="15.75" thickBot="1">
      <c r="A18" s="355"/>
      <c r="B18" s="156" t="s">
        <v>1857</v>
      </c>
      <c r="C18" s="157">
        <v>21376654</v>
      </c>
      <c r="D18" s="158" t="s">
        <v>1858</v>
      </c>
      <c r="E18" s="358"/>
      <c r="F18" s="355"/>
      <c r="G18" s="156" t="s">
        <v>1857</v>
      </c>
      <c r="H18" s="157">
        <v>26199540</v>
      </c>
      <c r="I18" s="158" t="s">
        <v>1858</v>
      </c>
      <c r="J18" s="358"/>
    </row>
    <row r="19" spans="1:10" ht="15.75" thickBot="1">
      <c r="A19" s="356"/>
      <c r="B19" s="156" t="s">
        <v>1859</v>
      </c>
      <c r="C19" s="157">
        <v>3037574614</v>
      </c>
      <c r="D19" s="158" t="s">
        <v>1860</v>
      </c>
      <c r="E19" s="359"/>
      <c r="F19" s="356"/>
      <c r="G19" s="156" t="s">
        <v>1859</v>
      </c>
      <c r="H19" s="157">
        <v>2739247137</v>
      </c>
      <c r="I19" s="158" t="s">
        <v>1860</v>
      </c>
      <c r="J19" s="359"/>
    </row>
    <row r="20" spans="1:10" ht="15.75" thickBot="1">
      <c r="A20" s="354" t="s">
        <v>1861</v>
      </c>
      <c r="B20" s="156" t="s">
        <v>1845</v>
      </c>
      <c r="C20" s="157">
        <v>6697216</v>
      </c>
      <c r="D20" s="158" t="s">
        <v>1845</v>
      </c>
      <c r="E20" s="357" t="s">
        <v>1862</v>
      </c>
      <c r="F20" s="354" t="s">
        <v>1861</v>
      </c>
      <c r="G20" s="156" t="s">
        <v>1845</v>
      </c>
      <c r="H20" s="157">
        <v>778795</v>
      </c>
      <c r="I20" s="158" t="s">
        <v>1845</v>
      </c>
      <c r="J20" s="357" t="s">
        <v>1862</v>
      </c>
    </row>
    <row r="21" spans="1:10" ht="15.75" thickBot="1">
      <c r="A21" s="355"/>
      <c r="B21" s="156" t="s">
        <v>1847</v>
      </c>
      <c r="C21" s="157"/>
      <c r="D21" s="158" t="s">
        <v>1847</v>
      </c>
      <c r="E21" s="358"/>
      <c r="F21" s="355"/>
      <c r="G21" s="156" t="s">
        <v>1847</v>
      </c>
      <c r="H21" s="157"/>
      <c r="I21" s="158" t="s">
        <v>1847</v>
      </c>
      <c r="J21" s="358"/>
    </row>
    <row r="22" spans="1:10" ht="15.75" thickBot="1">
      <c r="A22" s="355"/>
      <c r="B22" s="156" t="s">
        <v>1848</v>
      </c>
      <c r="C22" s="157"/>
      <c r="D22" s="158" t="s">
        <v>1848</v>
      </c>
      <c r="E22" s="358"/>
      <c r="F22" s="355"/>
      <c r="G22" s="156" t="s">
        <v>1848</v>
      </c>
      <c r="H22" s="157"/>
      <c r="I22" s="158" t="s">
        <v>1848</v>
      </c>
      <c r="J22" s="358"/>
    </row>
    <row r="23" spans="1:10" ht="15.75" thickBot="1">
      <c r="A23" s="355"/>
      <c r="B23" s="156" t="s">
        <v>1849</v>
      </c>
      <c r="C23" s="157"/>
      <c r="D23" s="158" t="s">
        <v>1849</v>
      </c>
      <c r="E23" s="358"/>
      <c r="F23" s="355"/>
      <c r="G23" s="156" t="s">
        <v>1849</v>
      </c>
      <c r="H23" s="157"/>
      <c r="I23" s="158" t="s">
        <v>1849</v>
      </c>
      <c r="J23" s="358"/>
    </row>
    <row r="24" spans="1:10" ht="15.75" thickBot="1">
      <c r="A24" s="355"/>
      <c r="B24" s="156" t="s">
        <v>1850</v>
      </c>
      <c r="C24" s="157"/>
      <c r="D24" s="158" t="s">
        <v>1850</v>
      </c>
      <c r="E24" s="358"/>
      <c r="F24" s="355"/>
      <c r="G24" s="156" t="s">
        <v>1850</v>
      </c>
      <c r="H24" s="157"/>
      <c r="I24" s="158" t="s">
        <v>1850</v>
      </c>
      <c r="J24" s="358"/>
    </row>
    <row r="25" spans="1:10" ht="15.75" thickBot="1">
      <c r="A25" s="355"/>
      <c r="B25" s="156" t="s">
        <v>1851</v>
      </c>
      <c r="C25" s="157"/>
      <c r="D25" s="158" t="s">
        <v>1851</v>
      </c>
      <c r="E25" s="358"/>
      <c r="F25" s="355"/>
      <c r="G25" s="156" t="s">
        <v>1851</v>
      </c>
      <c r="H25" s="157"/>
      <c r="I25" s="158" t="s">
        <v>1851</v>
      </c>
      <c r="J25" s="358"/>
    </row>
    <row r="26" spans="1:10" ht="15.75" thickBot="1">
      <c r="A26" s="355"/>
      <c r="B26" s="156" t="s">
        <v>1852</v>
      </c>
      <c r="C26" s="157"/>
      <c r="D26" s="158" t="s">
        <v>1852</v>
      </c>
      <c r="E26" s="358"/>
      <c r="F26" s="355"/>
      <c r="G26" s="156" t="s">
        <v>1852</v>
      </c>
      <c r="H26" s="157"/>
      <c r="I26" s="158" t="s">
        <v>1852</v>
      </c>
      <c r="J26" s="358"/>
    </row>
    <row r="27" spans="1:10" ht="15.75" thickBot="1">
      <c r="A27" s="355"/>
      <c r="B27" s="156" t="s">
        <v>1853</v>
      </c>
      <c r="C27" s="157"/>
      <c r="D27" s="158" t="s">
        <v>1853</v>
      </c>
      <c r="E27" s="358"/>
      <c r="F27" s="355"/>
      <c r="G27" s="156" t="s">
        <v>1853</v>
      </c>
      <c r="H27" s="157"/>
      <c r="I27" s="158" t="s">
        <v>1853</v>
      </c>
      <c r="J27" s="358"/>
    </row>
    <row r="28" spans="1:10" ht="15.75" thickBot="1">
      <c r="A28" s="355"/>
      <c r="B28" s="156" t="s">
        <v>1854</v>
      </c>
      <c r="C28" s="157"/>
      <c r="D28" s="158" t="s">
        <v>1854</v>
      </c>
      <c r="E28" s="358"/>
      <c r="F28" s="355"/>
      <c r="G28" s="156" t="s">
        <v>1854</v>
      </c>
      <c r="H28" s="157"/>
      <c r="I28" s="158" t="s">
        <v>1854</v>
      </c>
      <c r="J28" s="358"/>
    </row>
    <row r="29" spans="1:10" ht="15.75" thickBot="1">
      <c r="A29" s="355"/>
      <c r="B29" s="156" t="s">
        <v>1855</v>
      </c>
      <c r="C29" s="157"/>
      <c r="D29" s="158" t="s">
        <v>1855</v>
      </c>
      <c r="E29" s="358"/>
      <c r="F29" s="355"/>
      <c r="G29" s="156" t="s">
        <v>1855</v>
      </c>
      <c r="H29" s="157"/>
      <c r="I29" s="158" t="s">
        <v>1855</v>
      </c>
      <c r="J29" s="358"/>
    </row>
    <row r="30" spans="1:10" ht="15.75" thickBot="1">
      <c r="A30" s="355"/>
      <c r="B30" s="156" t="s">
        <v>1856</v>
      </c>
      <c r="C30" s="157"/>
      <c r="D30" s="158" t="s">
        <v>1856</v>
      </c>
      <c r="E30" s="358"/>
      <c r="F30" s="355"/>
      <c r="G30" s="156" t="s">
        <v>1856</v>
      </c>
      <c r="H30" s="157"/>
      <c r="I30" s="158" t="s">
        <v>1856</v>
      </c>
      <c r="J30" s="358"/>
    </row>
    <row r="31" spans="1:10" ht="15.75" thickBot="1">
      <c r="A31" s="355"/>
      <c r="B31" s="156" t="s">
        <v>1857</v>
      </c>
      <c r="C31" s="157"/>
      <c r="D31" s="158" t="s">
        <v>1858</v>
      </c>
      <c r="E31" s="358"/>
      <c r="F31" s="355"/>
      <c r="G31" s="156" t="s">
        <v>1857</v>
      </c>
      <c r="H31" s="157"/>
      <c r="I31" s="158" t="s">
        <v>1858</v>
      </c>
      <c r="J31" s="358"/>
    </row>
    <row r="32" spans="1:10" ht="15.75" thickBot="1">
      <c r="A32" s="356"/>
      <c r="B32" s="156" t="s">
        <v>1859</v>
      </c>
      <c r="C32" s="157">
        <v>6697216</v>
      </c>
      <c r="D32" s="158" t="s">
        <v>1860</v>
      </c>
      <c r="E32" s="359"/>
      <c r="F32" s="356"/>
      <c r="G32" s="156" t="s">
        <v>1859</v>
      </c>
      <c r="H32" s="157">
        <v>778795</v>
      </c>
      <c r="I32" s="158" t="s">
        <v>1860</v>
      </c>
      <c r="J32" s="359"/>
    </row>
    <row r="33" spans="1:14" ht="17.25" customHeight="1">
      <c r="A33" s="349" t="s">
        <v>19</v>
      </c>
      <c r="B33" s="349"/>
      <c r="C33" s="349"/>
      <c r="D33" s="349"/>
      <c r="E33" s="349"/>
      <c r="F33" s="349"/>
      <c r="G33" s="349"/>
      <c r="H33" s="352" t="s">
        <v>106</v>
      </c>
      <c r="I33" s="352"/>
      <c r="J33" s="352"/>
      <c r="K33" s="352"/>
      <c r="L33" s="352"/>
      <c r="M33" s="352"/>
      <c r="N33" s="352"/>
    </row>
    <row r="34" spans="1:14" ht="17.25" customHeight="1">
      <c r="A34" s="351" t="s">
        <v>1840</v>
      </c>
      <c r="B34" s="351"/>
      <c r="C34" s="351"/>
      <c r="D34" s="352" t="s">
        <v>1841</v>
      </c>
      <c r="E34" s="352"/>
      <c r="F34" s="352"/>
      <c r="G34" s="352"/>
      <c r="H34" s="351" t="s">
        <v>1840</v>
      </c>
      <c r="I34" s="351"/>
      <c r="J34" s="351"/>
      <c r="K34" s="352" t="s">
        <v>1841</v>
      </c>
      <c r="L34" s="352"/>
      <c r="M34" s="352"/>
      <c r="N34" s="352"/>
    </row>
    <row r="35" spans="1:14">
      <c r="A35" s="348"/>
      <c r="B35" s="348"/>
      <c r="C35" s="353" t="s">
        <v>1842</v>
      </c>
      <c r="D35" s="353"/>
      <c r="E35" s="353"/>
      <c r="F35" s="348"/>
      <c r="G35" s="348"/>
      <c r="H35" s="348"/>
      <c r="I35" s="348"/>
      <c r="J35" s="353" t="s">
        <v>1842</v>
      </c>
      <c r="K35" s="353"/>
      <c r="L35" s="353"/>
      <c r="M35" s="348"/>
      <c r="N35" s="348"/>
    </row>
    <row r="36" spans="1:14" ht="23.25">
      <c r="A36" s="348"/>
      <c r="B36" s="348"/>
      <c r="C36" s="155" t="s">
        <v>1843</v>
      </c>
      <c r="D36" s="155" t="s">
        <v>1863</v>
      </c>
      <c r="E36" s="155" t="s">
        <v>454</v>
      </c>
      <c r="F36" s="348"/>
      <c r="G36" s="348"/>
      <c r="H36" s="348"/>
      <c r="I36" s="348"/>
      <c r="J36" s="155" t="s">
        <v>1843</v>
      </c>
      <c r="K36" s="155" t="s">
        <v>1863</v>
      </c>
      <c r="L36" s="155" t="s">
        <v>454</v>
      </c>
      <c r="M36" s="348"/>
      <c r="N36" s="348"/>
    </row>
    <row r="37" spans="1:14" ht="15.75" thickBot="1">
      <c r="A37" s="156" t="s">
        <v>1844</v>
      </c>
      <c r="B37" s="156" t="s">
        <v>1859</v>
      </c>
      <c r="C37" s="157">
        <v>3037574614</v>
      </c>
      <c r="D37" s="159">
        <v>82898372</v>
      </c>
      <c r="E37" s="157">
        <v>2954676242</v>
      </c>
      <c r="F37" s="158" t="s">
        <v>1846</v>
      </c>
      <c r="G37" s="158" t="s">
        <v>1860</v>
      </c>
      <c r="H37" s="156" t="s">
        <v>1844</v>
      </c>
      <c r="I37" s="156" t="s">
        <v>1859</v>
      </c>
      <c r="J37" s="157">
        <v>2739247137</v>
      </c>
      <c r="K37" s="159">
        <v>45938125</v>
      </c>
      <c r="L37" s="157">
        <v>2693309012</v>
      </c>
      <c r="M37" s="158" t="s">
        <v>1846</v>
      </c>
      <c r="N37" s="158" t="s">
        <v>1860</v>
      </c>
    </row>
    <row r="38" spans="1:14" ht="17.25" customHeight="1">
      <c r="A38" s="349" t="s">
        <v>19</v>
      </c>
      <c r="B38" s="349"/>
      <c r="C38" s="349"/>
      <c r="D38" s="349"/>
      <c r="E38" s="349"/>
      <c r="F38" s="349"/>
      <c r="G38" s="349"/>
      <c r="H38" s="350" t="s">
        <v>106</v>
      </c>
      <c r="I38" s="350"/>
      <c r="J38" s="350"/>
      <c r="K38" s="350"/>
      <c r="L38" s="350"/>
      <c r="M38" s="350"/>
      <c r="N38" s="350"/>
    </row>
    <row r="39" spans="1:14" ht="17.25" customHeight="1">
      <c r="A39" s="351" t="s">
        <v>1840</v>
      </c>
      <c r="B39" s="351"/>
      <c r="C39" s="351"/>
      <c r="D39" s="352" t="s">
        <v>1841</v>
      </c>
      <c r="E39" s="352"/>
      <c r="F39" s="352"/>
      <c r="G39" s="352"/>
      <c r="H39" s="351" t="s">
        <v>1840</v>
      </c>
      <c r="I39" s="351"/>
      <c r="J39" s="351"/>
      <c r="K39" s="352" t="s">
        <v>1841</v>
      </c>
      <c r="L39" s="352"/>
      <c r="M39" s="352"/>
      <c r="N39" s="352"/>
    </row>
    <row r="40" spans="1:14">
      <c r="A40" s="348"/>
      <c r="B40" s="348"/>
      <c r="C40" s="353" t="s">
        <v>1842</v>
      </c>
      <c r="D40" s="353"/>
      <c r="E40" s="353"/>
      <c r="F40" s="348"/>
      <c r="G40" s="348"/>
      <c r="H40" s="348"/>
      <c r="I40" s="348"/>
      <c r="J40" s="353" t="s">
        <v>1842</v>
      </c>
      <c r="K40" s="353"/>
      <c r="L40" s="353"/>
      <c r="M40" s="348"/>
      <c r="N40" s="348"/>
    </row>
    <row r="41" spans="1:14" ht="23.25">
      <c r="A41" s="348"/>
      <c r="B41" s="348"/>
      <c r="C41" s="155" t="s">
        <v>1843</v>
      </c>
      <c r="D41" s="155" t="s">
        <v>1863</v>
      </c>
      <c r="E41" s="155" t="s">
        <v>454</v>
      </c>
      <c r="F41" s="348"/>
      <c r="G41" s="348"/>
      <c r="H41" s="348"/>
      <c r="I41" s="348"/>
      <c r="J41" s="155" t="s">
        <v>1843</v>
      </c>
      <c r="K41" s="155" t="s">
        <v>1863</v>
      </c>
      <c r="L41" s="155" t="s">
        <v>454</v>
      </c>
      <c r="M41" s="348"/>
      <c r="N41" s="348"/>
    </row>
    <row r="42" spans="1:14" ht="26.25" thickBot="1">
      <c r="A42" s="156" t="s">
        <v>1861</v>
      </c>
      <c r="B42" s="156" t="s">
        <v>1859</v>
      </c>
      <c r="C42" s="157">
        <v>6697216</v>
      </c>
      <c r="D42" s="159"/>
      <c r="E42" s="157">
        <v>6697216</v>
      </c>
      <c r="F42" s="158" t="s">
        <v>1862</v>
      </c>
      <c r="G42" s="158" t="s">
        <v>1860</v>
      </c>
      <c r="H42" s="156" t="s">
        <v>1861</v>
      </c>
      <c r="I42" s="156" t="s">
        <v>1859</v>
      </c>
      <c r="J42" s="157">
        <v>778795</v>
      </c>
      <c r="K42" s="159"/>
      <c r="L42" s="157">
        <v>778795</v>
      </c>
      <c r="M42" s="158" t="s">
        <v>1862</v>
      </c>
      <c r="N42" s="158" t="s">
        <v>1860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2386728-8D2D-4065-97A7-FF54D6145BA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76E0E-6A65-4FDD-A29B-0D4C8DFAAC61}">
  <dimension ref="A1:N47"/>
  <sheetViews>
    <sheetView showGridLines="0" workbookViewId="0"/>
  </sheetViews>
  <sheetFormatPr defaultRowHeight="15"/>
  <cols>
    <col min="1" max="1" width="23.6640625" style="161" customWidth="1" collapsed="1"/>
    <col min="2" max="2" width="23" style="161" customWidth="1" collapsed="1"/>
    <col min="3" max="3" width="31.6640625" style="161" bestFit="1" customWidth="1" collapsed="1"/>
    <col min="4" max="4" width="40.1640625" style="161" bestFit="1" customWidth="1" collapsed="1"/>
    <col min="5" max="5" width="14" style="161" bestFit="1" customWidth="1" collapsed="1"/>
    <col min="6" max="6" width="23.6640625" style="161" customWidth="1" collapsed="1"/>
    <col min="7" max="7" width="23" style="161" customWidth="1" collapsed="1"/>
    <col min="8" max="8" width="31.6640625" style="161" bestFit="1" customWidth="1" collapsed="1"/>
    <col min="9" max="9" width="20.6640625" style="161" bestFit="1" customWidth="1" collapsed="1"/>
    <col min="10" max="10" width="20.33203125" style="161" bestFit="1" customWidth="1" collapsed="1"/>
    <col min="11" max="11" width="40.1640625" style="161" bestFit="1" customWidth="1" collapsed="1"/>
    <col min="12" max="12" width="14" style="161" bestFit="1" customWidth="1" collapsed="1"/>
    <col min="13" max="13" width="6.6640625" style="161" customWidth="1" collapsed="1"/>
    <col min="14" max="14" width="11.6640625" style="161" bestFit="1" customWidth="1" collapsed="1"/>
    <col min="15" max="16384" width="9.33203125" style="161" collapsed="1"/>
  </cols>
  <sheetData>
    <row r="1" spans="1:10" ht="17.25">
      <c r="A1" s="160" t="s">
        <v>1864</v>
      </c>
    </row>
    <row r="3" spans="1:10" ht="17.25" customHeight="1">
      <c r="A3" s="360" t="s">
        <v>19</v>
      </c>
      <c r="B3" s="360"/>
      <c r="C3" s="360"/>
      <c r="D3" s="360"/>
      <c r="E3" s="360"/>
      <c r="F3" s="361" t="s">
        <v>106</v>
      </c>
      <c r="G3" s="361"/>
      <c r="H3" s="361"/>
      <c r="I3" s="361"/>
      <c r="J3" s="361"/>
    </row>
    <row r="4" spans="1:10" ht="34.5" customHeight="1">
      <c r="A4" s="360" t="s">
        <v>1865</v>
      </c>
      <c r="B4" s="360"/>
      <c r="C4" s="361" t="s">
        <v>1866</v>
      </c>
      <c r="D4" s="361"/>
      <c r="E4" s="361"/>
      <c r="F4" s="360" t="s">
        <v>1865</v>
      </c>
      <c r="G4" s="360"/>
      <c r="H4" s="361" t="s">
        <v>1866</v>
      </c>
      <c r="I4" s="361"/>
      <c r="J4" s="361"/>
    </row>
    <row r="5" spans="1:10" ht="23.25">
      <c r="A5" s="362"/>
      <c r="B5" s="362"/>
      <c r="C5" s="162" t="s">
        <v>1842</v>
      </c>
      <c r="D5" s="362"/>
      <c r="E5" s="362"/>
      <c r="F5" s="362"/>
      <c r="G5" s="362"/>
      <c r="H5" s="162" t="s">
        <v>1842</v>
      </c>
      <c r="I5" s="362"/>
      <c r="J5" s="362"/>
    </row>
    <row r="6" spans="1:10">
      <c r="A6" s="362"/>
      <c r="B6" s="362"/>
      <c r="C6" s="162" t="s">
        <v>1843</v>
      </c>
      <c r="D6" s="362"/>
      <c r="E6" s="362"/>
      <c r="F6" s="362"/>
      <c r="G6" s="362"/>
      <c r="H6" s="162" t="s">
        <v>1843</v>
      </c>
      <c r="I6" s="362"/>
      <c r="J6" s="362"/>
    </row>
    <row r="7" spans="1:10" ht="15.75" thickBot="1">
      <c r="A7" s="163" t="s">
        <v>1867</v>
      </c>
      <c r="B7" s="163" t="s">
        <v>1868</v>
      </c>
      <c r="C7" s="164">
        <v>1502004314</v>
      </c>
      <c r="D7" s="165" t="s">
        <v>1869</v>
      </c>
      <c r="E7" s="165" t="s">
        <v>1870</v>
      </c>
      <c r="F7" s="163" t="s">
        <v>1867</v>
      </c>
      <c r="G7" s="163" t="s">
        <v>1868</v>
      </c>
      <c r="H7" s="164">
        <v>1259283163</v>
      </c>
      <c r="I7" s="165" t="s">
        <v>1869</v>
      </c>
      <c r="J7" s="165" t="s">
        <v>1870</v>
      </c>
    </row>
    <row r="8" spans="1:10" ht="17.25" customHeight="1">
      <c r="A8" s="363" t="s">
        <v>19</v>
      </c>
      <c r="B8" s="363"/>
      <c r="C8" s="363"/>
      <c r="D8" s="363"/>
      <c r="E8" s="363"/>
      <c r="F8" s="364" t="s">
        <v>106</v>
      </c>
      <c r="G8" s="364"/>
      <c r="H8" s="364"/>
      <c r="I8" s="364"/>
      <c r="J8" s="364"/>
    </row>
    <row r="9" spans="1:10" ht="34.5" customHeight="1">
      <c r="A9" s="360" t="s">
        <v>1865</v>
      </c>
      <c r="B9" s="360"/>
      <c r="C9" s="361" t="s">
        <v>1866</v>
      </c>
      <c r="D9" s="361"/>
      <c r="E9" s="361"/>
      <c r="F9" s="360" t="s">
        <v>1865</v>
      </c>
      <c r="G9" s="360"/>
      <c r="H9" s="361" t="s">
        <v>1866</v>
      </c>
      <c r="I9" s="361"/>
      <c r="J9" s="361"/>
    </row>
    <row r="10" spans="1:10" ht="23.25">
      <c r="A10" s="362"/>
      <c r="B10" s="362"/>
      <c r="C10" s="162" t="s">
        <v>1842</v>
      </c>
      <c r="D10" s="362"/>
      <c r="E10" s="362"/>
      <c r="F10" s="362"/>
      <c r="G10" s="362"/>
      <c r="H10" s="162" t="s">
        <v>1842</v>
      </c>
      <c r="I10" s="362"/>
      <c r="J10" s="362"/>
    </row>
    <row r="11" spans="1:10">
      <c r="A11" s="362"/>
      <c r="B11" s="362"/>
      <c r="C11" s="162" t="s">
        <v>1843</v>
      </c>
      <c r="D11" s="362"/>
      <c r="E11" s="362"/>
      <c r="F11" s="362"/>
      <c r="G11" s="362"/>
      <c r="H11" s="162" t="s">
        <v>1843</v>
      </c>
      <c r="I11" s="362"/>
      <c r="J11" s="362"/>
    </row>
    <row r="12" spans="1:10" ht="15.75" thickBot="1">
      <c r="A12" s="365" t="s">
        <v>1871</v>
      </c>
      <c r="B12" s="163" t="s">
        <v>1872</v>
      </c>
      <c r="C12" s="164">
        <v>358043162</v>
      </c>
      <c r="D12" s="165" t="s">
        <v>1873</v>
      </c>
      <c r="E12" s="367" t="s">
        <v>1874</v>
      </c>
      <c r="F12" s="365" t="s">
        <v>1871</v>
      </c>
      <c r="G12" s="163" t="s">
        <v>1872</v>
      </c>
      <c r="H12" s="164">
        <v>602842605</v>
      </c>
      <c r="I12" s="165" t="s">
        <v>1873</v>
      </c>
      <c r="J12" s="367" t="s">
        <v>1874</v>
      </c>
    </row>
    <row r="13" spans="1:10" ht="15.75" thickBot="1">
      <c r="A13" s="365"/>
      <c r="B13" s="163" t="s">
        <v>1875</v>
      </c>
      <c r="C13" s="164"/>
      <c r="D13" s="165" t="s">
        <v>1876</v>
      </c>
      <c r="E13" s="367"/>
      <c r="F13" s="365"/>
      <c r="G13" s="163" t="s">
        <v>1875</v>
      </c>
      <c r="H13" s="164"/>
      <c r="I13" s="165" t="s">
        <v>1876</v>
      </c>
      <c r="J13" s="367"/>
    </row>
    <row r="14" spans="1:10" ht="15.75" thickBot="1">
      <c r="A14" s="365"/>
      <c r="B14" s="163" t="s">
        <v>1877</v>
      </c>
      <c r="C14" s="164"/>
      <c r="D14" s="165" t="s">
        <v>1878</v>
      </c>
      <c r="E14" s="367"/>
      <c r="F14" s="365"/>
      <c r="G14" s="163" t="s">
        <v>1877</v>
      </c>
      <c r="H14" s="164"/>
      <c r="I14" s="165" t="s">
        <v>1878</v>
      </c>
      <c r="J14" s="367"/>
    </row>
    <row r="15" spans="1:10" ht="15.75" thickBot="1">
      <c r="A15" s="365"/>
      <c r="B15" s="163" t="s">
        <v>1879</v>
      </c>
      <c r="C15" s="164"/>
      <c r="D15" s="165" t="s">
        <v>1880</v>
      </c>
      <c r="E15" s="367"/>
      <c r="F15" s="365"/>
      <c r="G15" s="163" t="s">
        <v>1879</v>
      </c>
      <c r="H15" s="164"/>
      <c r="I15" s="165" t="s">
        <v>1880</v>
      </c>
      <c r="J15" s="367"/>
    </row>
    <row r="16" spans="1:10" ht="15.75" thickBot="1">
      <c r="A16" s="365"/>
      <c r="B16" s="163" t="s">
        <v>1881</v>
      </c>
      <c r="C16" s="164"/>
      <c r="D16" s="165" t="s">
        <v>1882</v>
      </c>
      <c r="E16" s="367"/>
      <c r="F16" s="365"/>
      <c r="G16" s="163" t="s">
        <v>1881</v>
      </c>
      <c r="H16" s="164"/>
      <c r="I16" s="165" t="s">
        <v>1882</v>
      </c>
      <c r="J16" s="367"/>
    </row>
    <row r="17" spans="1:10" ht="15.75" thickBot="1">
      <c r="A17" s="365"/>
      <c r="B17" s="163" t="s">
        <v>1883</v>
      </c>
      <c r="C17" s="164">
        <v>517268001</v>
      </c>
      <c r="D17" s="165" t="s">
        <v>1884</v>
      </c>
      <c r="E17" s="367"/>
      <c r="F17" s="365"/>
      <c r="G17" s="163" t="s">
        <v>1883</v>
      </c>
      <c r="H17" s="164">
        <v>408157799</v>
      </c>
      <c r="I17" s="165" t="s">
        <v>1884</v>
      </c>
      <c r="J17" s="367"/>
    </row>
    <row r="18" spans="1:10" ht="15.75" thickBot="1">
      <c r="A18" s="365"/>
      <c r="B18" s="163" t="s">
        <v>1885</v>
      </c>
      <c r="C18" s="164">
        <v>365989783</v>
      </c>
      <c r="D18" s="165" t="s">
        <v>1886</v>
      </c>
      <c r="E18" s="367"/>
      <c r="F18" s="365"/>
      <c r="G18" s="163" t="s">
        <v>1885</v>
      </c>
      <c r="H18" s="164">
        <v>239653014</v>
      </c>
      <c r="I18" s="165" t="s">
        <v>1886</v>
      </c>
      <c r="J18" s="367"/>
    </row>
    <row r="19" spans="1:10" ht="15.75" thickBot="1">
      <c r="A19" s="365"/>
      <c r="B19" s="163" t="s">
        <v>1887</v>
      </c>
      <c r="C19" s="164"/>
      <c r="D19" s="165" t="s">
        <v>1888</v>
      </c>
      <c r="E19" s="367"/>
      <c r="F19" s="365"/>
      <c r="G19" s="163" t="s">
        <v>1887</v>
      </c>
      <c r="H19" s="164"/>
      <c r="I19" s="165" t="s">
        <v>1888</v>
      </c>
      <c r="J19" s="367"/>
    </row>
    <row r="20" spans="1:10" ht="15.75" thickBot="1">
      <c r="A20" s="365"/>
      <c r="B20" s="163" t="s">
        <v>1889</v>
      </c>
      <c r="C20" s="164"/>
      <c r="D20" s="165" t="s">
        <v>1890</v>
      </c>
      <c r="E20" s="367"/>
      <c r="F20" s="365"/>
      <c r="G20" s="163" t="s">
        <v>1889</v>
      </c>
      <c r="H20" s="164"/>
      <c r="I20" s="165" t="s">
        <v>1890</v>
      </c>
      <c r="J20" s="367"/>
    </row>
    <row r="21" spans="1:10" ht="15.75" thickBot="1">
      <c r="A21" s="365"/>
      <c r="B21" s="163" t="s">
        <v>1891</v>
      </c>
      <c r="C21" s="164">
        <v>162320623</v>
      </c>
      <c r="D21" s="165" t="s">
        <v>1892</v>
      </c>
      <c r="E21" s="367"/>
      <c r="F21" s="365"/>
      <c r="G21" s="163" t="s">
        <v>1891</v>
      </c>
      <c r="H21" s="164">
        <v>114038706</v>
      </c>
      <c r="I21" s="165" t="s">
        <v>1892</v>
      </c>
      <c r="J21" s="367"/>
    </row>
    <row r="22" spans="1:10" ht="15.75" thickBot="1">
      <c r="A22" s="365"/>
      <c r="B22" s="163" t="s">
        <v>1893</v>
      </c>
      <c r="C22" s="164"/>
      <c r="D22" s="165" t="s">
        <v>1894</v>
      </c>
      <c r="E22" s="367"/>
      <c r="F22" s="365"/>
      <c r="G22" s="163" t="s">
        <v>1893</v>
      </c>
      <c r="H22" s="164"/>
      <c r="I22" s="165" t="s">
        <v>1894</v>
      </c>
      <c r="J22" s="367"/>
    </row>
    <row r="23" spans="1:10" ht="15.75" thickBot="1">
      <c r="A23" s="365"/>
      <c r="B23" s="163" t="s">
        <v>1895</v>
      </c>
      <c r="C23" s="164"/>
      <c r="D23" s="165" t="s">
        <v>1896</v>
      </c>
      <c r="E23" s="367"/>
      <c r="F23" s="365"/>
      <c r="G23" s="163" t="s">
        <v>1895</v>
      </c>
      <c r="H23" s="164"/>
      <c r="I23" s="165" t="s">
        <v>1896</v>
      </c>
      <c r="J23" s="367"/>
    </row>
    <row r="24" spans="1:10" ht="15.75" thickBot="1">
      <c r="A24" s="365"/>
      <c r="B24" s="163" t="s">
        <v>1897</v>
      </c>
      <c r="C24" s="164"/>
      <c r="D24" s="165" t="s">
        <v>1898</v>
      </c>
      <c r="E24" s="367"/>
      <c r="F24" s="365"/>
      <c r="G24" s="163" t="s">
        <v>1897</v>
      </c>
      <c r="H24" s="164"/>
      <c r="I24" s="165" t="s">
        <v>1898</v>
      </c>
      <c r="J24" s="367"/>
    </row>
    <row r="25" spans="1:10" ht="15.75" thickBot="1">
      <c r="A25" s="365"/>
      <c r="B25" s="163" t="s">
        <v>1899</v>
      </c>
      <c r="C25" s="164"/>
      <c r="D25" s="165" t="s">
        <v>1900</v>
      </c>
      <c r="E25" s="367"/>
      <c r="F25" s="365"/>
      <c r="G25" s="163" t="s">
        <v>1899</v>
      </c>
      <c r="H25" s="164"/>
      <c r="I25" s="165" t="s">
        <v>1900</v>
      </c>
      <c r="J25" s="367"/>
    </row>
    <row r="26" spans="1:10" ht="15.75" thickBot="1">
      <c r="A26" s="365"/>
      <c r="B26" s="163" t="s">
        <v>1901</v>
      </c>
      <c r="C26" s="164"/>
      <c r="D26" s="165" t="s">
        <v>1902</v>
      </c>
      <c r="E26" s="367"/>
      <c r="F26" s="365"/>
      <c r="G26" s="163" t="s">
        <v>1901</v>
      </c>
      <c r="H26" s="164"/>
      <c r="I26" s="165" t="s">
        <v>1902</v>
      </c>
      <c r="J26" s="367"/>
    </row>
    <row r="27" spans="1:10" ht="15.75" thickBot="1">
      <c r="A27" s="365"/>
      <c r="B27" s="163" t="s">
        <v>1903</v>
      </c>
      <c r="C27" s="164"/>
      <c r="D27" s="165" t="s">
        <v>1904</v>
      </c>
      <c r="E27" s="367"/>
      <c r="F27" s="365"/>
      <c r="G27" s="163" t="s">
        <v>1903</v>
      </c>
      <c r="H27" s="164"/>
      <c r="I27" s="165" t="s">
        <v>1904</v>
      </c>
      <c r="J27" s="367"/>
    </row>
    <row r="28" spans="1:10" ht="15.75" thickBot="1">
      <c r="A28" s="365"/>
      <c r="B28" s="163" t="s">
        <v>1905</v>
      </c>
      <c r="C28" s="164"/>
      <c r="D28" s="165" t="s">
        <v>1906</v>
      </c>
      <c r="E28" s="367"/>
      <c r="F28" s="365"/>
      <c r="G28" s="163" t="s">
        <v>1905</v>
      </c>
      <c r="H28" s="164"/>
      <c r="I28" s="165" t="s">
        <v>1906</v>
      </c>
      <c r="J28" s="367"/>
    </row>
    <row r="29" spans="1:10" ht="15.75" thickBot="1">
      <c r="A29" s="365"/>
      <c r="B29" s="163" t="s">
        <v>1907</v>
      </c>
      <c r="C29" s="164"/>
      <c r="D29" s="165" t="s">
        <v>1908</v>
      </c>
      <c r="E29" s="367"/>
      <c r="F29" s="365"/>
      <c r="G29" s="163" t="s">
        <v>1907</v>
      </c>
      <c r="H29" s="164"/>
      <c r="I29" s="165" t="s">
        <v>1908</v>
      </c>
      <c r="J29" s="367"/>
    </row>
    <row r="30" spans="1:10" ht="15.75" thickBot="1">
      <c r="A30" s="365"/>
      <c r="B30" s="163" t="s">
        <v>1909</v>
      </c>
      <c r="C30" s="164"/>
      <c r="D30" s="165" t="s">
        <v>1910</v>
      </c>
      <c r="E30" s="367"/>
      <c r="F30" s="365"/>
      <c r="G30" s="163" t="s">
        <v>1909</v>
      </c>
      <c r="H30" s="164"/>
      <c r="I30" s="165" t="s">
        <v>1910</v>
      </c>
      <c r="J30" s="367"/>
    </row>
    <row r="31" spans="1:10" ht="15.75" thickBot="1">
      <c r="A31" s="365"/>
      <c r="B31" s="163" t="s">
        <v>1911</v>
      </c>
      <c r="C31" s="164"/>
      <c r="D31" s="165" t="s">
        <v>1912</v>
      </c>
      <c r="E31" s="367"/>
      <c r="F31" s="365"/>
      <c r="G31" s="163" t="s">
        <v>1911</v>
      </c>
      <c r="H31" s="164"/>
      <c r="I31" s="165" t="s">
        <v>1912</v>
      </c>
      <c r="J31" s="367"/>
    </row>
    <row r="32" spans="1:10" ht="15.75" thickBot="1">
      <c r="A32" s="365"/>
      <c r="B32" s="163" t="s">
        <v>1913</v>
      </c>
      <c r="C32" s="164"/>
      <c r="D32" s="165" t="s">
        <v>1914</v>
      </c>
      <c r="E32" s="367"/>
      <c r="F32" s="365"/>
      <c r="G32" s="163" t="s">
        <v>1913</v>
      </c>
      <c r="H32" s="164"/>
      <c r="I32" s="165" t="s">
        <v>1914</v>
      </c>
      <c r="J32" s="367"/>
    </row>
    <row r="33" spans="1:14" ht="15.75" thickBot="1">
      <c r="A33" s="365"/>
      <c r="B33" s="163" t="s">
        <v>1915</v>
      </c>
      <c r="C33" s="164"/>
      <c r="D33" s="165" t="s">
        <v>1916</v>
      </c>
      <c r="E33" s="367"/>
      <c r="F33" s="365"/>
      <c r="G33" s="163" t="s">
        <v>1915</v>
      </c>
      <c r="H33" s="164"/>
      <c r="I33" s="165" t="s">
        <v>1916</v>
      </c>
      <c r="J33" s="367"/>
    </row>
    <row r="34" spans="1:14" ht="15.75" thickBot="1">
      <c r="A34" s="365"/>
      <c r="B34" s="163" t="s">
        <v>1917</v>
      </c>
      <c r="C34" s="164"/>
      <c r="D34" s="165" t="s">
        <v>1918</v>
      </c>
      <c r="E34" s="367"/>
      <c r="F34" s="365"/>
      <c r="G34" s="163" t="s">
        <v>1917</v>
      </c>
      <c r="H34" s="164"/>
      <c r="I34" s="165" t="s">
        <v>1918</v>
      </c>
      <c r="J34" s="367"/>
    </row>
    <row r="35" spans="1:14" ht="15.75" thickBot="1">
      <c r="A35" s="365"/>
      <c r="B35" s="163" t="s">
        <v>1919</v>
      </c>
      <c r="C35" s="164"/>
      <c r="D35" s="165" t="s">
        <v>1920</v>
      </c>
      <c r="E35" s="367"/>
      <c r="F35" s="365"/>
      <c r="G35" s="163" t="s">
        <v>1919</v>
      </c>
      <c r="H35" s="164"/>
      <c r="I35" s="165" t="s">
        <v>1920</v>
      </c>
      <c r="J35" s="367"/>
    </row>
    <row r="36" spans="1:14" ht="15.75" thickBot="1">
      <c r="A36" s="365"/>
      <c r="B36" s="163" t="s">
        <v>1921</v>
      </c>
      <c r="C36" s="164"/>
      <c r="D36" s="165" t="s">
        <v>1922</v>
      </c>
      <c r="E36" s="367"/>
      <c r="F36" s="365"/>
      <c r="G36" s="163" t="s">
        <v>1921</v>
      </c>
      <c r="H36" s="164"/>
      <c r="I36" s="165" t="s">
        <v>1922</v>
      </c>
      <c r="J36" s="367"/>
    </row>
    <row r="37" spans="1:14" ht="15.75" thickBot="1">
      <c r="A37" s="365"/>
      <c r="B37" s="163" t="s">
        <v>1923</v>
      </c>
      <c r="C37" s="164">
        <v>138645947</v>
      </c>
      <c r="D37" s="165" t="s">
        <v>1924</v>
      </c>
      <c r="E37" s="367"/>
      <c r="F37" s="365"/>
      <c r="G37" s="163" t="s">
        <v>1923</v>
      </c>
      <c r="H37" s="164">
        <v>116050645</v>
      </c>
      <c r="I37" s="165" t="s">
        <v>1924</v>
      </c>
      <c r="J37" s="367"/>
    </row>
    <row r="38" spans="1:14" ht="15.75" thickBot="1">
      <c r="A38" s="365"/>
      <c r="B38" s="163" t="s">
        <v>1925</v>
      </c>
      <c r="C38" s="164"/>
      <c r="D38" s="165" t="s">
        <v>1926</v>
      </c>
      <c r="E38" s="367"/>
      <c r="F38" s="365"/>
      <c r="G38" s="163" t="s">
        <v>1925</v>
      </c>
      <c r="H38" s="164"/>
      <c r="I38" s="165" t="s">
        <v>1926</v>
      </c>
      <c r="J38" s="367"/>
    </row>
    <row r="39" spans="1:14" ht="15.75" thickBot="1">
      <c r="A39" s="365"/>
      <c r="B39" s="163" t="s">
        <v>1927</v>
      </c>
      <c r="C39" s="164"/>
      <c r="D39" s="165" t="s">
        <v>1928</v>
      </c>
      <c r="E39" s="367"/>
      <c r="F39" s="365"/>
      <c r="G39" s="163" t="s">
        <v>1927</v>
      </c>
      <c r="H39" s="164"/>
      <c r="I39" s="165" t="s">
        <v>1928</v>
      </c>
      <c r="J39" s="367"/>
    </row>
    <row r="40" spans="1:14" ht="15.75" thickBot="1">
      <c r="A40" s="365"/>
      <c r="B40" s="163" t="s">
        <v>1929</v>
      </c>
      <c r="C40" s="164"/>
      <c r="D40" s="165" t="s">
        <v>1930</v>
      </c>
      <c r="E40" s="367"/>
      <c r="F40" s="365"/>
      <c r="G40" s="163" t="s">
        <v>1929</v>
      </c>
      <c r="H40" s="164"/>
      <c r="I40" s="165" t="s">
        <v>1930</v>
      </c>
      <c r="J40" s="367"/>
    </row>
    <row r="41" spans="1:14" ht="15.75" thickBot="1">
      <c r="A41" s="365"/>
      <c r="B41" s="163" t="s">
        <v>1931</v>
      </c>
      <c r="C41" s="164"/>
      <c r="D41" s="165" t="s">
        <v>1932</v>
      </c>
      <c r="E41" s="367"/>
      <c r="F41" s="365"/>
      <c r="G41" s="163" t="s">
        <v>1931</v>
      </c>
      <c r="H41" s="164"/>
      <c r="I41" s="165" t="s">
        <v>1932</v>
      </c>
      <c r="J41" s="367"/>
    </row>
    <row r="42" spans="1:14" ht="15.75" thickBot="1">
      <c r="A42" s="366"/>
      <c r="B42" s="163" t="s">
        <v>1868</v>
      </c>
      <c r="C42" s="164">
        <v>1542267516</v>
      </c>
      <c r="D42" s="165" t="s">
        <v>1869</v>
      </c>
      <c r="E42" s="368"/>
      <c r="F42" s="366"/>
      <c r="G42" s="163" t="s">
        <v>1868</v>
      </c>
      <c r="H42" s="164">
        <v>1480742769</v>
      </c>
      <c r="I42" s="165" t="s">
        <v>1869</v>
      </c>
      <c r="J42" s="368"/>
    </row>
    <row r="43" spans="1:14" ht="17.25" customHeight="1">
      <c r="A43" s="363" t="s">
        <v>19</v>
      </c>
      <c r="B43" s="363"/>
      <c r="C43" s="363"/>
      <c r="D43" s="363"/>
      <c r="E43" s="363"/>
      <c r="F43" s="363"/>
      <c r="G43" s="363"/>
      <c r="H43" s="361" t="s">
        <v>106</v>
      </c>
      <c r="I43" s="361"/>
      <c r="J43" s="361"/>
      <c r="K43" s="361"/>
      <c r="L43" s="361"/>
      <c r="M43" s="361"/>
      <c r="N43" s="361"/>
    </row>
    <row r="44" spans="1:14" ht="17.25" customHeight="1">
      <c r="A44" s="360" t="s">
        <v>1865</v>
      </c>
      <c r="B44" s="360"/>
      <c r="C44" s="360"/>
      <c r="D44" s="361" t="s">
        <v>1866</v>
      </c>
      <c r="E44" s="361"/>
      <c r="F44" s="361"/>
      <c r="G44" s="361"/>
      <c r="H44" s="360" t="s">
        <v>1865</v>
      </c>
      <c r="I44" s="360"/>
      <c r="J44" s="360"/>
      <c r="K44" s="361" t="s">
        <v>1866</v>
      </c>
      <c r="L44" s="361"/>
      <c r="M44" s="361"/>
      <c r="N44" s="361"/>
    </row>
    <row r="45" spans="1:14">
      <c r="A45" s="362"/>
      <c r="B45" s="362"/>
      <c r="C45" s="369" t="s">
        <v>1842</v>
      </c>
      <c r="D45" s="369"/>
      <c r="E45" s="369"/>
      <c r="F45" s="362"/>
      <c r="G45" s="362"/>
      <c r="H45" s="362"/>
      <c r="I45" s="362"/>
      <c r="J45" s="369" t="s">
        <v>1842</v>
      </c>
      <c r="K45" s="369"/>
      <c r="L45" s="369"/>
      <c r="M45" s="362"/>
      <c r="N45" s="362"/>
    </row>
    <row r="46" spans="1:14" ht="23.25">
      <c r="A46" s="362"/>
      <c r="B46" s="362"/>
      <c r="C46" s="162" t="s">
        <v>1843</v>
      </c>
      <c r="D46" s="162" t="s">
        <v>1863</v>
      </c>
      <c r="E46" s="162" t="s">
        <v>454</v>
      </c>
      <c r="F46" s="362"/>
      <c r="G46" s="362"/>
      <c r="H46" s="362"/>
      <c r="I46" s="362"/>
      <c r="J46" s="162" t="s">
        <v>1843</v>
      </c>
      <c r="K46" s="162" t="s">
        <v>1863</v>
      </c>
      <c r="L46" s="162" t="s">
        <v>454</v>
      </c>
      <c r="M46" s="362"/>
      <c r="N46" s="362"/>
    </row>
    <row r="47" spans="1:14" ht="15.75" thickBot="1">
      <c r="A47" s="163" t="s">
        <v>1933</v>
      </c>
      <c r="B47" s="163" t="s">
        <v>1868</v>
      </c>
      <c r="C47" s="164">
        <v>3044271830</v>
      </c>
      <c r="D47" s="164">
        <v>82898372</v>
      </c>
      <c r="E47" s="164">
        <v>2961373458</v>
      </c>
      <c r="F47" s="165" t="s">
        <v>1869</v>
      </c>
      <c r="G47" s="165" t="s">
        <v>1934</v>
      </c>
      <c r="H47" s="163" t="s">
        <v>1933</v>
      </c>
      <c r="I47" s="163" t="s">
        <v>1868</v>
      </c>
      <c r="J47" s="164">
        <v>2740025932</v>
      </c>
      <c r="K47" s="164">
        <v>45938125</v>
      </c>
      <c r="L47" s="164">
        <v>2694087807</v>
      </c>
      <c r="M47" s="165" t="s">
        <v>1869</v>
      </c>
      <c r="N47" s="165" t="s">
        <v>1934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1CC211B-0A7E-41F6-A145-7D8E5426B19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32296-292E-413B-95C7-5A84085BFF35}">
  <dimension ref="A1:D10"/>
  <sheetViews>
    <sheetView showGridLines="0" workbookViewId="0">
      <selection sqref="A1:D1"/>
    </sheetView>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34.5" customHeight="1">
      <c r="A1" s="370" t="s">
        <v>1935</v>
      </c>
      <c r="B1" s="371"/>
      <c r="C1" s="371"/>
      <c r="D1" s="371"/>
    </row>
    <row r="3" spans="1:4" ht="34.5" customHeight="1">
      <c r="A3" s="370" t="s">
        <v>1936</v>
      </c>
      <c r="B3" s="370"/>
      <c r="C3" s="372" t="s">
        <v>1937</v>
      </c>
      <c r="D3" s="372"/>
    </row>
    <row r="4" spans="1:4">
      <c r="A4" s="167"/>
      <c r="B4" s="168" t="s">
        <v>19</v>
      </c>
      <c r="C4" s="168" t="s">
        <v>105</v>
      </c>
    </row>
    <row r="5" spans="1:4" ht="26.25" thickBot="1">
      <c r="A5" s="169" t="s">
        <v>1936</v>
      </c>
      <c r="B5" s="170"/>
      <c r="C5" s="170"/>
      <c r="D5" s="171" t="s">
        <v>1937</v>
      </c>
    </row>
    <row r="6" spans="1:4" ht="26.25" thickBot="1">
      <c r="A6" s="172" t="s">
        <v>1938</v>
      </c>
      <c r="B6" s="173">
        <v>45938125</v>
      </c>
      <c r="C6" s="173">
        <v>49085758</v>
      </c>
      <c r="D6" s="171" t="s">
        <v>1939</v>
      </c>
    </row>
    <row r="7" spans="1:4" ht="26.25" thickBot="1">
      <c r="A7" s="172" t="s">
        <v>1940</v>
      </c>
      <c r="B7" s="173">
        <v>40183692</v>
      </c>
      <c r="C7" s="173">
        <v>6295263</v>
      </c>
      <c r="D7" s="171" t="s">
        <v>1941</v>
      </c>
    </row>
    <row r="8" spans="1:4" ht="26.25" thickBot="1">
      <c r="A8" s="172" t="s">
        <v>1942</v>
      </c>
      <c r="B8" s="174"/>
      <c r="C8" s="174">
        <v>5725062</v>
      </c>
      <c r="D8" s="171" t="s">
        <v>1943</v>
      </c>
    </row>
    <row r="9" spans="1:4" ht="26.25" thickBot="1">
      <c r="A9" s="172" t="s">
        <v>1944</v>
      </c>
      <c r="B9" s="174">
        <v>3223445</v>
      </c>
      <c r="C9" s="174">
        <v>3717834</v>
      </c>
      <c r="D9" s="171" t="s">
        <v>1945</v>
      </c>
    </row>
    <row r="10" spans="1:4" ht="26.25" thickBot="1">
      <c r="A10" s="172" t="s">
        <v>1946</v>
      </c>
      <c r="B10" s="173">
        <v>82898372</v>
      </c>
      <c r="C10" s="173">
        <v>45938125</v>
      </c>
      <c r="D10" s="171" t="s">
        <v>1947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DD6CF79-91A9-4A9E-9194-E234DB36FAC5}">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BCD47-BCF2-4B67-AFAE-1993FE0005EC}">
  <dimension ref="A1:D78"/>
  <sheetViews>
    <sheetView showGridLines="0" workbookViewId="0"/>
  </sheetViews>
  <sheetFormatPr defaultRowHeight="15"/>
  <cols>
    <col min="1" max="1" width="42.6640625" style="176" bestFit="1" customWidth="1" collapsed="1"/>
    <col min="2" max="2" width="20.5" style="176" bestFit="1" customWidth="1" collapsed="1"/>
    <col min="3" max="3" width="19.6640625" style="176" bestFit="1" customWidth="1" collapsed="1"/>
    <col min="4" max="4" width="42.6640625" style="176" bestFit="1" customWidth="1" collapsed="1"/>
    <col min="5" max="16384" width="9.33203125" style="176" collapsed="1"/>
  </cols>
  <sheetData>
    <row r="1" spans="1:4" ht="17.25">
      <c r="A1" s="175" t="s">
        <v>1948</v>
      </c>
    </row>
    <row r="3" spans="1:4" ht="17.25" customHeight="1">
      <c r="A3" s="373" t="s">
        <v>1949</v>
      </c>
      <c r="B3" s="373"/>
      <c r="C3" s="374" t="s">
        <v>1950</v>
      </c>
      <c r="D3" s="374"/>
    </row>
    <row r="4" spans="1:4" ht="23.25">
      <c r="A4" s="177"/>
      <c r="B4" s="178" t="s">
        <v>19</v>
      </c>
      <c r="C4" s="178" t="s">
        <v>106</v>
      </c>
    </row>
    <row r="5" spans="1:4" ht="15.75" thickBot="1">
      <c r="A5" s="179" t="s">
        <v>1949</v>
      </c>
      <c r="B5" s="180"/>
      <c r="C5" s="180"/>
      <c r="D5" s="181" t="s">
        <v>1950</v>
      </c>
    </row>
    <row r="6" spans="1:4" ht="15.75" thickBot="1">
      <c r="A6" s="182" t="s">
        <v>1951</v>
      </c>
      <c r="B6" s="180"/>
      <c r="C6" s="180"/>
      <c r="D6" s="181" t="s">
        <v>1952</v>
      </c>
    </row>
    <row r="7" spans="1:4" ht="15.75" thickBot="1">
      <c r="A7" s="183" t="s">
        <v>1953</v>
      </c>
      <c r="B7" s="180"/>
      <c r="C7" s="180"/>
      <c r="D7" s="181" t="s">
        <v>1954</v>
      </c>
    </row>
    <row r="8" spans="1:4" ht="15.75" thickBot="1">
      <c r="A8" s="184" t="s">
        <v>1955</v>
      </c>
      <c r="B8" s="185"/>
      <c r="C8" s="185"/>
      <c r="D8" s="181" t="s">
        <v>1956</v>
      </c>
    </row>
    <row r="9" spans="1:4" ht="15.75" thickBot="1">
      <c r="A9" s="184" t="s">
        <v>1957</v>
      </c>
      <c r="B9" s="185"/>
      <c r="C9" s="185"/>
      <c r="D9" s="181" t="s">
        <v>1958</v>
      </c>
    </row>
    <row r="10" spans="1:4" ht="15.75" thickBot="1">
      <c r="A10" s="184" t="s">
        <v>1959</v>
      </c>
      <c r="B10" s="185"/>
      <c r="C10" s="185"/>
      <c r="D10" s="181" t="s">
        <v>1960</v>
      </c>
    </row>
    <row r="11" spans="1:4" ht="15.75" thickBot="1">
      <c r="A11" s="184" t="s">
        <v>1961</v>
      </c>
      <c r="B11" s="185"/>
      <c r="C11" s="185"/>
      <c r="D11" s="181" t="s">
        <v>1962</v>
      </c>
    </row>
    <row r="12" spans="1:4" ht="15.75" thickBot="1">
      <c r="A12" s="184" t="s">
        <v>1963</v>
      </c>
      <c r="B12" s="185"/>
      <c r="C12" s="185"/>
      <c r="D12" s="181" t="s">
        <v>1964</v>
      </c>
    </row>
    <row r="13" spans="1:4" ht="15.75" thickBot="1">
      <c r="A13" s="184" t="s">
        <v>1965</v>
      </c>
      <c r="B13" s="185"/>
      <c r="C13" s="185"/>
      <c r="D13" s="181" t="s">
        <v>1966</v>
      </c>
    </row>
    <row r="14" spans="1:4" ht="26.25" thickBot="1">
      <c r="A14" s="184" t="s">
        <v>1967</v>
      </c>
      <c r="B14" s="186"/>
      <c r="C14" s="186"/>
      <c r="D14" s="181" t="s">
        <v>1968</v>
      </c>
    </row>
    <row r="15" spans="1:4" ht="15.75" thickBot="1">
      <c r="A15" s="184" t="s">
        <v>1951</v>
      </c>
      <c r="B15" s="185"/>
      <c r="C15" s="185"/>
      <c r="D15" s="181" t="s">
        <v>1969</v>
      </c>
    </row>
    <row r="16" spans="1:4" ht="15.75" thickBot="1">
      <c r="A16" s="184" t="s">
        <v>498</v>
      </c>
      <c r="B16" s="185"/>
      <c r="C16" s="185"/>
      <c r="D16" s="181" t="s">
        <v>1970</v>
      </c>
    </row>
    <row r="17" spans="1:4" ht="26.25" thickBot="1">
      <c r="A17" s="184" t="s">
        <v>596</v>
      </c>
      <c r="B17" s="185"/>
      <c r="C17" s="185"/>
      <c r="D17" s="181" t="s">
        <v>1971</v>
      </c>
    </row>
    <row r="18" spans="1:4" ht="15.75" thickBot="1">
      <c r="A18" s="182" t="s">
        <v>1972</v>
      </c>
      <c r="B18" s="180"/>
      <c r="C18" s="180"/>
      <c r="D18" s="181" t="s">
        <v>1973</v>
      </c>
    </row>
    <row r="19" spans="1:4" ht="15.75" thickBot="1">
      <c r="A19" s="183" t="s">
        <v>1974</v>
      </c>
      <c r="B19" s="180"/>
      <c r="C19" s="180"/>
      <c r="D19" s="181" t="s">
        <v>1975</v>
      </c>
    </row>
    <row r="20" spans="1:4" ht="15.75" thickBot="1">
      <c r="A20" s="184" t="s">
        <v>1976</v>
      </c>
      <c r="B20" s="185"/>
      <c r="C20" s="185"/>
      <c r="D20" s="181" t="s">
        <v>1977</v>
      </c>
    </row>
    <row r="21" spans="1:4" ht="26.25" thickBot="1">
      <c r="A21" s="184" t="s">
        <v>1978</v>
      </c>
      <c r="B21" s="185"/>
      <c r="C21" s="185"/>
      <c r="D21" s="181" t="s">
        <v>1979</v>
      </c>
    </row>
    <row r="22" spans="1:4" ht="26.25" thickBot="1">
      <c r="A22" s="184" t="s">
        <v>1980</v>
      </c>
      <c r="B22" s="185"/>
      <c r="C22" s="185"/>
      <c r="D22" s="181" t="s">
        <v>1981</v>
      </c>
    </row>
    <row r="23" spans="1:4" ht="15.75" thickBot="1">
      <c r="A23" s="184" t="s">
        <v>1982</v>
      </c>
      <c r="B23" s="185"/>
      <c r="C23" s="185"/>
      <c r="D23" s="181" t="s">
        <v>1983</v>
      </c>
    </row>
    <row r="24" spans="1:4" ht="15.75" thickBot="1">
      <c r="A24" s="184" t="s">
        <v>1984</v>
      </c>
      <c r="B24" s="185"/>
      <c r="C24" s="185"/>
      <c r="D24" s="181" t="s">
        <v>1985</v>
      </c>
    </row>
    <row r="25" spans="1:4" ht="15.75" thickBot="1">
      <c r="A25" s="184" t="s">
        <v>1986</v>
      </c>
      <c r="B25" s="185"/>
      <c r="C25" s="185"/>
      <c r="D25" s="181" t="s">
        <v>1987</v>
      </c>
    </row>
    <row r="26" spans="1:4" ht="15.75" thickBot="1">
      <c r="A26" s="184" t="s">
        <v>1988</v>
      </c>
      <c r="B26" s="185"/>
      <c r="C26" s="185"/>
      <c r="D26" s="181" t="s">
        <v>1989</v>
      </c>
    </row>
    <row r="27" spans="1:4" ht="26.25" thickBot="1">
      <c r="A27" s="184" t="s">
        <v>1990</v>
      </c>
      <c r="B27" s="186"/>
      <c r="C27" s="186"/>
      <c r="D27" s="181" t="s">
        <v>1991</v>
      </c>
    </row>
    <row r="28" spans="1:4" ht="15.75" thickBot="1">
      <c r="A28" s="184" t="s">
        <v>1972</v>
      </c>
      <c r="B28" s="185"/>
      <c r="C28" s="185"/>
      <c r="D28" s="181" t="s">
        <v>1992</v>
      </c>
    </row>
    <row r="29" spans="1:4" ht="15.75" thickBot="1">
      <c r="A29" s="184" t="s">
        <v>500</v>
      </c>
      <c r="B29" s="185"/>
      <c r="C29" s="185"/>
      <c r="D29" s="181" t="s">
        <v>501</v>
      </c>
    </row>
    <row r="30" spans="1:4" ht="15.75" thickBot="1">
      <c r="A30" s="184" t="s">
        <v>598</v>
      </c>
      <c r="B30" s="185"/>
      <c r="C30" s="185"/>
      <c r="D30" s="181" t="s">
        <v>599</v>
      </c>
    </row>
    <row r="31" spans="1:4" ht="15.75" thickBot="1">
      <c r="A31" s="182" t="s">
        <v>1538</v>
      </c>
      <c r="B31" s="180"/>
      <c r="C31" s="180"/>
      <c r="D31" s="181" t="s">
        <v>1540</v>
      </c>
    </row>
    <row r="32" spans="1:4" ht="15.75" thickBot="1">
      <c r="A32" s="183" t="s">
        <v>1993</v>
      </c>
      <c r="B32" s="180"/>
      <c r="C32" s="180"/>
      <c r="D32" s="181" t="s">
        <v>1994</v>
      </c>
    </row>
    <row r="33" spans="1:4" ht="15.75" thickBot="1">
      <c r="A33" s="184" t="s">
        <v>1995</v>
      </c>
      <c r="B33" s="185"/>
      <c r="C33" s="185"/>
      <c r="D33" s="181" t="s">
        <v>1996</v>
      </c>
    </row>
    <row r="34" spans="1:4" ht="15.75" thickBot="1">
      <c r="A34" s="184" t="s">
        <v>1997</v>
      </c>
      <c r="B34" s="185"/>
      <c r="C34" s="185"/>
      <c r="D34" s="181" t="s">
        <v>1998</v>
      </c>
    </row>
    <row r="35" spans="1:4" ht="15.75" thickBot="1">
      <c r="A35" s="184" t="s">
        <v>1999</v>
      </c>
      <c r="B35" s="185"/>
      <c r="C35" s="185"/>
      <c r="D35" s="181" t="s">
        <v>2000</v>
      </c>
    </row>
    <row r="36" spans="1:4" ht="15.75" thickBot="1">
      <c r="A36" s="184" t="s">
        <v>2001</v>
      </c>
      <c r="B36" s="185"/>
      <c r="C36" s="185"/>
      <c r="D36" s="181" t="s">
        <v>2002</v>
      </c>
    </row>
    <row r="37" spans="1:4" ht="15.75" thickBot="1">
      <c r="A37" s="184" t="s">
        <v>2003</v>
      </c>
      <c r="B37" s="185"/>
      <c r="C37" s="185"/>
      <c r="D37" s="181" t="s">
        <v>2004</v>
      </c>
    </row>
    <row r="38" spans="1:4" ht="15.75" thickBot="1">
      <c r="A38" s="184" t="s">
        <v>2005</v>
      </c>
      <c r="B38" s="185"/>
      <c r="C38" s="185"/>
      <c r="D38" s="181" t="s">
        <v>2006</v>
      </c>
    </row>
    <row r="39" spans="1:4" ht="15.75" thickBot="1">
      <c r="A39" s="184" t="s">
        <v>2007</v>
      </c>
      <c r="B39" s="185"/>
      <c r="C39" s="185"/>
      <c r="D39" s="181" t="s">
        <v>2008</v>
      </c>
    </row>
    <row r="40" spans="1:4" ht="15.75" thickBot="1">
      <c r="A40" s="184" t="s">
        <v>2009</v>
      </c>
      <c r="B40" s="185"/>
      <c r="C40" s="185"/>
      <c r="D40" s="181" t="s">
        <v>2010</v>
      </c>
    </row>
    <row r="41" spans="1:4" ht="15.75" thickBot="1">
      <c r="A41" s="184" t="s">
        <v>2011</v>
      </c>
      <c r="B41" s="185"/>
      <c r="C41" s="185"/>
      <c r="D41" s="181" t="s">
        <v>2012</v>
      </c>
    </row>
    <row r="42" spans="1:4" ht="15.75" thickBot="1">
      <c r="A42" s="184" t="s">
        <v>2013</v>
      </c>
      <c r="B42" s="185"/>
      <c r="C42" s="185"/>
      <c r="D42" s="181" t="s">
        <v>2014</v>
      </c>
    </row>
    <row r="43" spans="1:4" ht="15.75" thickBot="1">
      <c r="A43" s="184" t="s">
        <v>2015</v>
      </c>
      <c r="B43" s="185"/>
      <c r="C43" s="185"/>
      <c r="D43" s="181" t="s">
        <v>2016</v>
      </c>
    </row>
    <row r="44" spans="1:4" ht="15.75" thickBot="1">
      <c r="A44" s="184" t="s">
        <v>2017</v>
      </c>
      <c r="B44" s="185"/>
      <c r="C44" s="185"/>
      <c r="D44" s="181" t="s">
        <v>2018</v>
      </c>
    </row>
    <row r="45" spans="1:4" ht="15.75" thickBot="1">
      <c r="A45" s="184" t="s">
        <v>2019</v>
      </c>
      <c r="B45" s="185"/>
      <c r="C45" s="185"/>
      <c r="D45" s="181" t="s">
        <v>2020</v>
      </c>
    </row>
    <row r="46" spans="1:4" ht="15.75" thickBot="1">
      <c r="A46" s="184" t="s">
        <v>2021</v>
      </c>
      <c r="B46" s="185"/>
      <c r="C46" s="185"/>
      <c r="D46" s="181" t="s">
        <v>2022</v>
      </c>
    </row>
    <row r="47" spans="1:4" ht="26.25" thickBot="1">
      <c r="A47" s="184" t="s">
        <v>2023</v>
      </c>
      <c r="B47" s="185"/>
      <c r="C47" s="185"/>
      <c r="D47" s="181" t="s">
        <v>2024</v>
      </c>
    </row>
    <row r="48" spans="1:4" ht="26.25" thickBot="1">
      <c r="A48" s="184" t="s">
        <v>2025</v>
      </c>
      <c r="B48" s="185"/>
      <c r="C48" s="185"/>
      <c r="D48" s="181" t="s">
        <v>2026</v>
      </c>
    </row>
    <row r="49" spans="1:4" ht="15.75" thickBot="1">
      <c r="A49" s="184" t="s">
        <v>2027</v>
      </c>
      <c r="B49" s="185"/>
      <c r="C49" s="185"/>
      <c r="D49" s="181" t="s">
        <v>2028</v>
      </c>
    </row>
    <row r="50" spans="1:4" ht="15.75" thickBot="1">
      <c r="A50" s="184" t="s">
        <v>2029</v>
      </c>
      <c r="B50" s="185"/>
      <c r="C50" s="185"/>
      <c r="D50" s="181" t="s">
        <v>2030</v>
      </c>
    </row>
    <row r="51" spans="1:4" ht="15.75" thickBot="1">
      <c r="A51" s="184" t="s">
        <v>2031</v>
      </c>
      <c r="B51" s="185"/>
      <c r="C51" s="185"/>
      <c r="D51" s="181" t="s">
        <v>2032</v>
      </c>
    </row>
    <row r="52" spans="1:4" ht="15.75" thickBot="1">
      <c r="A52" s="184" t="s">
        <v>2033</v>
      </c>
      <c r="B52" s="185"/>
      <c r="C52" s="185"/>
      <c r="D52" s="181" t="s">
        <v>2034</v>
      </c>
    </row>
    <row r="53" spans="1:4" ht="15.75" thickBot="1">
      <c r="A53" s="184" t="s">
        <v>2035</v>
      </c>
      <c r="B53" s="185"/>
      <c r="C53" s="185"/>
      <c r="D53" s="181" t="s">
        <v>2036</v>
      </c>
    </row>
    <row r="54" spans="1:4" ht="15.75" thickBot="1">
      <c r="A54" s="184" t="s">
        <v>2037</v>
      </c>
      <c r="B54" s="185"/>
      <c r="C54" s="185"/>
      <c r="D54" s="181" t="s">
        <v>2038</v>
      </c>
    </row>
    <row r="55" spans="1:4" ht="15.75" thickBot="1">
      <c r="A55" s="184" t="s">
        <v>2039</v>
      </c>
      <c r="B55" s="185"/>
      <c r="C55" s="185"/>
      <c r="D55" s="181" t="s">
        <v>2040</v>
      </c>
    </row>
    <row r="56" spans="1:4" ht="15.75" thickBot="1">
      <c r="A56" s="184" t="s">
        <v>2041</v>
      </c>
      <c r="B56" s="185"/>
      <c r="C56" s="185"/>
      <c r="D56" s="181" t="s">
        <v>2042</v>
      </c>
    </row>
    <row r="57" spans="1:4" ht="15.75" thickBot="1">
      <c r="A57" s="184" t="s">
        <v>2043</v>
      </c>
      <c r="B57" s="185"/>
      <c r="C57" s="185"/>
      <c r="D57" s="181" t="s">
        <v>2044</v>
      </c>
    </row>
    <row r="58" spans="1:4" ht="15.75" thickBot="1">
      <c r="A58" s="184" t="s">
        <v>2045</v>
      </c>
      <c r="B58" s="185">
        <v>1318118387</v>
      </c>
      <c r="C58" s="185">
        <v>1296757238</v>
      </c>
      <c r="D58" s="181" t="s">
        <v>2046</v>
      </c>
    </row>
    <row r="59" spans="1:4" ht="15.75" thickBot="1">
      <c r="A59" s="184" t="s">
        <v>2047</v>
      </c>
      <c r="B59" s="185">
        <v>1318118387</v>
      </c>
      <c r="C59" s="185">
        <v>1296757238</v>
      </c>
      <c r="D59" s="181" t="s">
        <v>2048</v>
      </c>
    </row>
    <row r="60" spans="1:4" ht="26.25" thickBot="1">
      <c r="A60" s="184" t="s">
        <v>2049</v>
      </c>
      <c r="B60" s="186">
        <v>4494966</v>
      </c>
      <c r="C60" s="186">
        <v>1398770</v>
      </c>
      <c r="D60" s="181" t="s">
        <v>2050</v>
      </c>
    </row>
    <row r="61" spans="1:4" ht="15.75" thickBot="1">
      <c r="A61" s="184" t="s">
        <v>1538</v>
      </c>
      <c r="B61" s="185">
        <v>1313623421</v>
      </c>
      <c r="C61" s="185">
        <v>1295358468</v>
      </c>
      <c r="D61" s="181" t="s">
        <v>1540</v>
      </c>
    </row>
    <row r="62" spans="1:4" ht="15.75" thickBot="1">
      <c r="A62" s="184" t="s">
        <v>496</v>
      </c>
      <c r="B62" s="185">
        <v>1313623421</v>
      </c>
      <c r="C62" s="185">
        <v>1295358468</v>
      </c>
      <c r="D62" s="181" t="s">
        <v>497</v>
      </c>
    </row>
    <row r="63" spans="1:4" ht="15.75" thickBot="1">
      <c r="A63" s="184" t="s">
        <v>600</v>
      </c>
      <c r="B63" s="185"/>
      <c r="C63" s="185"/>
      <c r="D63" s="181" t="s">
        <v>595</v>
      </c>
    </row>
    <row r="64" spans="1:4" ht="17.25" customHeight="1">
      <c r="A64" s="375" t="s">
        <v>2049</v>
      </c>
      <c r="B64" s="375"/>
      <c r="C64" s="376" t="s">
        <v>2050</v>
      </c>
      <c r="D64" s="376"/>
    </row>
    <row r="65" spans="1:4" ht="23.25">
      <c r="A65" s="177"/>
      <c r="B65" s="178" t="s">
        <v>104</v>
      </c>
      <c r="C65" s="178" t="s">
        <v>106</v>
      </c>
    </row>
    <row r="66" spans="1:4" ht="15.75" thickBot="1">
      <c r="A66" s="179" t="s">
        <v>2049</v>
      </c>
      <c r="B66" s="180"/>
      <c r="C66" s="180"/>
      <c r="D66" s="181" t="s">
        <v>2050</v>
      </c>
    </row>
    <row r="67" spans="1:4" ht="26.25" thickBot="1">
      <c r="A67" s="182" t="s">
        <v>2051</v>
      </c>
      <c r="B67" s="180"/>
      <c r="C67" s="180"/>
      <c r="D67" s="181" t="s">
        <v>2052</v>
      </c>
    </row>
    <row r="68" spans="1:4" ht="26.25" thickBot="1">
      <c r="A68" s="183" t="s">
        <v>2053</v>
      </c>
      <c r="B68" s="185">
        <v>1398770</v>
      </c>
      <c r="C68" s="185">
        <v>1496812</v>
      </c>
      <c r="D68" s="181" t="s">
        <v>2054</v>
      </c>
    </row>
    <row r="69" spans="1:4" ht="26.25" thickBot="1">
      <c r="A69" s="183" t="s">
        <v>2055</v>
      </c>
      <c r="B69" s="185">
        <v>3096196</v>
      </c>
      <c r="C69" s="185">
        <v>-98042</v>
      </c>
      <c r="D69" s="181" t="s">
        <v>2056</v>
      </c>
    </row>
    <row r="70" spans="1:4" ht="26.25" thickBot="1">
      <c r="A70" s="183" t="s">
        <v>2057</v>
      </c>
      <c r="B70" s="185">
        <v>4494966</v>
      </c>
      <c r="C70" s="185">
        <v>1398770</v>
      </c>
      <c r="D70" s="181" t="s">
        <v>2058</v>
      </c>
    </row>
    <row r="71" spans="1:4" ht="26.25" thickBot="1">
      <c r="A71" s="182" t="s">
        <v>2059</v>
      </c>
      <c r="B71" s="180"/>
      <c r="C71" s="180"/>
      <c r="D71" s="181" t="s">
        <v>2060</v>
      </c>
    </row>
    <row r="72" spans="1:4" ht="26.25" thickBot="1">
      <c r="A72" s="183" t="s">
        <v>2061</v>
      </c>
      <c r="B72" s="185"/>
      <c r="C72" s="185"/>
      <c r="D72" s="181" t="s">
        <v>2062</v>
      </c>
    </row>
    <row r="73" spans="1:4" ht="39" thickBot="1">
      <c r="A73" s="183" t="s">
        <v>2063</v>
      </c>
      <c r="B73" s="185"/>
      <c r="C73" s="185"/>
      <c r="D73" s="181" t="s">
        <v>2064</v>
      </c>
    </row>
    <row r="74" spans="1:4" ht="26.25" thickBot="1">
      <c r="A74" s="183" t="s">
        <v>2065</v>
      </c>
      <c r="B74" s="185"/>
      <c r="C74" s="185"/>
      <c r="D74" s="181" t="s">
        <v>2066</v>
      </c>
    </row>
    <row r="75" spans="1:4" ht="26.25" thickBot="1">
      <c r="A75" s="182" t="s">
        <v>2067</v>
      </c>
      <c r="B75" s="180"/>
      <c r="C75" s="180"/>
      <c r="D75" s="181" t="s">
        <v>2068</v>
      </c>
    </row>
    <row r="76" spans="1:4" ht="26.25" thickBot="1">
      <c r="A76" s="183" t="s">
        <v>2069</v>
      </c>
      <c r="B76" s="185"/>
      <c r="C76" s="185"/>
      <c r="D76" s="181" t="s">
        <v>2070</v>
      </c>
    </row>
    <row r="77" spans="1:4" ht="26.25" thickBot="1">
      <c r="A77" s="183" t="s">
        <v>2071</v>
      </c>
      <c r="B77" s="185"/>
      <c r="C77" s="185"/>
      <c r="D77" s="181" t="s">
        <v>2072</v>
      </c>
    </row>
    <row r="78" spans="1:4" ht="26.25" thickBot="1">
      <c r="A78" s="183" t="s">
        <v>2073</v>
      </c>
      <c r="B78" s="185"/>
      <c r="C78" s="185"/>
      <c r="D78" s="181" t="s">
        <v>2074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11A8A65-3489-4C50-8FB6-C8FA1C9B2C47}">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80843-AEA3-4114-9AF3-FA6F2FCCEB90}">
  <dimension ref="A1:C6"/>
  <sheetViews>
    <sheetView showGridLines="0" workbookViewId="0">
      <selection sqref="A1:C1"/>
    </sheetView>
  </sheetViews>
  <sheetFormatPr defaultRowHeight="15"/>
  <cols>
    <col min="1" max="1" width="41.83203125" style="187" bestFit="1" customWidth="1" collapsed="1"/>
    <col min="2" max="2" width="33.33203125" style="187" customWidth="1" collapsed="1"/>
    <col min="3" max="3" width="34.1640625" style="187" bestFit="1" customWidth="1" collapsed="1"/>
    <col min="4" max="16384" width="9.33203125" style="187" collapsed="1"/>
  </cols>
  <sheetData>
    <row r="1" spans="1:3" ht="34.5" customHeight="1">
      <c r="A1" s="377" t="s">
        <v>2075</v>
      </c>
      <c r="B1" s="378"/>
      <c r="C1" s="378"/>
    </row>
    <row r="3" spans="1:3" ht="17.25" customHeight="1">
      <c r="A3" s="188" t="s">
        <v>1738</v>
      </c>
      <c r="B3" s="379" t="s">
        <v>1739</v>
      </c>
      <c r="C3" s="379"/>
    </row>
    <row r="4" spans="1:3">
      <c r="A4" s="189"/>
      <c r="B4" s="190" t="s">
        <v>104</v>
      </c>
    </row>
    <row r="5" spans="1:3" ht="15.75" thickBot="1">
      <c r="A5" s="191" t="s">
        <v>1738</v>
      </c>
      <c r="B5" s="192"/>
      <c r="C5" s="193" t="s">
        <v>1739</v>
      </c>
    </row>
    <row r="6" spans="1:3" ht="75" customHeight="1" thickBot="1">
      <c r="A6" s="194" t="s">
        <v>2076</v>
      </c>
      <c r="B6" s="195" t="s">
        <v>2077</v>
      </c>
      <c r="C6" s="193" t="s">
        <v>2078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E1B563-269D-4EE4-A04E-0356B778B6AC}">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0DC5E-B149-4B61-BBA6-307889DB7071}">
  <dimension ref="A1:J32"/>
  <sheetViews>
    <sheetView showGridLines="0" workbookViewId="0"/>
  </sheetViews>
  <sheetFormatPr defaultRowHeight="15"/>
  <cols>
    <col min="1" max="1" width="22.5" style="197" customWidth="1" collapsed="1"/>
    <col min="2" max="2" width="28.83203125" style="197" customWidth="1" collapsed="1"/>
    <col min="3" max="3" width="30" style="197" bestFit="1" customWidth="1" collapsed="1"/>
    <col min="4" max="4" width="15.6640625" style="197" bestFit="1" customWidth="1" collapsed="1"/>
    <col min="5" max="5" width="14" style="197" bestFit="1" customWidth="1" collapsed="1"/>
    <col min="6" max="6" width="22.5" style="197" customWidth="1" collapsed="1"/>
    <col min="7" max="7" width="28.83203125" style="197" customWidth="1" collapsed="1"/>
    <col min="8" max="8" width="30" style="197" bestFit="1" customWidth="1" collapsed="1"/>
    <col min="9" max="9" width="15.6640625" style="197" bestFit="1" customWidth="1" collapsed="1"/>
    <col min="10" max="10" width="14" style="197" bestFit="1" customWidth="1" collapsed="1"/>
    <col min="11" max="16384" width="9.33203125" style="197" collapsed="1"/>
  </cols>
  <sheetData>
    <row r="1" spans="1:10" ht="17.25">
      <c r="A1" s="196" t="s">
        <v>2079</v>
      </c>
    </row>
    <row r="3" spans="1:10" ht="17.25" customHeight="1">
      <c r="A3" s="380" t="s">
        <v>19</v>
      </c>
      <c r="B3" s="380"/>
      <c r="C3" s="380"/>
      <c r="D3" s="380"/>
      <c r="E3" s="380"/>
      <c r="F3" s="381" t="s">
        <v>106</v>
      </c>
      <c r="G3" s="381"/>
      <c r="H3" s="381"/>
      <c r="I3" s="381"/>
      <c r="J3" s="381"/>
    </row>
    <row r="4" spans="1:10" ht="34.5" customHeight="1">
      <c r="A4" s="380" t="s">
        <v>2080</v>
      </c>
      <c r="B4" s="380"/>
      <c r="C4" s="381" t="s">
        <v>2081</v>
      </c>
      <c r="D4" s="381"/>
      <c r="E4" s="381"/>
      <c r="F4" s="380" t="s">
        <v>2080</v>
      </c>
      <c r="G4" s="380"/>
      <c r="H4" s="381" t="s">
        <v>2081</v>
      </c>
      <c r="I4" s="381"/>
      <c r="J4" s="381"/>
    </row>
    <row r="5" spans="1:10" ht="23.25">
      <c r="A5" s="388"/>
      <c r="B5" s="388"/>
      <c r="C5" s="198" t="s">
        <v>2082</v>
      </c>
      <c r="D5" s="388"/>
      <c r="E5" s="388"/>
      <c r="F5" s="388"/>
      <c r="G5" s="388"/>
      <c r="H5" s="198" t="s">
        <v>2082</v>
      </c>
      <c r="I5" s="388"/>
      <c r="J5" s="388"/>
    </row>
    <row r="6" spans="1:10">
      <c r="A6" s="388"/>
      <c r="B6" s="388"/>
      <c r="C6" s="198" t="s">
        <v>682</v>
      </c>
      <c r="D6" s="388"/>
      <c r="E6" s="388"/>
      <c r="F6" s="388"/>
      <c r="G6" s="388"/>
      <c r="H6" s="198" t="s">
        <v>682</v>
      </c>
      <c r="I6" s="388"/>
      <c r="J6" s="388"/>
    </row>
    <row r="7" spans="1:10" ht="15.75" thickBot="1">
      <c r="A7" s="383" t="s">
        <v>1844</v>
      </c>
      <c r="B7" s="199" t="s">
        <v>1845</v>
      </c>
      <c r="C7" s="200">
        <v>792205658</v>
      </c>
      <c r="D7" s="201" t="s">
        <v>1845</v>
      </c>
      <c r="E7" s="386" t="s">
        <v>1846</v>
      </c>
      <c r="F7" s="383" t="s">
        <v>1844</v>
      </c>
      <c r="G7" s="199" t="s">
        <v>1845</v>
      </c>
      <c r="H7" s="200">
        <v>625405645</v>
      </c>
      <c r="I7" s="201" t="s">
        <v>1845</v>
      </c>
      <c r="J7" s="386" t="s">
        <v>1846</v>
      </c>
    </row>
    <row r="8" spans="1:10" ht="15.75" thickBot="1">
      <c r="A8" s="383"/>
      <c r="B8" s="199" t="s">
        <v>1847</v>
      </c>
      <c r="C8" s="200"/>
      <c r="D8" s="201" t="s">
        <v>1847</v>
      </c>
      <c r="E8" s="386"/>
      <c r="F8" s="383"/>
      <c r="G8" s="199" t="s">
        <v>1847</v>
      </c>
      <c r="H8" s="200"/>
      <c r="I8" s="201" t="s">
        <v>1847</v>
      </c>
      <c r="J8" s="386"/>
    </row>
    <row r="9" spans="1:10" ht="15.75" thickBot="1">
      <c r="A9" s="383"/>
      <c r="B9" s="199" t="s">
        <v>1848</v>
      </c>
      <c r="C9" s="200"/>
      <c r="D9" s="201" t="s">
        <v>1848</v>
      </c>
      <c r="E9" s="386"/>
      <c r="F9" s="383"/>
      <c r="G9" s="199" t="s">
        <v>1848</v>
      </c>
      <c r="H9" s="200"/>
      <c r="I9" s="201" t="s">
        <v>1848</v>
      </c>
      <c r="J9" s="386"/>
    </row>
    <row r="10" spans="1:10" ht="15.75" thickBot="1">
      <c r="A10" s="383"/>
      <c r="B10" s="199" t="s">
        <v>1849</v>
      </c>
      <c r="C10" s="200">
        <v>9316022</v>
      </c>
      <c r="D10" s="201" t="s">
        <v>1849</v>
      </c>
      <c r="E10" s="386"/>
      <c r="F10" s="383"/>
      <c r="G10" s="199" t="s">
        <v>1849</v>
      </c>
      <c r="H10" s="200">
        <v>13233831</v>
      </c>
      <c r="I10" s="201" t="s">
        <v>1849</v>
      </c>
      <c r="J10" s="386"/>
    </row>
    <row r="11" spans="1:10" ht="15.75" thickBot="1">
      <c r="A11" s="383"/>
      <c r="B11" s="199" t="s">
        <v>1850</v>
      </c>
      <c r="C11" s="200">
        <v>27437</v>
      </c>
      <c r="D11" s="201" t="s">
        <v>1850</v>
      </c>
      <c r="E11" s="386"/>
      <c r="F11" s="383"/>
      <c r="G11" s="199" t="s">
        <v>1850</v>
      </c>
      <c r="H11" s="200"/>
      <c r="I11" s="201" t="s">
        <v>1850</v>
      </c>
      <c r="J11" s="386"/>
    </row>
    <row r="12" spans="1:10" ht="15.75" thickBot="1">
      <c r="A12" s="383"/>
      <c r="B12" s="199" t="s">
        <v>1851</v>
      </c>
      <c r="C12" s="200"/>
      <c r="D12" s="201" t="s">
        <v>1851</v>
      </c>
      <c r="E12" s="386"/>
      <c r="F12" s="383"/>
      <c r="G12" s="199" t="s">
        <v>1851</v>
      </c>
      <c r="H12" s="200"/>
      <c r="I12" s="201" t="s">
        <v>1851</v>
      </c>
      <c r="J12" s="386"/>
    </row>
    <row r="13" spans="1:10" ht="15.75" thickBot="1">
      <c r="A13" s="383"/>
      <c r="B13" s="199" t="s">
        <v>1852</v>
      </c>
      <c r="C13" s="200">
        <v>8298</v>
      </c>
      <c r="D13" s="201" t="s">
        <v>1852</v>
      </c>
      <c r="E13" s="386"/>
      <c r="F13" s="383"/>
      <c r="G13" s="199" t="s">
        <v>1852</v>
      </c>
      <c r="H13" s="200">
        <v>7904</v>
      </c>
      <c r="I13" s="201" t="s">
        <v>1852</v>
      </c>
      <c r="J13" s="386"/>
    </row>
    <row r="14" spans="1:10" ht="15.75" thickBot="1">
      <c r="A14" s="383"/>
      <c r="B14" s="199" t="s">
        <v>1853</v>
      </c>
      <c r="C14" s="200"/>
      <c r="D14" s="201" t="s">
        <v>1853</v>
      </c>
      <c r="E14" s="386"/>
      <c r="F14" s="383"/>
      <c r="G14" s="199" t="s">
        <v>1853</v>
      </c>
      <c r="H14" s="200"/>
      <c r="I14" s="201" t="s">
        <v>1853</v>
      </c>
      <c r="J14" s="386"/>
    </row>
    <row r="15" spans="1:10" ht="15.75" thickBot="1">
      <c r="A15" s="383"/>
      <c r="B15" s="199" t="s">
        <v>1854</v>
      </c>
      <c r="C15" s="200">
        <v>702</v>
      </c>
      <c r="D15" s="201" t="s">
        <v>1854</v>
      </c>
      <c r="E15" s="386"/>
      <c r="F15" s="383"/>
      <c r="G15" s="199" t="s">
        <v>1854</v>
      </c>
      <c r="H15" s="200">
        <v>53569</v>
      </c>
      <c r="I15" s="201" t="s">
        <v>1854</v>
      </c>
      <c r="J15" s="386"/>
    </row>
    <row r="16" spans="1:10" ht="15.75" thickBot="1">
      <c r="A16" s="383"/>
      <c r="B16" s="199" t="s">
        <v>1855</v>
      </c>
      <c r="C16" s="200"/>
      <c r="D16" s="201" t="s">
        <v>1855</v>
      </c>
      <c r="E16" s="386"/>
      <c r="F16" s="383"/>
      <c r="G16" s="199" t="s">
        <v>1855</v>
      </c>
      <c r="H16" s="200"/>
      <c r="I16" s="201" t="s">
        <v>1855</v>
      </c>
      <c r="J16" s="386"/>
    </row>
    <row r="17" spans="1:10" ht="15.75" thickBot="1">
      <c r="A17" s="383"/>
      <c r="B17" s="199" t="s">
        <v>1856</v>
      </c>
      <c r="C17" s="200">
        <v>157768846</v>
      </c>
      <c r="D17" s="201" t="s">
        <v>1856</v>
      </c>
      <c r="E17" s="386"/>
      <c r="F17" s="383"/>
      <c r="G17" s="199" t="s">
        <v>1856</v>
      </c>
      <c r="H17" s="200">
        <v>102855722</v>
      </c>
      <c r="I17" s="201" t="s">
        <v>1856</v>
      </c>
      <c r="J17" s="386"/>
    </row>
    <row r="18" spans="1:10" ht="15.75" thickBot="1">
      <c r="A18" s="383"/>
      <c r="B18" s="199" t="s">
        <v>1857</v>
      </c>
      <c r="C18" s="200">
        <v>9139397</v>
      </c>
      <c r="D18" s="201" t="s">
        <v>1858</v>
      </c>
      <c r="E18" s="386"/>
      <c r="F18" s="383"/>
      <c r="G18" s="199" t="s">
        <v>1857</v>
      </c>
      <c r="H18" s="200">
        <v>10752126</v>
      </c>
      <c r="I18" s="201" t="s">
        <v>1858</v>
      </c>
      <c r="J18" s="386"/>
    </row>
    <row r="19" spans="1:10" ht="15.75" thickBot="1">
      <c r="A19" s="384"/>
      <c r="B19" s="199" t="s">
        <v>1859</v>
      </c>
      <c r="C19" s="200">
        <v>968466360</v>
      </c>
      <c r="D19" s="201" t="s">
        <v>1860</v>
      </c>
      <c r="E19" s="387"/>
      <c r="F19" s="384"/>
      <c r="G19" s="199" t="s">
        <v>1859</v>
      </c>
      <c r="H19" s="200">
        <v>752308797</v>
      </c>
      <c r="I19" s="201" t="s">
        <v>1860</v>
      </c>
      <c r="J19" s="387"/>
    </row>
    <row r="20" spans="1:10" ht="15.75" thickBot="1">
      <c r="A20" s="382" t="s">
        <v>1861</v>
      </c>
      <c r="B20" s="199" t="s">
        <v>1845</v>
      </c>
      <c r="C20" s="200">
        <v>1170915</v>
      </c>
      <c r="D20" s="201" t="s">
        <v>1845</v>
      </c>
      <c r="E20" s="385" t="s">
        <v>1862</v>
      </c>
      <c r="F20" s="382" t="s">
        <v>1861</v>
      </c>
      <c r="G20" s="199" t="s">
        <v>1845</v>
      </c>
      <c r="H20" s="200">
        <v>1818478</v>
      </c>
      <c r="I20" s="201" t="s">
        <v>1845</v>
      </c>
      <c r="J20" s="385" t="s">
        <v>1862</v>
      </c>
    </row>
    <row r="21" spans="1:10" ht="15.75" thickBot="1">
      <c r="A21" s="383"/>
      <c r="B21" s="199" t="s">
        <v>1847</v>
      </c>
      <c r="C21" s="200"/>
      <c r="D21" s="201" t="s">
        <v>1847</v>
      </c>
      <c r="E21" s="386"/>
      <c r="F21" s="383"/>
      <c r="G21" s="199" t="s">
        <v>1847</v>
      </c>
      <c r="H21" s="200"/>
      <c r="I21" s="201" t="s">
        <v>1847</v>
      </c>
      <c r="J21" s="386"/>
    </row>
    <row r="22" spans="1:10" ht="15.75" thickBot="1">
      <c r="A22" s="383"/>
      <c r="B22" s="199" t="s">
        <v>1848</v>
      </c>
      <c r="C22" s="200"/>
      <c r="D22" s="201" t="s">
        <v>1848</v>
      </c>
      <c r="E22" s="386"/>
      <c r="F22" s="383"/>
      <c r="G22" s="199" t="s">
        <v>1848</v>
      </c>
      <c r="H22" s="200"/>
      <c r="I22" s="201" t="s">
        <v>1848</v>
      </c>
      <c r="J22" s="386"/>
    </row>
    <row r="23" spans="1:10" ht="15.75" thickBot="1">
      <c r="A23" s="383"/>
      <c r="B23" s="199" t="s">
        <v>1849</v>
      </c>
      <c r="C23" s="200"/>
      <c r="D23" s="201" t="s">
        <v>1849</v>
      </c>
      <c r="E23" s="386"/>
      <c r="F23" s="383"/>
      <c r="G23" s="199" t="s">
        <v>1849</v>
      </c>
      <c r="H23" s="200"/>
      <c r="I23" s="201" t="s">
        <v>1849</v>
      </c>
      <c r="J23" s="386"/>
    </row>
    <row r="24" spans="1:10" ht="15.75" thickBot="1">
      <c r="A24" s="383"/>
      <c r="B24" s="199" t="s">
        <v>1850</v>
      </c>
      <c r="C24" s="200"/>
      <c r="D24" s="201" t="s">
        <v>1850</v>
      </c>
      <c r="E24" s="386"/>
      <c r="F24" s="383"/>
      <c r="G24" s="199" t="s">
        <v>1850</v>
      </c>
      <c r="H24" s="200"/>
      <c r="I24" s="201" t="s">
        <v>1850</v>
      </c>
      <c r="J24" s="386"/>
    </row>
    <row r="25" spans="1:10" ht="15.75" thickBot="1">
      <c r="A25" s="383"/>
      <c r="B25" s="199" t="s">
        <v>1851</v>
      </c>
      <c r="C25" s="200"/>
      <c r="D25" s="201" t="s">
        <v>1851</v>
      </c>
      <c r="E25" s="386"/>
      <c r="F25" s="383"/>
      <c r="G25" s="199" t="s">
        <v>1851</v>
      </c>
      <c r="H25" s="200"/>
      <c r="I25" s="201" t="s">
        <v>1851</v>
      </c>
      <c r="J25" s="386"/>
    </row>
    <row r="26" spans="1:10" ht="15.75" thickBot="1">
      <c r="A26" s="383"/>
      <c r="B26" s="199" t="s">
        <v>1852</v>
      </c>
      <c r="C26" s="200"/>
      <c r="D26" s="201" t="s">
        <v>1852</v>
      </c>
      <c r="E26" s="386"/>
      <c r="F26" s="383"/>
      <c r="G26" s="199" t="s">
        <v>1852</v>
      </c>
      <c r="H26" s="200"/>
      <c r="I26" s="201" t="s">
        <v>1852</v>
      </c>
      <c r="J26" s="386"/>
    </row>
    <row r="27" spans="1:10" ht="15.75" thickBot="1">
      <c r="A27" s="383"/>
      <c r="B27" s="199" t="s">
        <v>1853</v>
      </c>
      <c r="C27" s="200"/>
      <c r="D27" s="201" t="s">
        <v>1853</v>
      </c>
      <c r="E27" s="386"/>
      <c r="F27" s="383"/>
      <c r="G27" s="199" t="s">
        <v>1853</v>
      </c>
      <c r="H27" s="200"/>
      <c r="I27" s="201" t="s">
        <v>1853</v>
      </c>
      <c r="J27" s="386"/>
    </row>
    <row r="28" spans="1:10" ht="15.75" thickBot="1">
      <c r="A28" s="383"/>
      <c r="B28" s="199" t="s">
        <v>1854</v>
      </c>
      <c r="C28" s="200"/>
      <c r="D28" s="201" t="s">
        <v>1854</v>
      </c>
      <c r="E28" s="386"/>
      <c r="F28" s="383"/>
      <c r="G28" s="199" t="s">
        <v>1854</v>
      </c>
      <c r="H28" s="200"/>
      <c r="I28" s="201" t="s">
        <v>1854</v>
      </c>
      <c r="J28" s="386"/>
    </row>
    <row r="29" spans="1:10" ht="15.75" thickBot="1">
      <c r="A29" s="383"/>
      <c r="B29" s="199" t="s">
        <v>1855</v>
      </c>
      <c r="C29" s="200"/>
      <c r="D29" s="201" t="s">
        <v>1855</v>
      </c>
      <c r="E29" s="386"/>
      <c r="F29" s="383"/>
      <c r="G29" s="199" t="s">
        <v>1855</v>
      </c>
      <c r="H29" s="200"/>
      <c r="I29" s="201" t="s">
        <v>1855</v>
      </c>
      <c r="J29" s="386"/>
    </row>
    <row r="30" spans="1:10" ht="15.75" thickBot="1">
      <c r="A30" s="383"/>
      <c r="B30" s="199" t="s">
        <v>1856</v>
      </c>
      <c r="C30" s="200"/>
      <c r="D30" s="201" t="s">
        <v>1856</v>
      </c>
      <c r="E30" s="386"/>
      <c r="F30" s="383"/>
      <c r="G30" s="199" t="s">
        <v>1856</v>
      </c>
      <c r="H30" s="200"/>
      <c r="I30" s="201" t="s">
        <v>1856</v>
      </c>
      <c r="J30" s="386"/>
    </row>
    <row r="31" spans="1:10" ht="15.75" thickBot="1">
      <c r="A31" s="383"/>
      <c r="B31" s="199" t="s">
        <v>1857</v>
      </c>
      <c r="C31" s="200"/>
      <c r="D31" s="201" t="s">
        <v>1858</v>
      </c>
      <c r="E31" s="386"/>
      <c r="F31" s="383"/>
      <c r="G31" s="199" t="s">
        <v>1857</v>
      </c>
      <c r="H31" s="200"/>
      <c r="I31" s="201" t="s">
        <v>1858</v>
      </c>
      <c r="J31" s="386"/>
    </row>
    <row r="32" spans="1:10" ht="15.75" thickBot="1">
      <c r="A32" s="384"/>
      <c r="B32" s="199" t="s">
        <v>1859</v>
      </c>
      <c r="C32" s="200">
        <v>1170915</v>
      </c>
      <c r="D32" s="201" t="s">
        <v>1860</v>
      </c>
      <c r="E32" s="387"/>
      <c r="F32" s="384"/>
      <c r="G32" s="199" t="s">
        <v>1859</v>
      </c>
      <c r="H32" s="200">
        <v>1818478</v>
      </c>
      <c r="I32" s="201" t="s">
        <v>1860</v>
      </c>
      <c r="J32" s="38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EC98319-C53A-4245-9D52-AE99B8D20B6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A5EF8-976C-4F9C-97F6-999EF3E08035}">
  <dimension ref="A1:J47"/>
  <sheetViews>
    <sheetView showGridLines="0" workbookViewId="0"/>
  </sheetViews>
  <sheetFormatPr defaultRowHeight="15"/>
  <cols>
    <col min="1" max="1" width="23.6640625" style="203" customWidth="1" collapsed="1"/>
    <col min="2" max="2" width="23" style="203" customWidth="1" collapsed="1"/>
    <col min="3" max="3" width="30" style="203" bestFit="1" customWidth="1" collapsed="1"/>
    <col min="4" max="4" width="20.6640625" style="203" bestFit="1" customWidth="1" collapsed="1"/>
    <col min="5" max="5" width="12.33203125" style="203" bestFit="1" customWidth="1" collapsed="1"/>
    <col min="6" max="6" width="23.6640625" style="203" customWidth="1" collapsed="1"/>
    <col min="7" max="7" width="23" style="203" customWidth="1" collapsed="1"/>
    <col min="8" max="8" width="30" style="203" bestFit="1" customWidth="1" collapsed="1"/>
    <col min="9" max="9" width="20.6640625" style="203" bestFit="1" customWidth="1" collapsed="1"/>
    <col min="10" max="10" width="12.33203125" style="203" bestFit="1" customWidth="1" collapsed="1"/>
    <col min="11" max="16384" width="9.33203125" style="203" collapsed="1"/>
  </cols>
  <sheetData>
    <row r="1" spans="1:10" ht="17.25">
      <c r="A1" s="202" t="s">
        <v>2083</v>
      </c>
    </row>
    <row r="3" spans="1:10" ht="17.25" customHeight="1">
      <c r="A3" s="389" t="s">
        <v>19</v>
      </c>
      <c r="B3" s="389"/>
      <c r="C3" s="389"/>
      <c r="D3" s="389"/>
      <c r="E3" s="389"/>
      <c r="F3" s="390" t="s">
        <v>106</v>
      </c>
      <c r="G3" s="390"/>
      <c r="H3" s="390"/>
      <c r="I3" s="390"/>
      <c r="J3" s="390"/>
    </row>
    <row r="4" spans="1:10" ht="17.25" customHeight="1">
      <c r="A4" s="389" t="s">
        <v>2084</v>
      </c>
      <c r="B4" s="389"/>
      <c r="C4" s="390" t="s">
        <v>2085</v>
      </c>
      <c r="D4" s="390"/>
      <c r="E4" s="390"/>
      <c r="F4" s="389" t="s">
        <v>2084</v>
      </c>
      <c r="G4" s="389"/>
      <c r="H4" s="390" t="s">
        <v>2085</v>
      </c>
      <c r="I4" s="390"/>
      <c r="J4" s="390"/>
    </row>
    <row r="5" spans="1:10" ht="23.25">
      <c r="A5" s="391"/>
      <c r="B5" s="391"/>
      <c r="C5" s="204" t="s">
        <v>2082</v>
      </c>
      <c r="D5" s="391"/>
      <c r="E5" s="391"/>
      <c r="F5" s="391"/>
      <c r="G5" s="391"/>
      <c r="H5" s="204" t="s">
        <v>2082</v>
      </c>
      <c r="I5" s="391"/>
      <c r="J5" s="391"/>
    </row>
    <row r="6" spans="1:10">
      <c r="A6" s="391"/>
      <c r="B6" s="391"/>
      <c r="C6" s="204" t="s">
        <v>682</v>
      </c>
      <c r="D6" s="391"/>
      <c r="E6" s="391"/>
      <c r="F6" s="391"/>
      <c r="G6" s="391"/>
      <c r="H6" s="204" t="s">
        <v>682</v>
      </c>
      <c r="I6" s="391"/>
      <c r="J6" s="391"/>
    </row>
    <row r="7" spans="1:10" ht="15.75" thickBot="1">
      <c r="A7" s="394" t="s">
        <v>1871</v>
      </c>
      <c r="B7" s="205" t="s">
        <v>1872</v>
      </c>
      <c r="C7" s="206">
        <v>187425899</v>
      </c>
      <c r="D7" s="207" t="s">
        <v>1873</v>
      </c>
      <c r="E7" s="396" t="s">
        <v>1874</v>
      </c>
      <c r="F7" s="394" t="s">
        <v>1871</v>
      </c>
      <c r="G7" s="205" t="s">
        <v>1872</v>
      </c>
      <c r="H7" s="206">
        <v>135428670</v>
      </c>
      <c r="I7" s="207" t="s">
        <v>1873</v>
      </c>
      <c r="J7" s="396" t="s">
        <v>1874</v>
      </c>
    </row>
    <row r="8" spans="1:10" ht="15.75" thickBot="1">
      <c r="A8" s="394"/>
      <c r="B8" s="205" t="s">
        <v>1875</v>
      </c>
      <c r="C8" s="206"/>
      <c r="D8" s="207" t="s">
        <v>1876</v>
      </c>
      <c r="E8" s="396"/>
      <c r="F8" s="394"/>
      <c r="G8" s="205" t="s">
        <v>1875</v>
      </c>
      <c r="H8" s="206"/>
      <c r="I8" s="207" t="s">
        <v>1876</v>
      </c>
      <c r="J8" s="396"/>
    </row>
    <row r="9" spans="1:10" ht="15.75" thickBot="1">
      <c r="A9" s="394"/>
      <c r="B9" s="205" t="s">
        <v>1877</v>
      </c>
      <c r="C9" s="206"/>
      <c r="D9" s="207" t="s">
        <v>1878</v>
      </c>
      <c r="E9" s="396"/>
      <c r="F9" s="394"/>
      <c r="G9" s="205" t="s">
        <v>1877</v>
      </c>
      <c r="H9" s="206"/>
      <c r="I9" s="207" t="s">
        <v>1878</v>
      </c>
      <c r="J9" s="396"/>
    </row>
    <row r="10" spans="1:10" ht="15.75" thickBot="1">
      <c r="A10" s="394"/>
      <c r="B10" s="205" t="s">
        <v>1879</v>
      </c>
      <c r="C10" s="206"/>
      <c r="D10" s="207" t="s">
        <v>1880</v>
      </c>
      <c r="E10" s="396"/>
      <c r="F10" s="394"/>
      <c r="G10" s="205" t="s">
        <v>1879</v>
      </c>
      <c r="H10" s="206"/>
      <c r="I10" s="207" t="s">
        <v>1880</v>
      </c>
      <c r="J10" s="396"/>
    </row>
    <row r="11" spans="1:10" ht="15.75" thickBot="1">
      <c r="A11" s="394"/>
      <c r="B11" s="205" t="s">
        <v>1881</v>
      </c>
      <c r="C11" s="206"/>
      <c r="D11" s="207" t="s">
        <v>1882</v>
      </c>
      <c r="E11" s="396"/>
      <c r="F11" s="394"/>
      <c r="G11" s="205" t="s">
        <v>1881</v>
      </c>
      <c r="H11" s="206"/>
      <c r="I11" s="207" t="s">
        <v>1882</v>
      </c>
      <c r="J11" s="396"/>
    </row>
    <row r="12" spans="1:10" ht="15.75" thickBot="1">
      <c r="A12" s="394"/>
      <c r="B12" s="205" t="s">
        <v>1883</v>
      </c>
      <c r="C12" s="206">
        <v>91600056</v>
      </c>
      <c r="D12" s="207" t="s">
        <v>1884</v>
      </c>
      <c r="E12" s="396"/>
      <c r="F12" s="394"/>
      <c r="G12" s="205" t="s">
        <v>1883</v>
      </c>
      <c r="H12" s="206">
        <v>45049949</v>
      </c>
      <c r="I12" s="207" t="s">
        <v>1884</v>
      </c>
      <c r="J12" s="396"/>
    </row>
    <row r="13" spans="1:10" ht="15.75" thickBot="1">
      <c r="A13" s="394"/>
      <c r="B13" s="205" t="s">
        <v>1885</v>
      </c>
      <c r="C13" s="206">
        <v>27134102</v>
      </c>
      <c r="D13" s="207" t="s">
        <v>1886</v>
      </c>
      <c r="E13" s="396"/>
      <c r="F13" s="394"/>
      <c r="G13" s="205" t="s">
        <v>1885</v>
      </c>
      <c r="H13" s="206">
        <v>61270660</v>
      </c>
      <c r="I13" s="207" t="s">
        <v>1886</v>
      </c>
      <c r="J13" s="396"/>
    </row>
    <row r="14" spans="1:10" ht="15.75" thickBot="1">
      <c r="A14" s="394"/>
      <c r="B14" s="205" t="s">
        <v>1887</v>
      </c>
      <c r="C14" s="206"/>
      <c r="D14" s="207" t="s">
        <v>1888</v>
      </c>
      <c r="E14" s="396"/>
      <c r="F14" s="394"/>
      <c r="G14" s="205" t="s">
        <v>1887</v>
      </c>
      <c r="H14" s="206"/>
      <c r="I14" s="207" t="s">
        <v>1888</v>
      </c>
      <c r="J14" s="396"/>
    </row>
    <row r="15" spans="1:10" ht="15.75" thickBot="1">
      <c r="A15" s="394"/>
      <c r="B15" s="205" t="s">
        <v>1889</v>
      </c>
      <c r="C15" s="206"/>
      <c r="D15" s="207" t="s">
        <v>1890</v>
      </c>
      <c r="E15" s="396"/>
      <c r="F15" s="394"/>
      <c r="G15" s="205" t="s">
        <v>1889</v>
      </c>
      <c r="H15" s="206"/>
      <c r="I15" s="207" t="s">
        <v>1890</v>
      </c>
      <c r="J15" s="396"/>
    </row>
    <row r="16" spans="1:10" ht="15.75" thickBot="1">
      <c r="A16" s="394"/>
      <c r="B16" s="205" t="s">
        <v>1891</v>
      </c>
      <c r="C16" s="206">
        <v>83161856</v>
      </c>
      <c r="D16" s="207" t="s">
        <v>1892</v>
      </c>
      <c r="E16" s="396"/>
      <c r="F16" s="394"/>
      <c r="G16" s="205" t="s">
        <v>1891</v>
      </c>
      <c r="H16" s="206">
        <v>36644667</v>
      </c>
      <c r="I16" s="207" t="s">
        <v>1892</v>
      </c>
      <c r="J16" s="396"/>
    </row>
    <row r="17" spans="1:10" ht="15.75" thickBot="1">
      <c r="A17" s="394"/>
      <c r="B17" s="205" t="s">
        <v>1893</v>
      </c>
      <c r="C17" s="206"/>
      <c r="D17" s="207" t="s">
        <v>1894</v>
      </c>
      <c r="E17" s="396"/>
      <c r="F17" s="394"/>
      <c r="G17" s="205" t="s">
        <v>1893</v>
      </c>
      <c r="H17" s="206"/>
      <c r="I17" s="207" t="s">
        <v>1894</v>
      </c>
      <c r="J17" s="396"/>
    </row>
    <row r="18" spans="1:10" ht="15.75" thickBot="1">
      <c r="A18" s="394"/>
      <c r="B18" s="205" t="s">
        <v>1895</v>
      </c>
      <c r="C18" s="206"/>
      <c r="D18" s="207" t="s">
        <v>1896</v>
      </c>
      <c r="E18" s="396"/>
      <c r="F18" s="394"/>
      <c r="G18" s="205" t="s">
        <v>1895</v>
      </c>
      <c r="H18" s="206"/>
      <c r="I18" s="207" t="s">
        <v>1896</v>
      </c>
      <c r="J18" s="396"/>
    </row>
    <row r="19" spans="1:10" ht="15.75" thickBot="1">
      <c r="A19" s="394"/>
      <c r="B19" s="205" t="s">
        <v>1897</v>
      </c>
      <c r="C19" s="206"/>
      <c r="D19" s="207" t="s">
        <v>1898</v>
      </c>
      <c r="E19" s="396"/>
      <c r="F19" s="394"/>
      <c r="G19" s="205" t="s">
        <v>1897</v>
      </c>
      <c r="H19" s="206"/>
      <c r="I19" s="207" t="s">
        <v>1898</v>
      </c>
      <c r="J19" s="396"/>
    </row>
    <row r="20" spans="1:10" ht="15.75" thickBot="1">
      <c r="A20" s="394"/>
      <c r="B20" s="205" t="s">
        <v>1899</v>
      </c>
      <c r="C20" s="206"/>
      <c r="D20" s="207" t="s">
        <v>1900</v>
      </c>
      <c r="E20" s="396"/>
      <c r="F20" s="394"/>
      <c r="G20" s="205" t="s">
        <v>1899</v>
      </c>
      <c r="H20" s="206"/>
      <c r="I20" s="207" t="s">
        <v>1900</v>
      </c>
      <c r="J20" s="396"/>
    </row>
    <row r="21" spans="1:10" ht="15.75" thickBot="1">
      <c r="A21" s="394"/>
      <c r="B21" s="205" t="s">
        <v>1901</v>
      </c>
      <c r="C21" s="206"/>
      <c r="D21" s="207" t="s">
        <v>1902</v>
      </c>
      <c r="E21" s="396"/>
      <c r="F21" s="394"/>
      <c r="G21" s="205" t="s">
        <v>1901</v>
      </c>
      <c r="H21" s="206"/>
      <c r="I21" s="207" t="s">
        <v>1902</v>
      </c>
      <c r="J21" s="396"/>
    </row>
    <row r="22" spans="1:10" ht="15.75" thickBot="1">
      <c r="A22" s="394"/>
      <c r="B22" s="205" t="s">
        <v>1903</v>
      </c>
      <c r="C22" s="206"/>
      <c r="D22" s="207" t="s">
        <v>1904</v>
      </c>
      <c r="E22" s="396"/>
      <c r="F22" s="394"/>
      <c r="G22" s="205" t="s">
        <v>1903</v>
      </c>
      <c r="H22" s="206"/>
      <c r="I22" s="207" t="s">
        <v>1904</v>
      </c>
      <c r="J22" s="396"/>
    </row>
    <row r="23" spans="1:10" ht="15.75" thickBot="1">
      <c r="A23" s="394"/>
      <c r="B23" s="205" t="s">
        <v>1905</v>
      </c>
      <c r="C23" s="206"/>
      <c r="D23" s="207" t="s">
        <v>1906</v>
      </c>
      <c r="E23" s="396"/>
      <c r="F23" s="394"/>
      <c r="G23" s="205" t="s">
        <v>1905</v>
      </c>
      <c r="H23" s="206"/>
      <c r="I23" s="207" t="s">
        <v>1906</v>
      </c>
      <c r="J23" s="396"/>
    </row>
    <row r="24" spans="1:10" ht="15.75" thickBot="1">
      <c r="A24" s="394"/>
      <c r="B24" s="205" t="s">
        <v>1907</v>
      </c>
      <c r="C24" s="206"/>
      <c r="D24" s="207" t="s">
        <v>1908</v>
      </c>
      <c r="E24" s="396"/>
      <c r="F24" s="394"/>
      <c r="G24" s="205" t="s">
        <v>1907</v>
      </c>
      <c r="H24" s="206"/>
      <c r="I24" s="207" t="s">
        <v>1908</v>
      </c>
      <c r="J24" s="396"/>
    </row>
    <row r="25" spans="1:10" ht="15.75" thickBot="1">
      <c r="A25" s="394"/>
      <c r="B25" s="205" t="s">
        <v>1909</v>
      </c>
      <c r="C25" s="206"/>
      <c r="D25" s="207" t="s">
        <v>1910</v>
      </c>
      <c r="E25" s="396"/>
      <c r="F25" s="394"/>
      <c r="G25" s="205" t="s">
        <v>1909</v>
      </c>
      <c r="H25" s="206"/>
      <c r="I25" s="207" t="s">
        <v>1910</v>
      </c>
      <c r="J25" s="396"/>
    </row>
    <row r="26" spans="1:10" ht="15.75" thickBot="1">
      <c r="A26" s="394"/>
      <c r="B26" s="205" t="s">
        <v>1911</v>
      </c>
      <c r="C26" s="206"/>
      <c r="D26" s="207" t="s">
        <v>1912</v>
      </c>
      <c r="E26" s="396"/>
      <c r="F26" s="394"/>
      <c r="G26" s="205" t="s">
        <v>1911</v>
      </c>
      <c r="H26" s="206"/>
      <c r="I26" s="207" t="s">
        <v>1912</v>
      </c>
      <c r="J26" s="396"/>
    </row>
    <row r="27" spans="1:10" ht="15.75" thickBot="1">
      <c r="A27" s="394"/>
      <c r="B27" s="205" t="s">
        <v>1913</v>
      </c>
      <c r="C27" s="206"/>
      <c r="D27" s="207" t="s">
        <v>1914</v>
      </c>
      <c r="E27" s="396"/>
      <c r="F27" s="394"/>
      <c r="G27" s="205" t="s">
        <v>1913</v>
      </c>
      <c r="H27" s="206"/>
      <c r="I27" s="207" t="s">
        <v>1914</v>
      </c>
      <c r="J27" s="396"/>
    </row>
    <row r="28" spans="1:10" ht="15.75" thickBot="1">
      <c r="A28" s="394"/>
      <c r="B28" s="205" t="s">
        <v>1915</v>
      </c>
      <c r="C28" s="206"/>
      <c r="D28" s="207" t="s">
        <v>1916</v>
      </c>
      <c r="E28" s="396"/>
      <c r="F28" s="394"/>
      <c r="G28" s="205" t="s">
        <v>1915</v>
      </c>
      <c r="H28" s="206"/>
      <c r="I28" s="207" t="s">
        <v>1916</v>
      </c>
      <c r="J28" s="396"/>
    </row>
    <row r="29" spans="1:10" ht="15.75" thickBot="1">
      <c r="A29" s="394"/>
      <c r="B29" s="205" t="s">
        <v>1917</v>
      </c>
      <c r="C29" s="206"/>
      <c r="D29" s="207" t="s">
        <v>1918</v>
      </c>
      <c r="E29" s="396"/>
      <c r="F29" s="394"/>
      <c r="G29" s="205" t="s">
        <v>1917</v>
      </c>
      <c r="H29" s="206"/>
      <c r="I29" s="207" t="s">
        <v>1918</v>
      </c>
      <c r="J29" s="396"/>
    </row>
    <row r="30" spans="1:10" ht="15.75" thickBot="1">
      <c r="A30" s="394"/>
      <c r="B30" s="205" t="s">
        <v>1919</v>
      </c>
      <c r="C30" s="206"/>
      <c r="D30" s="207" t="s">
        <v>1920</v>
      </c>
      <c r="E30" s="396"/>
      <c r="F30" s="394"/>
      <c r="G30" s="205" t="s">
        <v>1919</v>
      </c>
      <c r="H30" s="206"/>
      <c r="I30" s="207" t="s">
        <v>1920</v>
      </c>
      <c r="J30" s="396"/>
    </row>
    <row r="31" spans="1:10" ht="15.75" thickBot="1">
      <c r="A31" s="394"/>
      <c r="B31" s="205" t="s">
        <v>1921</v>
      </c>
      <c r="C31" s="206"/>
      <c r="D31" s="207" t="s">
        <v>1922</v>
      </c>
      <c r="E31" s="396"/>
      <c r="F31" s="394"/>
      <c r="G31" s="205" t="s">
        <v>1921</v>
      </c>
      <c r="H31" s="206"/>
      <c r="I31" s="207" t="s">
        <v>1922</v>
      </c>
      <c r="J31" s="396"/>
    </row>
    <row r="32" spans="1:10" ht="15.75" thickBot="1">
      <c r="A32" s="394"/>
      <c r="B32" s="205" t="s">
        <v>1923</v>
      </c>
      <c r="C32" s="206">
        <v>163194972</v>
      </c>
      <c r="D32" s="207" t="s">
        <v>1924</v>
      </c>
      <c r="E32" s="396"/>
      <c r="F32" s="394"/>
      <c r="G32" s="205" t="s">
        <v>1923</v>
      </c>
      <c r="H32" s="206">
        <v>122395430</v>
      </c>
      <c r="I32" s="207" t="s">
        <v>1924</v>
      </c>
      <c r="J32" s="396"/>
    </row>
    <row r="33" spans="1:10" ht="15.75" thickBot="1">
      <c r="A33" s="394"/>
      <c r="B33" s="205" t="s">
        <v>1925</v>
      </c>
      <c r="C33" s="206"/>
      <c r="D33" s="207" t="s">
        <v>1926</v>
      </c>
      <c r="E33" s="396"/>
      <c r="F33" s="394"/>
      <c r="G33" s="205" t="s">
        <v>1925</v>
      </c>
      <c r="H33" s="206"/>
      <c r="I33" s="207" t="s">
        <v>1926</v>
      </c>
      <c r="J33" s="396"/>
    </row>
    <row r="34" spans="1:10" ht="15.75" thickBot="1">
      <c r="A34" s="394"/>
      <c r="B34" s="205" t="s">
        <v>1927</v>
      </c>
      <c r="C34" s="206"/>
      <c r="D34" s="207" t="s">
        <v>1928</v>
      </c>
      <c r="E34" s="396"/>
      <c r="F34" s="394"/>
      <c r="G34" s="205" t="s">
        <v>1927</v>
      </c>
      <c r="H34" s="206"/>
      <c r="I34" s="207" t="s">
        <v>1928</v>
      </c>
      <c r="J34" s="396"/>
    </row>
    <row r="35" spans="1:10" ht="15.75" thickBot="1">
      <c r="A35" s="394"/>
      <c r="B35" s="205" t="s">
        <v>1929</v>
      </c>
      <c r="C35" s="206"/>
      <c r="D35" s="207" t="s">
        <v>1930</v>
      </c>
      <c r="E35" s="396"/>
      <c r="F35" s="394"/>
      <c r="G35" s="205" t="s">
        <v>1929</v>
      </c>
      <c r="H35" s="206"/>
      <c r="I35" s="207" t="s">
        <v>1930</v>
      </c>
      <c r="J35" s="396"/>
    </row>
    <row r="36" spans="1:10" ht="15.75" thickBot="1">
      <c r="A36" s="394"/>
      <c r="B36" s="205" t="s">
        <v>1931</v>
      </c>
      <c r="C36" s="206"/>
      <c r="D36" s="207" t="s">
        <v>1932</v>
      </c>
      <c r="E36" s="396"/>
      <c r="F36" s="394"/>
      <c r="G36" s="205" t="s">
        <v>1931</v>
      </c>
      <c r="H36" s="206"/>
      <c r="I36" s="207" t="s">
        <v>1932</v>
      </c>
      <c r="J36" s="396"/>
    </row>
    <row r="37" spans="1:10" ht="15.75" thickBot="1">
      <c r="A37" s="395"/>
      <c r="B37" s="205" t="s">
        <v>1868</v>
      </c>
      <c r="C37" s="206">
        <v>552516885</v>
      </c>
      <c r="D37" s="207" t="s">
        <v>1869</v>
      </c>
      <c r="E37" s="397"/>
      <c r="F37" s="395"/>
      <c r="G37" s="205" t="s">
        <v>1868</v>
      </c>
      <c r="H37" s="206">
        <v>400789376</v>
      </c>
      <c r="I37" s="207" t="s">
        <v>1869</v>
      </c>
      <c r="J37" s="397"/>
    </row>
    <row r="38" spans="1:10" ht="17.25" customHeight="1">
      <c r="A38" s="392" t="s">
        <v>19</v>
      </c>
      <c r="B38" s="392"/>
      <c r="C38" s="392"/>
      <c r="D38" s="392"/>
      <c r="E38" s="392"/>
      <c r="F38" s="393" t="s">
        <v>106</v>
      </c>
      <c r="G38" s="393"/>
      <c r="H38" s="393"/>
      <c r="I38" s="393"/>
      <c r="J38" s="393"/>
    </row>
    <row r="39" spans="1:10" ht="17.25" customHeight="1">
      <c r="A39" s="389" t="s">
        <v>2084</v>
      </c>
      <c r="B39" s="389"/>
      <c r="C39" s="390" t="s">
        <v>2085</v>
      </c>
      <c r="D39" s="390"/>
      <c r="E39" s="390"/>
      <c r="F39" s="389" t="s">
        <v>2084</v>
      </c>
      <c r="G39" s="389"/>
      <c r="H39" s="390" t="s">
        <v>2085</v>
      </c>
      <c r="I39" s="390"/>
      <c r="J39" s="390"/>
    </row>
    <row r="40" spans="1:10" ht="23.25">
      <c r="A40" s="391"/>
      <c r="B40" s="391"/>
      <c r="C40" s="204" t="s">
        <v>2082</v>
      </c>
      <c r="D40" s="391"/>
      <c r="E40" s="391"/>
      <c r="F40" s="391"/>
      <c r="G40" s="391"/>
      <c r="H40" s="204" t="s">
        <v>2082</v>
      </c>
      <c r="I40" s="391"/>
      <c r="J40" s="391"/>
    </row>
    <row r="41" spans="1:10">
      <c r="A41" s="391"/>
      <c r="B41" s="391"/>
      <c r="C41" s="204" t="s">
        <v>682</v>
      </c>
      <c r="D41" s="391"/>
      <c r="E41" s="391"/>
      <c r="F41" s="391"/>
      <c r="G41" s="391"/>
      <c r="H41" s="204" t="s">
        <v>682</v>
      </c>
      <c r="I41" s="391"/>
      <c r="J41" s="391"/>
    </row>
    <row r="42" spans="1:10" ht="15.75" thickBot="1">
      <c r="A42" s="205" t="s">
        <v>1867</v>
      </c>
      <c r="B42" s="205" t="s">
        <v>1868</v>
      </c>
      <c r="C42" s="206">
        <v>417120390</v>
      </c>
      <c r="D42" s="207" t="s">
        <v>1869</v>
      </c>
      <c r="E42" s="207" t="s">
        <v>1870</v>
      </c>
      <c r="F42" s="205" t="s">
        <v>1867</v>
      </c>
      <c r="G42" s="205" t="s">
        <v>1868</v>
      </c>
      <c r="H42" s="206">
        <v>353337899</v>
      </c>
      <c r="I42" s="207" t="s">
        <v>1869</v>
      </c>
      <c r="J42" s="207" t="s">
        <v>1870</v>
      </c>
    </row>
    <row r="43" spans="1:10" ht="17.25" customHeight="1">
      <c r="A43" s="392" t="s">
        <v>19</v>
      </c>
      <c r="B43" s="392"/>
      <c r="C43" s="392"/>
      <c r="D43" s="392"/>
      <c r="E43" s="392"/>
      <c r="F43" s="393" t="s">
        <v>106</v>
      </c>
      <c r="G43" s="393"/>
      <c r="H43" s="393"/>
      <c r="I43" s="393"/>
      <c r="J43" s="393"/>
    </row>
    <row r="44" spans="1:10" ht="17.25" customHeight="1">
      <c r="A44" s="389" t="s">
        <v>2084</v>
      </c>
      <c r="B44" s="389"/>
      <c r="C44" s="390" t="s">
        <v>2085</v>
      </c>
      <c r="D44" s="390"/>
      <c r="E44" s="390"/>
      <c r="F44" s="389" t="s">
        <v>2084</v>
      </c>
      <c r="G44" s="389"/>
      <c r="H44" s="390" t="s">
        <v>2085</v>
      </c>
      <c r="I44" s="390"/>
      <c r="J44" s="390"/>
    </row>
    <row r="45" spans="1:10" ht="23.25">
      <c r="A45" s="391"/>
      <c r="B45" s="391"/>
      <c r="C45" s="204" t="s">
        <v>2082</v>
      </c>
      <c r="D45" s="391"/>
      <c r="E45" s="391"/>
      <c r="F45" s="391"/>
      <c r="G45" s="391"/>
      <c r="H45" s="204" t="s">
        <v>2082</v>
      </c>
      <c r="I45" s="391"/>
      <c r="J45" s="391"/>
    </row>
    <row r="46" spans="1:10">
      <c r="A46" s="391"/>
      <c r="B46" s="391"/>
      <c r="C46" s="204" t="s">
        <v>682</v>
      </c>
      <c r="D46" s="391"/>
      <c r="E46" s="391"/>
      <c r="F46" s="391"/>
      <c r="G46" s="391"/>
      <c r="H46" s="204" t="s">
        <v>682</v>
      </c>
      <c r="I46" s="391"/>
      <c r="J46" s="391"/>
    </row>
    <row r="47" spans="1:10" ht="15.75" thickBot="1">
      <c r="A47" s="205" t="s">
        <v>1933</v>
      </c>
      <c r="B47" s="205" t="s">
        <v>1868</v>
      </c>
      <c r="C47" s="206">
        <v>969637275</v>
      </c>
      <c r="D47" s="207" t="s">
        <v>1869</v>
      </c>
      <c r="E47" s="207" t="s">
        <v>1934</v>
      </c>
      <c r="F47" s="205" t="s">
        <v>1933</v>
      </c>
      <c r="G47" s="205" t="s">
        <v>1868</v>
      </c>
      <c r="H47" s="206">
        <v>754127275</v>
      </c>
      <c r="I47" s="207" t="s">
        <v>1869</v>
      </c>
      <c r="J47" s="207" t="s">
        <v>1934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3EE75E5-EAA3-42CB-BEB1-2E7B7DBE4D3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A48E6-C835-4357-8EA9-5FCE0D014FBD}">
  <dimension ref="A1:L30"/>
  <sheetViews>
    <sheetView showGridLines="0" workbookViewId="0"/>
  </sheetViews>
  <sheetFormatPr defaultRowHeight="15"/>
  <cols>
    <col min="1" max="1" width="19.6640625" style="209" customWidth="1" collapsed="1"/>
    <col min="2" max="2" width="18.83203125" style="209" customWidth="1" collapsed="1"/>
    <col min="3" max="3" width="32.1640625" style="209" customWidth="1" collapsed="1"/>
    <col min="4" max="4" width="14.5" style="209" customWidth="1" collapsed="1"/>
    <col min="5" max="5" width="16.5" style="209" customWidth="1" collapsed="1"/>
    <col min="6" max="6" width="26.83203125" style="209" customWidth="1" collapsed="1"/>
    <col min="7" max="7" width="19.6640625" style="209" customWidth="1" collapsed="1"/>
    <col min="8" max="8" width="18.83203125" style="209" customWidth="1" collapsed="1"/>
    <col min="9" max="9" width="32.1640625" style="209" customWidth="1" collapsed="1"/>
    <col min="10" max="10" width="14.5" style="209" customWidth="1" collapsed="1"/>
    <col min="11" max="11" width="16.5" style="209" customWidth="1" collapsed="1"/>
    <col min="12" max="12" width="26.83203125" style="209" customWidth="1" collapsed="1"/>
    <col min="13" max="16384" width="9.33203125" style="209" collapsed="1"/>
  </cols>
  <sheetData>
    <row r="1" spans="1:12" ht="17.25">
      <c r="A1" s="208" t="s">
        <v>2086</v>
      </c>
    </row>
    <row r="3" spans="1:12" ht="17.25" customHeight="1">
      <c r="A3" s="399" t="s">
        <v>19</v>
      </c>
      <c r="B3" s="399"/>
      <c r="C3" s="399"/>
      <c r="D3" s="399"/>
      <c r="E3" s="399"/>
      <c r="F3" s="399"/>
      <c r="G3" s="400" t="s">
        <v>106</v>
      </c>
      <c r="H3" s="400"/>
      <c r="I3" s="400"/>
      <c r="J3" s="400"/>
      <c r="K3" s="400"/>
      <c r="L3" s="400"/>
    </row>
    <row r="4" spans="1:12" ht="17.25" customHeight="1">
      <c r="A4" s="399" t="s">
        <v>2087</v>
      </c>
      <c r="B4" s="399"/>
      <c r="C4" s="399"/>
      <c r="D4" s="400" t="s">
        <v>2088</v>
      </c>
      <c r="E4" s="400"/>
      <c r="F4" s="400"/>
      <c r="G4" s="399" t="s">
        <v>2087</v>
      </c>
      <c r="H4" s="399"/>
      <c r="I4" s="399"/>
      <c r="J4" s="400" t="s">
        <v>2088</v>
      </c>
      <c r="K4" s="400"/>
      <c r="L4" s="400"/>
    </row>
    <row r="5" spans="1:12">
      <c r="A5" s="398"/>
      <c r="B5" s="398"/>
      <c r="C5" s="401" t="s">
        <v>2082</v>
      </c>
      <c r="D5" s="401"/>
      <c r="E5" s="398"/>
      <c r="F5" s="398"/>
      <c r="G5" s="398"/>
      <c r="H5" s="398"/>
      <c r="I5" s="401" t="s">
        <v>2082</v>
      </c>
      <c r="J5" s="401"/>
      <c r="K5" s="398"/>
      <c r="L5" s="398"/>
    </row>
    <row r="6" spans="1:12">
      <c r="A6" s="398"/>
      <c r="B6" s="398"/>
      <c r="C6" s="210" t="s">
        <v>2089</v>
      </c>
      <c r="D6" s="210" t="s">
        <v>682</v>
      </c>
      <c r="E6" s="398"/>
      <c r="F6" s="398"/>
      <c r="G6" s="398"/>
      <c r="H6" s="398"/>
      <c r="I6" s="210" t="s">
        <v>2089</v>
      </c>
      <c r="J6" s="210" t="s">
        <v>682</v>
      </c>
      <c r="K6" s="398"/>
      <c r="L6" s="398"/>
    </row>
    <row r="7" spans="1:12" ht="15.75" thickBot="1">
      <c r="A7" s="402" t="s">
        <v>1844</v>
      </c>
      <c r="B7" s="211" t="s">
        <v>1815</v>
      </c>
      <c r="C7" s="212"/>
      <c r="D7" s="213">
        <v>968466360</v>
      </c>
      <c r="E7" s="404" t="s">
        <v>1846</v>
      </c>
      <c r="F7" s="214" t="s">
        <v>2090</v>
      </c>
      <c r="G7" s="402" t="s">
        <v>1844</v>
      </c>
      <c r="H7" s="211" t="s">
        <v>1815</v>
      </c>
      <c r="I7" s="212"/>
      <c r="J7" s="213">
        <v>752308797</v>
      </c>
      <c r="K7" s="404" t="s">
        <v>1846</v>
      </c>
      <c r="L7" s="214" t="s">
        <v>2090</v>
      </c>
    </row>
    <row r="8" spans="1:12" ht="15.75" thickBot="1">
      <c r="A8" s="402"/>
      <c r="B8" s="211" t="s">
        <v>1817</v>
      </c>
      <c r="C8" s="212"/>
      <c r="D8" s="213"/>
      <c r="E8" s="404"/>
      <c r="F8" s="214" t="s">
        <v>2091</v>
      </c>
      <c r="G8" s="402"/>
      <c r="H8" s="211" t="s">
        <v>1817</v>
      </c>
      <c r="I8" s="212"/>
      <c r="J8" s="213"/>
      <c r="K8" s="404"/>
      <c r="L8" s="214" t="s">
        <v>2091</v>
      </c>
    </row>
    <row r="9" spans="1:12" ht="15.75" thickBot="1">
      <c r="A9" s="402"/>
      <c r="B9" s="211" t="s">
        <v>1819</v>
      </c>
      <c r="C9" s="212"/>
      <c r="D9" s="213"/>
      <c r="E9" s="404"/>
      <c r="F9" s="214" t="s">
        <v>2092</v>
      </c>
      <c r="G9" s="402"/>
      <c r="H9" s="211" t="s">
        <v>1819</v>
      </c>
      <c r="I9" s="212"/>
      <c r="J9" s="213"/>
      <c r="K9" s="404"/>
      <c r="L9" s="214" t="s">
        <v>2092</v>
      </c>
    </row>
    <row r="10" spans="1:12" ht="15.75" thickBot="1">
      <c r="A10" s="402"/>
      <c r="B10" s="211" t="s">
        <v>1821</v>
      </c>
      <c r="C10" s="212"/>
      <c r="D10" s="213"/>
      <c r="E10" s="404"/>
      <c r="F10" s="214" t="s">
        <v>2093</v>
      </c>
      <c r="G10" s="402"/>
      <c r="H10" s="211" t="s">
        <v>1821</v>
      </c>
      <c r="I10" s="212"/>
      <c r="J10" s="213"/>
      <c r="K10" s="404"/>
      <c r="L10" s="214" t="s">
        <v>2093</v>
      </c>
    </row>
    <row r="11" spans="1:12" ht="15.75" thickBot="1">
      <c r="A11" s="402"/>
      <c r="B11" s="211" t="s">
        <v>1823</v>
      </c>
      <c r="C11" s="212"/>
      <c r="D11" s="213"/>
      <c r="E11" s="404"/>
      <c r="F11" s="214" t="s">
        <v>2094</v>
      </c>
      <c r="G11" s="402"/>
      <c r="H11" s="211" t="s">
        <v>1823</v>
      </c>
      <c r="I11" s="212"/>
      <c r="J11" s="213"/>
      <c r="K11" s="404"/>
      <c r="L11" s="214" t="s">
        <v>2094</v>
      </c>
    </row>
    <row r="12" spans="1:12" ht="15.75" thickBot="1">
      <c r="A12" s="402"/>
      <c r="B12" s="211" t="s">
        <v>1825</v>
      </c>
      <c r="C12" s="212"/>
      <c r="D12" s="213"/>
      <c r="E12" s="404"/>
      <c r="F12" s="214" t="s">
        <v>2095</v>
      </c>
      <c r="G12" s="402"/>
      <c r="H12" s="211" t="s">
        <v>1825</v>
      </c>
      <c r="I12" s="212"/>
      <c r="J12" s="213"/>
      <c r="K12" s="404"/>
      <c r="L12" s="214" t="s">
        <v>2095</v>
      </c>
    </row>
    <row r="13" spans="1:12" ht="15.75" thickBot="1">
      <c r="A13" s="402"/>
      <c r="B13" s="211" t="s">
        <v>1827</v>
      </c>
      <c r="C13" s="212"/>
      <c r="D13" s="213"/>
      <c r="E13" s="404"/>
      <c r="F13" s="214" t="s">
        <v>2096</v>
      </c>
      <c r="G13" s="402"/>
      <c r="H13" s="211" t="s">
        <v>1827</v>
      </c>
      <c r="I13" s="212"/>
      <c r="J13" s="213"/>
      <c r="K13" s="404"/>
      <c r="L13" s="214" t="s">
        <v>2096</v>
      </c>
    </row>
    <row r="14" spans="1:12" ht="15.75" thickBot="1">
      <c r="A14" s="402"/>
      <c r="B14" s="211" t="s">
        <v>1829</v>
      </c>
      <c r="C14" s="212"/>
      <c r="D14" s="213"/>
      <c r="E14" s="404"/>
      <c r="F14" s="214" t="s">
        <v>2097</v>
      </c>
      <c r="G14" s="402"/>
      <c r="H14" s="211" t="s">
        <v>1829</v>
      </c>
      <c r="I14" s="212"/>
      <c r="J14" s="213"/>
      <c r="K14" s="404"/>
      <c r="L14" s="214" t="s">
        <v>2097</v>
      </c>
    </row>
    <row r="15" spans="1:12" ht="15.75" thickBot="1">
      <c r="A15" s="402"/>
      <c r="B15" s="211" t="s">
        <v>1831</v>
      </c>
      <c r="C15" s="212"/>
      <c r="D15" s="213"/>
      <c r="E15" s="404"/>
      <c r="F15" s="214" t="s">
        <v>2098</v>
      </c>
      <c r="G15" s="402"/>
      <c r="H15" s="211" t="s">
        <v>1831</v>
      </c>
      <c r="I15" s="212"/>
      <c r="J15" s="213"/>
      <c r="K15" s="404"/>
      <c r="L15" s="214" t="s">
        <v>2098</v>
      </c>
    </row>
    <row r="16" spans="1:12" ht="15.75" thickBot="1">
      <c r="A16" s="402"/>
      <c r="B16" s="211" t="s">
        <v>1833</v>
      </c>
      <c r="C16" s="212"/>
      <c r="D16" s="213"/>
      <c r="E16" s="404"/>
      <c r="F16" s="214" t="s">
        <v>2099</v>
      </c>
      <c r="G16" s="402"/>
      <c r="H16" s="211" t="s">
        <v>1833</v>
      </c>
      <c r="I16" s="212"/>
      <c r="J16" s="213"/>
      <c r="K16" s="404"/>
      <c r="L16" s="214" t="s">
        <v>2099</v>
      </c>
    </row>
    <row r="17" spans="1:12" ht="15.75" thickBot="1">
      <c r="A17" s="402"/>
      <c r="B17" s="211" t="s">
        <v>2100</v>
      </c>
      <c r="C17" s="212"/>
      <c r="D17" s="213"/>
      <c r="E17" s="404"/>
      <c r="F17" s="214" t="s">
        <v>2101</v>
      </c>
      <c r="G17" s="402"/>
      <c r="H17" s="211" t="s">
        <v>2100</v>
      </c>
      <c r="I17" s="212"/>
      <c r="J17" s="213"/>
      <c r="K17" s="404"/>
      <c r="L17" s="214" t="s">
        <v>2101</v>
      </c>
    </row>
    <row r="18" spans="1:12" ht="15.75" thickBot="1">
      <c r="A18" s="403"/>
      <c r="B18" s="211" t="s">
        <v>2102</v>
      </c>
      <c r="C18" s="212"/>
      <c r="D18" s="213">
        <v>968466360</v>
      </c>
      <c r="E18" s="405"/>
      <c r="F18" s="214" t="s">
        <v>2103</v>
      </c>
      <c r="G18" s="403"/>
      <c r="H18" s="211" t="s">
        <v>2102</v>
      </c>
      <c r="I18" s="212"/>
      <c r="J18" s="213">
        <v>752308797</v>
      </c>
      <c r="K18" s="405"/>
      <c r="L18" s="214" t="s">
        <v>2103</v>
      </c>
    </row>
    <row r="19" spans="1:12" ht="15.75" thickBot="1">
      <c r="A19" s="406" t="s">
        <v>1861</v>
      </c>
      <c r="B19" s="211" t="s">
        <v>1815</v>
      </c>
      <c r="C19" s="212"/>
      <c r="D19" s="213">
        <v>1170915</v>
      </c>
      <c r="E19" s="407" t="s">
        <v>1862</v>
      </c>
      <c r="F19" s="214" t="s">
        <v>2090</v>
      </c>
      <c r="G19" s="406" t="s">
        <v>1861</v>
      </c>
      <c r="H19" s="211" t="s">
        <v>1815</v>
      </c>
      <c r="I19" s="212"/>
      <c r="J19" s="213">
        <v>1818478</v>
      </c>
      <c r="K19" s="407" t="s">
        <v>1862</v>
      </c>
      <c r="L19" s="214" t="s">
        <v>2090</v>
      </c>
    </row>
    <row r="20" spans="1:12" ht="15.75" thickBot="1">
      <c r="A20" s="402"/>
      <c r="B20" s="211" t="s">
        <v>1817</v>
      </c>
      <c r="C20" s="212"/>
      <c r="D20" s="213"/>
      <c r="E20" s="404"/>
      <c r="F20" s="214" t="s">
        <v>2091</v>
      </c>
      <c r="G20" s="402"/>
      <c r="H20" s="211" t="s">
        <v>1817</v>
      </c>
      <c r="I20" s="212"/>
      <c r="J20" s="213"/>
      <c r="K20" s="404"/>
      <c r="L20" s="214" t="s">
        <v>2091</v>
      </c>
    </row>
    <row r="21" spans="1:12" ht="15.75" thickBot="1">
      <c r="A21" s="402"/>
      <c r="B21" s="211" t="s">
        <v>1819</v>
      </c>
      <c r="C21" s="212"/>
      <c r="D21" s="213"/>
      <c r="E21" s="404"/>
      <c r="F21" s="214" t="s">
        <v>2092</v>
      </c>
      <c r="G21" s="402"/>
      <c r="H21" s="211" t="s">
        <v>1819</v>
      </c>
      <c r="I21" s="212"/>
      <c r="J21" s="213"/>
      <c r="K21" s="404"/>
      <c r="L21" s="214" t="s">
        <v>2092</v>
      </c>
    </row>
    <row r="22" spans="1:12" ht="15.75" thickBot="1">
      <c r="A22" s="402"/>
      <c r="B22" s="211" t="s">
        <v>1821</v>
      </c>
      <c r="C22" s="212"/>
      <c r="D22" s="213"/>
      <c r="E22" s="404"/>
      <c r="F22" s="214" t="s">
        <v>2093</v>
      </c>
      <c r="G22" s="402"/>
      <c r="H22" s="211" t="s">
        <v>1821</v>
      </c>
      <c r="I22" s="212"/>
      <c r="J22" s="213"/>
      <c r="K22" s="404"/>
      <c r="L22" s="214" t="s">
        <v>2093</v>
      </c>
    </row>
    <row r="23" spans="1:12" ht="15.75" thickBot="1">
      <c r="A23" s="402"/>
      <c r="B23" s="211" t="s">
        <v>1823</v>
      </c>
      <c r="C23" s="212"/>
      <c r="D23" s="213"/>
      <c r="E23" s="404"/>
      <c r="F23" s="214" t="s">
        <v>2094</v>
      </c>
      <c r="G23" s="402"/>
      <c r="H23" s="211" t="s">
        <v>1823</v>
      </c>
      <c r="I23" s="212"/>
      <c r="J23" s="213"/>
      <c r="K23" s="404"/>
      <c r="L23" s="214" t="s">
        <v>2094</v>
      </c>
    </row>
    <row r="24" spans="1:12" ht="15.75" thickBot="1">
      <c r="A24" s="402"/>
      <c r="B24" s="211" t="s">
        <v>1825</v>
      </c>
      <c r="C24" s="212"/>
      <c r="D24" s="213"/>
      <c r="E24" s="404"/>
      <c r="F24" s="214" t="s">
        <v>2095</v>
      </c>
      <c r="G24" s="402"/>
      <c r="H24" s="211" t="s">
        <v>1825</v>
      </c>
      <c r="I24" s="212"/>
      <c r="J24" s="213"/>
      <c r="K24" s="404"/>
      <c r="L24" s="214" t="s">
        <v>2095</v>
      </c>
    </row>
    <row r="25" spans="1:12" ht="15.75" thickBot="1">
      <c r="A25" s="402"/>
      <c r="B25" s="211" t="s">
        <v>1827</v>
      </c>
      <c r="C25" s="212"/>
      <c r="D25" s="213"/>
      <c r="E25" s="404"/>
      <c r="F25" s="214" t="s">
        <v>2096</v>
      </c>
      <c r="G25" s="402"/>
      <c r="H25" s="211" t="s">
        <v>1827</v>
      </c>
      <c r="I25" s="212"/>
      <c r="J25" s="213"/>
      <c r="K25" s="404"/>
      <c r="L25" s="214" t="s">
        <v>2096</v>
      </c>
    </row>
    <row r="26" spans="1:12" ht="15.75" thickBot="1">
      <c r="A26" s="402"/>
      <c r="B26" s="211" t="s">
        <v>1829</v>
      </c>
      <c r="C26" s="212"/>
      <c r="D26" s="213"/>
      <c r="E26" s="404"/>
      <c r="F26" s="214" t="s">
        <v>2097</v>
      </c>
      <c r="G26" s="402"/>
      <c r="H26" s="211" t="s">
        <v>1829</v>
      </c>
      <c r="I26" s="212"/>
      <c r="J26" s="213"/>
      <c r="K26" s="404"/>
      <c r="L26" s="214" t="s">
        <v>2097</v>
      </c>
    </row>
    <row r="27" spans="1:12" ht="15.75" thickBot="1">
      <c r="A27" s="402"/>
      <c r="B27" s="211" t="s">
        <v>1831</v>
      </c>
      <c r="C27" s="212"/>
      <c r="D27" s="213"/>
      <c r="E27" s="404"/>
      <c r="F27" s="214" t="s">
        <v>2098</v>
      </c>
      <c r="G27" s="402"/>
      <c r="H27" s="211" t="s">
        <v>1831</v>
      </c>
      <c r="I27" s="212"/>
      <c r="J27" s="213"/>
      <c r="K27" s="404"/>
      <c r="L27" s="214" t="s">
        <v>2098</v>
      </c>
    </row>
    <row r="28" spans="1:12" ht="15.75" thickBot="1">
      <c r="A28" s="402"/>
      <c r="B28" s="211" t="s">
        <v>1833</v>
      </c>
      <c r="C28" s="212"/>
      <c r="D28" s="213"/>
      <c r="E28" s="404"/>
      <c r="F28" s="214" t="s">
        <v>2099</v>
      </c>
      <c r="G28" s="402"/>
      <c r="H28" s="211" t="s">
        <v>1833</v>
      </c>
      <c r="I28" s="212"/>
      <c r="J28" s="213"/>
      <c r="K28" s="404"/>
      <c r="L28" s="214" t="s">
        <v>2099</v>
      </c>
    </row>
    <row r="29" spans="1:12" ht="15.75" thickBot="1">
      <c r="A29" s="402"/>
      <c r="B29" s="211" t="s">
        <v>2100</v>
      </c>
      <c r="C29" s="212"/>
      <c r="D29" s="213"/>
      <c r="E29" s="404"/>
      <c r="F29" s="214" t="s">
        <v>2101</v>
      </c>
      <c r="G29" s="402"/>
      <c r="H29" s="211" t="s">
        <v>2100</v>
      </c>
      <c r="I29" s="212"/>
      <c r="J29" s="213"/>
      <c r="K29" s="404"/>
      <c r="L29" s="214" t="s">
        <v>2101</v>
      </c>
    </row>
    <row r="30" spans="1:12" ht="15.75" thickBot="1">
      <c r="A30" s="403"/>
      <c r="B30" s="211" t="s">
        <v>2102</v>
      </c>
      <c r="C30" s="212"/>
      <c r="D30" s="213">
        <v>1170915</v>
      </c>
      <c r="E30" s="405"/>
      <c r="F30" s="214" t="s">
        <v>2103</v>
      </c>
      <c r="G30" s="403"/>
      <c r="H30" s="211" t="s">
        <v>2102</v>
      </c>
      <c r="I30" s="212"/>
      <c r="J30" s="213">
        <v>1818478</v>
      </c>
      <c r="K30" s="405"/>
      <c r="L30" s="214" t="s">
        <v>2103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86A792E-A22E-4C5D-9065-76D365843CEC}">
      <formula1>-9.99999999999999E+33</formula1>
      <formula2>9.99999999999999E+33</formula2>
    </dataValidation>
    <dataValidation type="textLength" operator="greaterThan" allowBlank="1" showErrorMessage="1" errorTitle="Invalid Data Type" error="Please input data in String Data Type" sqref="C7:C30 I7:I30" xr:uid="{F55D4443-0EC1-406B-86A2-E5A037735CF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18C3D-1B62-44CA-9635-CA4C3433D160}">
  <dimension ref="A1:D39"/>
  <sheetViews>
    <sheetView showGridLines="0" workbookViewId="0"/>
  </sheetViews>
  <sheetFormatPr defaultRowHeight="15"/>
  <cols>
    <col min="1" max="1" width="42.6640625" style="216" bestFit="1" customWidth="1" collapsed="1"/>
    <col min="2" max="3" width="33.33203125" style="216" customWidth="1" collapsed="1"/>
    <col min="4" max="4" width="42.6640625" style="216" bestFit="1" customWidth="1" collapsed="1"/>
    <col min="5" max="16384" width="9.33203125" style="216" collapsed="1"/>
  </cols>
  <sheetData>
    <row r="1" spans="1:4" ht="17.25">
      <c r="A1" s="215" t="s">
        <v>2104</v>
      </c>
    </row>
    <row r="3" spans="1:4" ht="17.25" customHeight="1">
      <c r="A3" s="408" t="s">
        <v>2105</v>
      </c>
      <c r="B3" s="408"/>
      <c r="C3" s="409" t="s">
        <v>2106</v>
      </c>
      <c r="D3" s="409"/>
    </row>
    <row r="4" spans="1:4">
      <c r="A4" s="217"/>
      <c r="B4" s="218" t="s">
        <v>19</v>
      </c>
      <c r="C4" s="218" t="s">
        <v>107</v>
      </c>
    </row>
    <row r="5" spans="1:4" ht="15.75" thickBot="1">
      <c r="A5" s="219" t="s">
        <v>2105</v>
      </c>
      <c r="B5" s="220"/>
      <c r="C5" s="220"/>
      <c r="D5" s="221" t="s">
        <v>2106</v>
      </c>
    </row>
    <row r="6" spans="1:4" ht="15.75" thickBot="1">
      <c r="A6" s="222" t="s">
        <v>2107</v>
      </c>
      <c r="B6" s="223"/>
      <c r="C6" s="223"/>
      <c r="D6" s="221" t="s">
        <v>2108</v>
      </c>
    </row>
    <row r="7" spans="1:4" ht="15.75" thickBot="1">
      <c r="A7" s="222" t="s">
        <v>2109</v>
      </c>
      <c r="B7" s="224"/>
      <c r="C7" s="224"/>
      <c r="D7" s="221" t="s">
        <v>2110</v>
      </c>
    </row>
    <row r="8" spans="1:4" ht="15.75" thickBot="1">
      <c r="A8" s="222" t="s">
        <v>2111</v>
      </c>
      <c r="B8" s="223"/>
      <c r="C8" s="223"/>
      <c r="D8" s="221" t="s">
        <v>2112</v>
      </c>
    </row>
    <row r="9" spans="1:4" ht="15.75" thickBot="1">
      <c r="A9" s="222" t="s">
        <v>2113</v>
      </c>
      <c r="B9" s="224"/>
      <c r="C9" s="224"/>
      <c r="D9" s="221" t="s">
        <v>2114</v>
      </c>
    </row>
    <row r="10" spans="1:4" ht="15.75" thickBot="1">
      <c r="A10" s="222" t="s">
        <v>2115</v>
      </c>
      <c r="B10" s="224"/>
      <c r="C10" s="224"/>
      <c r="D10" s="221" t="s">
        <v>2116</v>
      </c>
    </row>
    <row r="11" spans="1:4" ht="15.75" thickBot="1">
      <c r="A11" s="222" t="s">
        <v>2117</v>
      </c>
      <c r="B11" s="224"/>
      <c r="C11" s="224"/>
      <c r="D11" s="221" t="s">
        <v>2118</v>
      </c>
    </row>
    <row r="12" spans="1:4" ht="15.75" thickBot="1">
      <c r="A12" s="222" t="s">
        <v>2119</v>
      </c>
      <c r="B12" s="224"/>
      <c r="C12" s="224"/>
      <c r="D12" s="221" t="s">
        <v>2120</v>
      </c>
    </row>
    <row r="13" spans="1:4" ht="15.75" thickBot="1">
      <c r="A13" s="222" t="s">
        <v>2121</v>
      </c>
      <c r="B13" s="224"/>
      <c r="C13" s="224"/>
      <c r="D13" s="221" t="s">
        <v>2122</v>
      </c>
    </row>
    <row r="14" spans="1:4" ht="15.75" thickBot="1">
      <c r="A14" s="222" t="s">
        <v>2123</v>
      </c>
      <c r="B14" s="224"/>
      <c r="C14" s="224"/>
      <c r="D14" s="221" t="s">
        <v>2124</v>
      </c>
    </row>
    <row r="15" spans="1:4" ht="15.75" thickBot="1">
      <c r="A15" s="222" t="s">
        <v>2125</v>
      </c>
      <c r="B15" s="224"/>
      <c r="C15" s="224"/>
      <c r="D15" s="221" t="s">
        <v>2126</v>
      </c>
    </row>
    <row r="16" spans="1:4" ht="26.25" thickBot="1">
      <c r="A16" s="222" t="s">
        <v>2127</v>
      </c>
      <c r="B16" s="224"/>
      <c r="C16" s="224"/>
      <c r="D16" s="221" t="s">
        <v>2128</v>
      </c>
    </row>
    <row r="17" spans="1:4" ht="15.75" thickBot="1">
      <c r="A17" s="222" t="s">
        <v>2129</v>
      </c>
      <c r="B17" s="224"/>
      <c r="C17" s="224"/>
      <c r="D17" s="221" t="s">
        <v>2130</v>
      </c>
    </row>
    <row r="18" spans="1:4" ht="15.75" thickBot="1">
      <c r="A18" s="222" t="s">
        <v>2131</v>
      </c>
      <c r="B18" s="224"/>
      <c r="C18" s="224"/>
      <c r="D18" s="221" t="s">
        <v>2132</v>
      </c>
    </row>
    <row r="19" spans="1:4" ht="15.75" thickBot="1">
      <c r="A19" s="222" t="s">
        <v>2133</v>
      </c>
      <c r="B19" s="224"/>
      <c r="C19" s="224"/>
      <c r="D19" s="221" t="s">
        <v>2134</v>
      </c>
    </row>
    <row r="20" spans="1:4" ht="15.75" thickBot="1">
      <c r="A20" s="222" t="s">
        <v>2135</v>
      </c>
      <c r="B20" s="224"/>
      <c r="C20" s="224"/>
      <c r="D20" s="221" t="s">
        <v>2136</v>
      </c>
    </row>
    <row r="21" spans="1:4" ht="15.75" thickBot="1">
      <c r="A21" s="222" t="s">
        <v>2137</v>
      </c>
      <c r="B21" s="224"/>
      <c r="C21" s="224"/>
      <c r="D21" s="221" t="s">
        <v>2138</v>
      </c>
    </row>
    <row r="22" spans="1:4" ht="15.75" thickBot="1">
      <c r="A22" s="222" t="s">
        <v>2139</v>
      </c>
      <c r="B22" s="224"/>
      <c r="C22" s="224"/>
      <c r="D22" s="221" t="s">
        <v>2140</v>
      </c>
    </row>
    <row r="23" spans="1:4" ht="15.75" thickBot="1">
      <c r="A23" s="222" t="s">
        <v>2141</v>
      </c>
      <c r="B23" s="224"/>
      <c r="C23" s="224"/>
      <c r="D23" s="221" t="s">
        <v>2142</v>
      </c>
    </row>
    <row r="24" spans="1:4" ht="15.75" thickBot="1">
      <c r="A24" s="222" t="s">
        <v>2143</v>
      </c>
      <c r="B24" s="224"/>
      <c r="C24" s="224"/>
      <c r="D24" s="221" t="s">
        <v>2144</v>
      </c>
    </row>
    <row r="25" spans="1:4" ht="15.75" thickBot="1">
      <c r="A25" s="222" t="s">
        <v>2145</v>
      </c>
      <c r="B25" s="224"/>
      <c r="C25" s="224"/>
      <c r="D25" s="221" t="s">
        <v>2146</v>
      </c>
    </row>
    <row r="26" spans="1:4" ht="15.75" thickBot="1">
      <c r="A26" s="222" t="s">
        <v>2147</v>
      </c>
      <c r="B26" s="224"/>
      <c r="C26" s="224"/>
      <c r="D26" s="221" t="s">
        <v>2148</v>
      </c>
    </row>
    <row r="27" spans="1:4" ht="15.75" thickBot="1">
      <c r="A27" s="222" t="s">
        <v>2149</v>
      </c>
      <c r="B27" s="224"/>
      <c r="C27" s="224"/>
      <c r="D27" s="221" t="s">
        <v>2150</v>
      </c>
    </row>
    <row r="28" spans="1:4" ht="15.75" thickBot="1">
      <c r="A28" s="222" t="s">
        <v>2151</v>
      </c>
      <c r="B28" s="224"/>
      <c r="C28" s="224"/>
      <c r="D28" s="221" t="s">
        <v>2152</v>
      </c>
    </row>
    <row r="29" spans="1:4" ht="15.75" thickBot="1">
      <c r="A29" s="222" t="s">
        <v>2153</v>
      </c>
      <c r="B29" s="223"/>
      <c r="C29" s="223"/>
      <c r="D29" s="221" t="s">
        <v>2154</v>
      </c>
    </row>
    <row r="30" spans="1:4" ht="15.75" thickBot="1">
      <c r="A30" s="222" t="s">
        <v>2155</v>
      </c>
      <c r="B30" s="223"/>
      <c r="C30" s="223"/>
      <c r="D30" s="221" t="s">
        <v>2156</v>
      </c>
    </row>
    <row r="31" spans="1:4" ht="15.75" thickBot="1">
      <c r="A31" s="222" t="s">
        <v>2157</v>
      </c>
      <c r="B31" s="224"/>
      <c r="C31" s="224"/>
      <c r="D31" s="221" t="s">
        <v>2158</v>
      </c>
    </row>
    <row r="32" spans="1:4" ht="15.75" thickBot="1">
      <c r="A32" s="222" t="s">
        <v>2159</v>
      </c>
      <c r="B32" s="223"/>
      <c r="C32" s="223"/>
      <c r="D32" s="221" t="s">
        <v>2160</v>
      </c>
    </row>
    <row r="33" spans="1:4" ht="15.75" thickBot="1">
      <c r="A33" s="222" t="s">
        <v>2161</v>
      </c>
      <c r="B33" s="224"/>
      <c r="C33" s="224"/>
      <c r="D33" s="221" t="s">
        <v>2162</v>
      </c>
    </row>
    <row r="34" spans="1:4" ht="15.75" thickBot="1">
      <c r="A34" s="222" t="s">
        <v>2163</v>
      </c>
      <c r="B34" s="223"/>
      <c r="C34" s="223"/>
      <c r="D34" s="221" t="s">
        <v>2164</v>
      </c>
    </row>
    <row r="35" spans="1:4" ht="15.75" thickBot="1">
      <c r="A35" s="222" t="s">
        <v>2165</v>
      </c>
      <c r="B35" s="224"/>
      <c r="C35" s="224"/>
      <c r="D35" s="221" t="s">
        <v>2166</v>
      </c>
    </row>
    <row r="36" spans="1:4" ht="26.25" thickBot="1">
      <c r="A36" s="222" t="s">
        <v>2167</v>
      </c>
      <c r="B36" s="224"/>
      <c r="C36" s="224"/>
      <c r="D36" s="221" t="s">
        <v>2168</v>
      </c>
    </row>
    <row r="37" spans="1:4" ht="15.75" thickBot="1">
      <c r="A37" s="222" t="s">
        <v>2169</v>
      </c>
      <c r="B37" s="224"/>
      <c r="C37" s="224"/>
      <c r="D37" s="221" t="s">
        <v>2170</v>
      </c>
    </row>
    <row r="38" spans="1:4" ht="15.75" thickBot="1">
      <c r="A38" s="222" t="s">
        <v>2171</v>
      </c>
      <c r="B38" s="224">
        <v>3569108773</v>
      </c>
      <c r="C38" s="224">
        <v>2971109841</v>
      </c>
      <c r="D38" s="221" t="s">
        <v>2172</v>
      </c>
    </row>
    <row r="39" spans="1:4" ht="15.75" thickBot="1">
      <c r="A39" s="222" t="s">
        <v>967</v>
      </c>
      <c r="B39" s="224">
        <v>3569108773</v>
      </c>
      <c r="C39" s="224">
        <v>2971109841</v>
      </c>
      <c r="D39" s="221"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19E4FF0-3524-4100-8CEA-BD2F78025976}">
      <formula1>-9.99999999999999E+33</formula1>
      <formula2>9.99999999999999E+33</formula2>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E5A68-4C80-42AB-BCAC-C45824BDA50B}">
  <dimension ref="A1:C6"/>
  <sheetViews>
    <sheetView showGridLines="0" workbookViewId="0">
      <selection sqref="A1:C1"/>
    </sheetView>
  </sheetViews>
  <sheetFormatPr defaultRowHeight="15"/>
  <cols>
    <col min="1" max="1" width="42.6640625" style="225" bestFit="1" customWidth="1" collapsed="1"/>
    <col min="2" max="2" width="33.33203125" style="225" customWidth="1" collapsed="1"/>
    <col min="3" max="3" width="42" style="225" bestFit="1" customWidth="1" collapsed="1"/>
    <col min="4" max="16384" width="9.33203125" style="225" collapsed="1"/>
  </cols>
  <sheetData>
    <row r="1" spans="1:3" ht="34.5" customHeight="1">
      <c r="A1" s="410" t="s">
        <v>2173</v>
      </c>
      <c r="B1" s="411"/>
      <c r="C1" s="411"/>
    </row>
    <row r="3" spans="1:3" ht="17.25" customHeight="1">
      <c r="A3" s="226" t="s">
        <v>1738</v>
      </c>
      <c r="B3" s="412" t="s">
        <v>1739</v>
      </c>
      <c r="C3" s="412"/>
    </row>
    <row r="4" spans="1:3">
      <c r="A4" s="227"/>
      <c r="B4" s="228" t="s">
        <v>104</v>
      </c>
    </row>
    <row r="5" spans="1:3" ht="15.75" thickBot="1">
      <c r="A5" s="229" t="s">
        <v>1738</v>
      </c>
      <c r="B5" s="230"/>
      <c r="C5" s="231" t="s">
        <v>1739</v>
      </c>
    </row>
    <row r="6" spans="1:3" ht="75" customHeight="1" thickBot="1">
      <c r="A6" s="232" t="s">
        <v>2174</v>
      </c>
      <c r="B6" s="233" t="s">
        <v>2175</v>
      </c>
      <c r="C6" s="231" t="s">
        <v>2176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01C730-AC58-4323-A0ED-7D4F9349BA32}">
      <formula1>0</formula1>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C08D2-E2B6-49E6-92CD-B115FDC92CF2}">
  <dimension ref="A1:L318"/>
  <sheetViews>
    <sheetView showGridLines="0" workbookViewId="0"/>
  </sheetViews>
  <sheetFormatPr defaultRowHeight="15"/>
  <cols>
    <col min="1" max="1" width="42.6640625" style="235" bestFit="1" customWidth="1" collapsed="1"/>
    <col min="2" max="2" width="19" style="235" customWidth="1" collapsed="1"/>
    <col min="3" max="4" width="38.33203125" style="235" bestFit="1" customWidth="1" collapsed="1"/>
    <col min="5" max="5" width="42.6640625" style="235" bestFit="1" customWidth="1" collapsed="1"/>
    <col min="6" max="6" width="15.6640625" style="235" bestFit="1" customWidth="1" collapsed="1"/>
    <col min="7" max="7" width="42.6640625" style="235" bestFit="1" customWidth="1" collapsed="1"/>
    <col min="8" max="8" width="19" style="235" bestFit="1" customWidth="1" collapsed="1"/>
    <col min="9" max="9" width="38.33203125" style="235" bestFit="1" customWidth="1" collapsed="1"/>
    <col min="10" max="10" width="25" style="235" bestFit="1" customWidth="1" collapsed="1"/>
    <col min="11" max="11" width="42.6640625" style="235" bestFit="1" customWidth="1" collapsed="1"/>
    <col min="12" max="12" width="15.6640625" style="235" bestFit="1" customWidth="1" collapsed="1"/>
    <col min="13" max="16384" width="9.33203125" style="235" collapsed="1"/>
  </cols>
  <sheetData>
    <row r="1" spans="1:12" ht="17.25">
      <c r="A1" s="234" t="s">
        <v>2177</v>
      </c>
    </row>
    <row r="3" spans="1:12" ht="17.25" customHeight="1">
      <c r="A3" s="415" t="s">
        <v>19</v>
      </c>
      <c r="B3" s="415"/>
      <c r="C3" s="415"/>
      <c r="D3" s="415"/>
      <c r="E3" s="415"/>
      <c r="F3" s="415"/>
      <c r="G3" s="416" t="s">
        <v>106</v>
      </c>
      <c r="H3" s="416"/>
      <c r="I3" s="416"/>
      <c r="J3" s="416"/>
      <c r="K3" s="416"/>
      <c r="L3" s="416"/>
    </row>
    <row r="4" spans="1:12" ht="17.25" customHeight="1">
      <c r="A4" s="415" t="s">
        <v>2178</v>
      </c>
      <c r="B4" s="415"/>
      <c r="C4" s="415"/>
      <c r="D4" s="416" t="s">
        <v>2179</v>
      </c>
      <c r="E4" s="416"/>
      <c r="F4" s="416"/>
      <c r="G4" s="415" t="s">
        <v>2178</v>
      </c>
      <c r="H4" s="415"/>
      <c r="I4" s="415"/>
      <c r="J4" s="416" t="s">
        <v>2179</v>
      </c>
      <c r="K4" s="416"/>
      <c r="L4" s="416"/>
    </row>
    <row r="5" spans="1:12">
      <c r="A5" s="417"/>
      <c r="B5" s="417"/>
      <c r="C5" s="418" t="s">
        <v>2180</v>
      </c>
      <c r="D5" s="418"/>
      <c r="E5" s="417"/>
      <c r="F5" s="417"/>
      <c r="G5" s="417"/>
      <c r="H5" s="417"/>
      <c r="I5" s="418" t="s">
        <v>2180</v>
      </c>
      <c r="J5" s="418"/>
      <c r="K5" s="417"/>
      <c r="L5" s="417"/>
    </row>
    <row r="6" spans="1:12" ht="23.25">
      <c r="A6" s="417"/>
      <c r="B6" s="417"/>
      <c r="C6" s="236" t="s">
        <v>2181</v>
      </c>
      <c r="D6" s="236" t="s">
        <v>2182</v>
      </c>
      <c r="E6" s="417"/>
      <c r="F6" s="417"/>
      <c r="G6" s="417"/>
      <c r="H6" s="417"/>
      <c r="I6" s="236" t="s">
        <v>2181</v>
      </c>
      <c r="J6" s="236" t="s">
        <v>2182</v>
      </c>
      <c r="K6" s="417"/>
      <c r="L6" s="417"/>
    </row>
    <row r="7" spans="1:12" ht="15.75" thickBot="1">
      <c r="A7" s="420" t="s">
        <v>2183</v>
      </c>
      <c r="B7" s="237" t="s">
        <v>1845</v>
      </c>
      <c r="C7" s="238"/>
      <c r="D7" s="238"/>
      <c r="E7" s="423" t="s">
        <v>2183</v>
      </c>
      <c r="F7" s="239" t="s">
        <v>1845</v>
      </c>
      <c r="G7" s="420" t="s">
        <v>2183</v>
      </c>
      <c r="H7" s="237" t="s">
        <v>1845</v>
      </c>
      <c r="I7" s="238"/>
      <c r="J7" s="238"/>
      <c r="K7" s="423" t="s">
        <v>2183</v>
      </c>
      <c r="L7" s="239" t="s">
        <v>1845</v>
      </c>
    </row>
    <row r="8" spans="1:12" ht="15.75" thickBot="1">
      <c r="A8" s="420"/>
      <c r="B8" s="237" t="s">
        <v>1847</v>
      </c>
      <c r="C8" s="238"/>
      <c r="D8" s="238"/>
      <c r="E8" s="423"/>
      <c r="F8" s="239" t="s">
        <v>1847</v>
      </c>
      <c r="G8" s="420"/>
      <c r="H8" s="237" t="s">
        <v>1847</v>
      </c>
      <c r="I8" s="238"/>
      <c r="J8" s="238"/>
      <c r="K8" s="423"/>
      <c r="L8" s="239" t="s">
        <v>1847</v>
      </c>
    </row>
    <row r="9" spans="1:12" ht="15.75" thickBot="1">
      <c r="A9" s="420"/>
      <c r="B9" s="237" t="s">
        <v>1848</v>
      </c>
      <c r="C9" s="238"/>
      <c r="D9" s="238"/>
      <c r="E9" s="423"/>
      <c r="F9" s="239" t="s">
        <v>1848</v>
      </c>
      <c r="G9" s="420"/>
      <c r="H9" s="237" t="s">
        <v>1848</v>
      </c>
      <c r="I9" s="238"/>
      <c r="J9" s="238"/>
      <c r="K9" s="423"/>
      <c r="L9" s="239" t="s">
        <v>1848</v>
      </c>
    </row>
    <row r="10" spans="1:12" ht="15.75" thickBot="1">
      <c r="A10" s="420"/>
      <c r="B10" s="237" t="s">
        <v>1849</v>
      </c>
      <c r="C10" s="238"/>
      <c r="D10" s="238"/>
      <c r="E10" s="423"/>
      <c r="F10" s="239" t="s">
        <v>1849</v>
      </c>
      <c r="G10" s="420"/>
      <c r="H10" s="237" t="s">
        <v>1849</v>
      </c>
      <c r="I10" s="238"/>
      <c r="J10" s="238"/>
      <c r="K10" s="423"/>
      <c r="L10" s="239" t="s">
        <v>1849</v>
      </c>
    </row>
    <row r="11" spans="1:12" ht="15.75" thickBot="1">
      <c r="A11" s="420"/>
      <c r="B11" s="237" t="s">
        <v>1850</v>
      </c>
      <c r="C11" s="238"/>
      <c r="D11" s="238"/>
      <c r="E11" s="423"/>
      <c r="F11" s="239" t="s">
        <v>1850</v>
      </c>
      <c r="G11" s="420"/>
      <c r="H11" s="237" t="s">
        <v>1850</v>
      </c>
      <c r="I11" s="238"/>
      <c r="J11" s="238"/>
      <c r="K11" s="423"/>
      <c r="L11" s="239" t="s">
        <v>1850</v>
      </c>
    </row>
    <row r="12" spans="1:12" ht="15.75" thickBot="1">
      <c r="A12" s="420"/>
      <c r="B12" s="237" t="s">
        <v>1851</v>
      </c>
      <c r="C12" s="238"/>
      <c r="D12" s="238"/>
      <c r="E12" s="423"/>
      <c r="F12" s="239" t="s">
        <v>1851</v>
      </c>
      <c r="G12" s="420"/>
      <c r="H12" s="237" t="s">
        <v>1851</v>
      </c>
      <c r="I12" s="238"/>
      <c r="J12" s="238"/>
      <c r="K12" s="423"/>
      <c r="L12" s="239" t="s">
        <v>1851</v>
      </c>
    </row>
    <row r="13" spans="1:12" ht="15.75" thickBot="1">
      <c r="A13" s="420"/>
      <c r="B13" s="237" t="s">
        <v>1852</v>
      </c>
      <c r="C13" s="238"/>
      <c r="D13" s="238"/>
      <c r="E13" s="423"/>
      <c r="F13" s="239" t="s">
        <v>1852</v>
      </c>
      <c r="G13" s="420"/>
      <c r="H13" s="237" t="s">
        <v>1852</v>
      </c>
      <c r="I13" s="238"/>
      <c r="J13" s="238"/>
      <c r="K13" s="423"/>
      <c r="L13" s="239" t="s">
        <v>1852</v>
      </c>
    </row>
    <row r="14" spans="1:12" ht="15.75" thickBot="1">
      <c r="A14" s="420"/>
      <c r="B14" s="237" t="s">
        <v>1853</v>
      </c>
      <c r="C14" s="238"/>
      <c r="D14" s="238"/>
      <c r="E14" s="423"/>
      <c r="F14" s="239" t="s">
        <v>1853</v>
      </c>
      <c r="G14" s="420"/>
      <c r="H14" s="237" t="s">
        <v>1853</v>
      </c>
      <c r="I14" s="238"/>
      <c r="J14" s="238"/>
      <c r="K14" s="423"/>
      <c r="L14" s="239" t="s">
        <v>1853</v>
      </c>
    </row>
    <row r="15" spans="1:12" ht="15.75" thickBot="1">
      <c r="A15" s="420"/>
      <c r="B15" s="237" t="s">
        <v>1854</v>
      </c>
      <c r="C15" s="238"/>
      <c r="D15" s="238"/>
      <c r="E15" s="423"/>
      <c r="F15" s="239" t="s">
        <v>1854</v>
      </c>
      <c r="G15" s="420"/>
      <c r="H15" s="237" t="s">
        <v>1854</v>
      </c>
      <c r="I15" s="238"/>
      <c r="J15" s="238"/>
      <c r="K15" s="423"/>
      <c r="L15" s="239" t="s">
        <v>1854</v>
      </c>
    </row>
    <row r="16" spans="1:12" ht="15.75" thickBot="1">
      <c r="A16" s="420"/>
      <c r="B16" s="237" t="s">
        <v>1855</v>
      </c>
      <c r="C16" s="238"/>
      <c r="D16" s="238"/>
      <c r="E16" s="423"/>
      <c r="F16" s="239" t="s">
        <v>1855</v>
      </c>
      <c r="G16" s="420"/>
      <c r="H16" s="237" t="s">
        <v>1855</v>
      </c>
      <c r="I16" s="238"/>
      <c r="J16" s="238"/>
      <c r="K16" s="423"/>
      <c r="L16" s="239" t="s">
        <v>1855</v>
      </c>
    </row>
    <row r="17" spans="1:12" ht="15.75" thickBot="1">
      <c r="A17" s="420"/>
      <c r="B17" s="237" t="s">
        <v>1856</v>
      </c>
      <c r="C17" s="238"/>
      <c r="D17" s="238"/>
      <c r="E17" s="423"/>
      <c r="F17" s="239" t="s">
        <v>1856</v>
      </c>
      <c r="G17" s="420"/>
      <c r="H17" s="237" t="s">
        <v>1856</v>
      </c>
      <c r="I17" s="238"/>
      <c r="J17" s="238"/>
      <c r="K17" s="423"/>
      <c r="L17" s="239" t="s">
        <v>1856</v>
      </c>
    </row>
    <row r="18" spans="1:12" ht="26.25" thickBot="1">
      <c r="A18" s="420"/>
      <c r="B18" s="237" t="s">
        <v>1857</v>
      </c>
      <c r="C18" s="238"/>
      <c r="D18" s="238"/>
      <c r="E18" s="423"/>
      <c r="F18" s="239" t="s">
        <v>1858</v>
      </c>
      <c r="G18" s="420"/>
      <c r="H18" s="237" t="s">
        <v>1857</v>
      </c>
      <c r="I18" s="238"/>
      <c r="J18" s="238"/>
      <c r="K18" s="423"/>
      <c r="L18" s="239" t="s">
        <v>1858</v>
      </c>
    </row>
    <row r="19" spans="1:12" ht="15.75" thickBot="1">
      <c r="A19" s="421"/>
      <c r="B19" s="237" t="s">
        <v>1859</v>
      </c>
      <c r="C19" s="238"/>
      <c r="D19" s="238"/>
      <c r="E19" s="424"/>
      <c r="F19" s="239" t="s">
        <v>1860</v>
      </c>
      <c r="G19" s="421"/>
      <c r="H19" s="237" t="s">
        <v>1859</v>
      </c>
      <c r="I19" s="238"/>
      <c r="J19" s="238"/>
      <c r="K19" s="424"/>
      <c r="L19" s="239" t="s">
        <v>1860</v>
      </c>
    </row>
    <row r="20" spans="1:12" ht="15.75" thickBot="1">
      <c r="A20" s="419" t="s">
        <v>2184</v>
      </c>
      <c r="B20" s="237" t="s">
        <v>1845</v>
      </c>
      <c r="C20" s="238"/>
      <c r="D20" s="238"/>
      <c r="E20" s="422" t="s">
        <v>2184</v>
      </c>
      <c r="F20" s="239" t="s">
        <v>1845</v>
      </c>
      <c r="G20" s="419" t="s">
        <v>2184</v>
      </c>
      <c r="H20" s="237" t="s">
        <v>1845</v>
      </c>
      <c r="I20" s="238"/>
      <c r="J20" s="238"/>
      <c r="K20" s="422" t="s">
        <v>2184</v>
      </c>
      <c r="L20" s="239" t="s">
        <v>1845</v>
      </c>
    </row>
    <row r="21" spans="1:12" ht="15.75" thickBot="1">
      <c r="A21" s="420"/>
      <c r="B21" s="237" t="s">
        <v>1847</v>
      </c>
      <c r="C21" s="238"/>
      <c r="D21" s="238"/>
      <c r="E21" s="423"/>
      <c r="F21" s="239" t="s">
        <v>1847</v>
      </c>
      <c r="G21" s="420"/>
      <c r="H21" s="237" t="s">
        <v>1847</v>
      </c>
      <c r="I21" s="238"/>
      <c r="J21" s="238"/>
      <c r="K21" s="423"/>
      <c r="L21" s="239" t="s">
        <v>1847</v>
      </c>
    </row>
    <row r="22" spans="1:12" ht="15.75" thickBot="1">
      <c r="A22" s="420"/>
      <c r="B22" s="237" t="s">
        <v>1848</v>
      </c>
      <c r="C22" s="238"/>
      <c r="D22" s="238"/>
      <c r="E22" s="423"/>
      <c r="F22" s="239" t="s">
        <v>1848</v>
      </c>
      <c r="G22" s="420"/>
      <c r="H22" s="237" t="s">
        <v>1848</v>
      </c>
      <c r="I22" s="238"/>
      <c r="J22" s="238"/>
      <c r="K22" s="423"/>
      <c r="L22" s="239" t="s">
        <v>1848</v>
      </c>
    </row>
    <row r="23" spans="1:12" ht="15.75" thickBot="1">
      <c r="A23" s="420"/>
      <c r="B23" s="237" t="s">
        <v>1849</v>
      </c>
      <c r="C23" s="238"/>
      <c r="D23" s="238"/>
      <c r="E23" s="423"/>
      <c r="F23" s="239" t="s">
        <v>1849</v>
      </c>
      <c r="G23" s="420"/>
      <c r="H23" s="237" t="s">
        <v>1849</v>
      </c>
      <c r="I23" s="238"/>
      <c r="J23" s="238"/>
      <c r="K23" s="423"/>
      <c r="L23" s="239" t="s">
        <v>1849</v>
      </c>
    </row>
    <row r="24" spans="1:12" ht="15.75" thickBot="1">
      <c r="A24" s="420"/>
      <c r="B24" s="237" t="s">
        <v>1850</v>
      </c>
      <c r="C24" s="238"/>
      <c r="D24" s="238"/>
      <c r="E24" s="423"/>
      <c r="F24" s="239" t="s">
        <v>1850</v>
      </c>
      <c r="G24" s="420"/>
      <c r="H24" s="237" t="s">
        <v>1850</v>
      </c>
      <c r="I24" s="238"/>
      <c r="J24" s="238"/>
      <c r="K24" s="423"/>
      <c r="L24" s="239" t="s">
        <v>1850</v>
      </c>
    </row>
    <row r="25" spans="1:12" ht="15.75" thickBot="1">
      <c r="A25" s="420"/>
      <c r="B25" s="237" t="s">
        <v>1851</v>
      </c>
      <c r="C25" s="238"/>
      <c r="D25" s="238"/>
      <c r="E25" s="423"/>
      <c r="F25" s="239" t="s">
        <v>1851</v>
      </c>
      <c r="G25" s="420"/>
      <c r="H25" s="237" t="s">
        <v>1851</v>
      </c>
      <c r="I25" s="238"/>
      <c r="J25" s="238"/>
      <c r="K25" s="423"/>
      <c r="L25" s="239" t="s">
        <v>1851</v>
      </c>
    </row>
    <row r="26" spans="1:12" ht="15.75" thickBot="1">
      <c r="A26" s="420"/>
      <c r="B26" s="237" t="s">
        <v>1852</v>
      </c>
      <c r="C26" s="238"/>
      <c r="D26" s="238"/>
      <c r="E26" s="423"/>
      <c r="F26" s="239" t="s">
        <v>1852</v>
      </c>
      <c r="G26" s="420"/>
      <c r="H26" s="237" t="s">
        <v>1852</v>
      </c>
      <c r="I26" s="238"/>
      <c r="J26" s="238"/>
      <c r="K26" s="423"/>
      <c r="L26" s="239" t="s">
        <v>1852</v>
      </c>
    </row>
    <row r="27" spans="1:12" ht="15.75" thickBot="1">
      <c r="A27" s="420"/>
      <c r="B27" s="237" t="s">
        <v>1853</v>
      </c>
      <c r="C27" s="238"/>
      <c r="D27" s="238"/>
      <c r="E27" s="423"/>
      <c r="F27" s="239" t="s">
        <v>1853</v>
      </c>
      <c r="G27" s="420"/>
      <c r="H27" s="237" t="s">
        <v>1853</v>
      </c>
      <c r="I27" s="238"/>
      <c r="J27" s="238"/>
      <c r="K27" s="423"/>
      <c r="L27" s="239" t="s">
        <v>1853</v>
      </c>
    </row>
    <row r="28" spans="1:12" ht="15.75" thickBot="1">
      <c r="A28" s="420"/>
      <c r="B28" s="237" t="s">
        <v>1854</v>
      </c>
      <c r="C28" s="238"/>
      <c r="D28" s="238"/>
      <c r="E28" s="423"/>
      <c r="F28" s="239" t="s">
        <v>1854</v>
      </c>
      <c r="G28" s="420"/>
      <c r="H28" s="237" t="s">
        <v>1854</v>
      </c>
      <c r="I28" s="238"/>
      <c r="J28" s="238"/>
      <c r="K28" s="423"/>
      <c r="L28" s="239" t="s">
        <v>1854</v>
      </c>
    </row>
    <row r="29" spans="1:12" ht="15.75" thickBot="1">
      <c r="A29" s="420"/>
      <c r="B29" s="237" t="s">
        <v>1855</v>
      </c>
      <c r="C29" s="238"/>
      <c r="D29" s="238"/>
      <c r="E29" s="423"/>
      <c r="F29" s="239" t="s">
        <v>1855</v>
      </c>
      <c r="G29" s="420"/>
      <c r="H29" s="237" t="s">
        <v>1855</v>
      </c>
      <c r="I29" s="238"/>
      <c r="J29" s="238"/>
      <c r="K29" s="423"/>
      <c r="L29" s="239" t="s">
        <v>1855</v>
      </c>
    </row>
    <row r="30" spans="1:12" ht="15.75" thickBot="1">
      <c r="A30" s="420"/>
      <c r="B30" s="237" t="s">
        <v>1856</v>
      </c>
      <c r="C30" s="238"/>
      <c r="D30" s="238"/>
      <c r="E30" s="423"/>
      <c r="F30" s="239" t="s">
        <v>1856</v>
      </c>
      <c r="G30" s="420"/>
      <c r="H30" s="237" t="s">
        <v>1856</v>
      </c>
      <c r="I30" s="238"/>
      <c r="J30" s="238"/>
      <c r="K30" s="423"/>
      <c r="L30" s="239" t="s">
        <v>1856</v>
      </c>
    </row>
    <row r="31" spans="1:12" ht="26.25" thickBot="1">
      <c r="A31" s="420"/>
      <c r="B31" s="237" t="s">
        <v>1857</v>
      </c>
      <c r="C31" s="238"/>
      <c r="D31" s="238"/>
      <c r="E31" s="423"/>
      <c r="F31" s="239" t="s">
        <v>1858</v>
      </c>
      <c r="G31" s="420"/>
      <c r="H31" s="237" t="s">
        <v>1857</v>
      </c>
      <c r="I31" s="238"/>
      <c r="J31" s="238"/>
      <c r="K31" s="423"/>
      <c r="L31" s="239" t="s">
        <v>1858</v>
      </c>
    </row>
    <row r="32" spans="1:12" ht="15.75" thickBot="1">
      <c r="A32" s="421"/>
      <c r="B32" s="237" t="s">
        <v>1859</v>
      </c>
      <c r="C32" s="238"/>
      <c r="D32" s="238"/>
      <c r="E32" s="424"/>
      <c r="F32" s="239" t="s">
        <v>1860</v>
      </c>
      <c r="G32" s="421"/>
      <c r="H32" s="237" t="s">
        <v>1859</v>
      </c>
      <c r="I32" s="238"/>
      <c r="J32" s="238"/>
      <c r="K32" s="424"/>
      <c r="L32" s="239" t="s">
        <v>1860</v>
      </c>
    </row>
    <row r="33" spans="1:12" ht="15.75" thickBot="1">
      <c r="A33" s="419" t="s">
        <v>2185</v>
      </c>
      <c r="B33" s="237" t="s">
        <v>1845</v>
      </c>
      <c r="C33" s="238"/>
      <c r="D33" s="238"/>
      <c r="E33" s="422" t="s">
        <v>2185</v>
      </c>
      <c r="F33" s="239" t="s">
        <v>1845</v>
      </c>
      <c r="G33" s="419" t="s">
        <v>2185</v>
      </c>
      <c r="H33" s="237" t="s">
        <v>1845</v>
      </c>
      <c r="I33" s="238"/>
      <c r="J33" s="238"/>
      <c r="K33" s="422" t="s">
        <v>2185</v>
      </c>
      <c r="L33" s="239" t="s">
        <v>1845</v>
      </c>
    </row>
    <row r="34" spans="1:12" ht="15.75" thickBot="1">
      <c r="A34" s="420"/>
      <c r="B34" s="237" t="s">
        <v>1847</v>
      </c>
      <c r="C34" s="238"/>
      <c r="D34" s="238"/>
      <c r="E34" s="423"/>
      <c r="F34" s="239" t="s">
        <v>1847</v>
      </c>
      <c r="G34" s="420"/>
      <c r="H34" s="237" t="s">
        <v>1847</v>
      </c>
      <c r="I34" s="238"/>
      <c r="J34" s="238"/>
      <c r="K34" s="423"/>
      <c r="L34" s="239" t="s">
        <v>1847</v>
      </c>
    </row>
    <row r="35" spans="1:12" ht="15.75" thickBot="1">
      <c r="A35" s="420"/>
      <c r="B35" s="237" t="s">
        <v>1848</v>
      </c>
      <c r="C35" s="238"/>
      <c r="D35" s="238"/>
      <c r="E35" s="423"/>
      <c r="F35" s="239" t="s">
        <v>1848</v>
      </c>
      <c r="G35" s="420"/>
      <c r="H35" s="237" t="s">
        <v>1848</v>
      </c>
      <c r="I35" s="238"/>
      <c r="J35" s="238"/>
      <c r="K35" s="423"/>
      <c r="L35" s="239" t="s">
        <v>1848</v>
      </c>
    </row>
    <row r="36" spans="1:12" ht="15.75" thickBot="1">
      <c r="A36" s="420"/>
      <c r="B36" s="237" t="s">
        <v>1849</v>
      </c>
      <c r="C36" s="238"/>
      <c r="D36" s="238"/>
      <c r="E36" s="423"/>
      <c r="F36" s="239" t="s">
        <v>1849</v>
      </c>
      <c r="G36" s="420"/>
      <c r="H36" s="237" t="s">
        <v>1849</v>
      </c>
      <c r="I36" s="238"/>
      <c r="J36" s="238"/>
      <c r="K36" s="423"/>
      <c r="L36" s="239" t="s">
        <v>1849</v>
      </c>
    </row>
    <row r="37" spans="1:12" ht="15.75" thickBot="1">
      <c r="A37" s="420"/>
      <c r="B37" s="237" t="s">
        <v>1850</v>
      </c>
      <c r="C37" s="238"/>
      <c r="D37" s="238"/>
      <c r="E37" s="423"/>
      <c r="F37" s="239" t="s">
        <v>1850</v>
      </c>
      <c r="G37" s="420"/>
      <c r="H37" s="237" t="s">
        <v>1850</v>
      </c>
      <c r="I37" s="238"/>
      <c r="J37" s="238"/>
      <c r="K37" s="423"/>
      <c r="L37" s="239" t="s">
        <v>1850</v>
      </c>
    </row>
    <row r="38" spans="1:12" ht="15.75" thickBot="1">
      <c r="A38" s="420"/>
      <c r="B38" s="237" t="s">
        <v>1851</v>
      </c>
      <c r="C38" s="238"/>
      <c r="D38" s="238"/>
      <c r="E38" s="423"/>
      <c r="F38" s="239" t="s">
        <v>1851</v>
      </c>
      <c r="G38" s="420"/>
      <c r="H38" s="237" t="s">
        <v>1851</v>
      </c>
      <c r="I38" s="238"/>
      <c r="J38" s="238"/>
      <c r="K38" s="423"/>
      <c r="L38" s="239" t="s">
        <v>1851</v>
      </c>
    </row>
    <row r="39" spans="1:12" ht="15.75" thickBot="1">
      <c r="A39" s="420"/>
      <c r="B39" s="237" t="s">
        <v>1852</v>
      </c>
      <c r="C39" s="238"/>
      <c r="D39" s="238"/>
      <c r="E39" s="423"/>
      <c r="F39" s="239" t="s">
        <v>1852</v>
      </c>
      <c r="G39" s="420"/>
      <c r="H39" s="237" t="s">
        <v>1852</v>
      </c>
      <c r="I39" s="238"/>
      <c r="J39" s="238"/>
      <c r="K39" s="423"/>
      <c r="L39" s="239" t="s">
        <v>1852</v>
      </c>
    </row>
    <row r="40" spans="1:12" ht="15.75" thickBot="1">
      <c r="A40" s="420"/>
      <c r="B40" s="237" t="s">
        <v>1853</v>
      </c>
      <c r="C40" s="238"/>
      <c r="D40" s="238"/>
      <c r="E40" s="423"/>
      <c r="F40" s="239" t="s">
        <v>1853</v>
      </c>
      <c r="G40" s="420"/>
      <c r="H40" s="237" t="s">
        <v>1853</v>
      </c>
      <c r="I40" s="238"/>
      <c r="J40" s="238"/>
      <c r="K40" s="423"/>
      <c r="L40" s="239" t="s">
        <v>1853</v>
      </c>
    </row>
    <row r="41" spans="1:12" ht="15.75" thickBot="1">
      <c r="A41" s="420"/>
      <c r="B41" s="237" t="s">
        <v>1854</v>
      </c>
      <c r="C41" s="238"/>
      <c r="D41" s="238"/>
      <c r="E41" s="423"/>
      <c r="F41" s="239" t="s">
        <v>1854</v>
      </c>
      <c r="G41" s="420"/>
      <c r="H41" s="237" t="s">
        <v>1854</v>
      </c>
      <c r="I41" s="238"/>
      <c r="J41" s="238"/>
      <c r="K41" s="423"/>
      <c r="L41" s="239" t="s">
        <v>1854</v>
      </c>
    </row>
    <row r="42" spans="1:12" ht="15.75" thickBot="1">
      <c r="A42" s="420"/>
      <c r="B42" s="237" t="s">
        <v>1855</v>
      </c>
      <c r="C42" s="238"/>
      <c r="D42" s="238"/>
      <c r="E42" s="423"/>
      <c r="F42" s="239" t="s">
        <v>1855</v>
      </c>
      <c r="G42" s="420"/>
      <c r="H42" s="237" t="s">
        <v>1855</v>
      </c>
      <c r="I42" s="238"/>
      <c r="J42" s="238"/>
      <c r="K42" s="423"/>
      <c r="L42" s="239" t="s">
        <v>1855</v>
      </c>
    </row>
    <row r="43" spans="1:12" ht="15.75" thickBot="1">
      <c r="A43" s="420"/>
      <c r="B43" s="237" t="s">
        <v>1856</v>
      </c>
      <c r="C43" s="238"/>
      <c r="D43" s="238"/>
      <c r="E43" s="423"/>
      <c r="F43" s="239" t="s">
        <v>1856</v>
      </c>
      <c r="G43" s="420"/>
      <c r="H43" s="237" t="s">
        <v>1856</v>
      </c>
      <c r="I43" s="238"/>
      <c r="J43" s="238"/>
      <c r="K43" s="423"/>
      <c r="L43" s="239" t="s">
        <v>1856</v>
      </c>
    </row>
    <row r="44" spans="1:12" ht="26.25" thickBot="1">
      <c r="A44" s="420"/>
      <c r="B44" s="237" t="s">
        <v>1857</v>
      </c>
      <c r="C44" s="238"/>
      <c r="D44" s="238"/>
      <c r="E44" s="423"/>
      <c r="F44" s="239" t="s">
        <v>1858</v>
      </c>
      <c r="G44" s="420"/>
      <c r="H44" s="237" t="s">
        <v>1857</v>
      </c>
      <c r="I44" s="238"/>
      <c r="J44" s="238"/>
      <c r="K44" s="423"/>
      <c r="L44" s="239" t="s">
        <v>1858</v>
      </c>
    </row>
    <row r="45" spans="1:12" ht="15.75" thickBot="1">
      <c r="A45" s="421"/>
      <c r="B45" s="237" t="s">
        <v>1859</v>
      </c>
      <c r="C45" s="238"/>
      <c r="D45" s="238"/>
      <c r="E45" s="424"/>
      <c r="F45" s="239" t="s">
        <v>1860</v>
      </c>
      <c r="G45" s="421"/>
      <c r="H45" s="237" t="s">
        <v>1859</v>
      </c>
      <c r="I45" s="238"/>
      <c r="J45" s="238"/>
      <c r="K45" s="424"/>
      <c r="L45" s="239" t="s">
        <v>1860</v>
      </c>
    </row>
    <row r="46" spans="1:12" ht="15.75" thickBot="1">
      <c r="A46" s="419" t="s">
        <v>2186</v>
      </c>
      <c r="B46" s="237" t="s">
        <v>1845</v>
      </c>
      <c r="C46" s="238"/>
      <c r="D46" s="238"/>
      <c r="E46" s="422" t="s">
        <v>2186</v>
      </c>
      <c r="F46" s="239" t="s">
        <v>1845</v>
      </c>
      <c r="G46" s="419" t="s">
        <v>2186</v>
      </c>
      <c r="H46" s="237" t="s">
        <v>1845</v>
      </c>
      <c r="I46" s="238"/>
      <c r="J46" s="238"/>
      <c r="K46" s="422" t="s">
        <v>2186</v>
      </c>
      <c r="L46" s="239" t="s">
        <v>1845</v>
      </c>
    </row>
    <row r="47" spans="1:12" ht="15.75" thickBot="1">
      <c r="A47" s="420"/>
      <c r="B47" s="237" t="s">
        <v>1847</v>
      </c>
      <c r="C47" s="238"/>
      <c r="D47" s="238"/>
      <c r="E47" s="423"/>
      <c r="F47" s="239" t="s">
        <v>1847</v>
      </c>
      <c r="G47" s="420"/>
      <c r="H47" s="237" t="s">
        <v>1847</v>
      </c>
      <c r="I47" s="238"/>
      <c r="J47" s="238"/>
      <c r="K47" s="423"/>
      <c r="L47" s="239" t="s">
        <v>1847</v>
      </c>
    </row>
    <row r="48" spans="1:12" ht="15.75" thickBot="1">
      <c r="A48" s="420"/>
      <c r="B48" s="237" t="s">
        <v>1848</v>
      </c>
      <c r="C48" s="238"/>
      <c r="D48" s="238"/>
      <c r="E48" s="423"/>
      <c r="F48" s="239" t="s">
        <v>1848</v>
      </c>
      <c r="G48" s="420"/>
      <c r="H48" s="237" t="s">
        <v>1848</v>
      </c>
      <c r="I48" s="238"/>
      <c r="J48" s="238"/>
      <c r="K48" s="423"/>
      <c r="L48" s="239" t="s">
        <v>1848</v>
      </c>
    </row>
    <row r="49" spans="1:12" ht="15.75" thickBot="1">
      <c r="A49" s="420"/>
      <c r="B49" s="237" t="s">
        <v>1849</v>
      </c>
      <c r="C49" s="238"/>
      <c r="D49" s="238"/>
      <c r="E49" s="423"/>
      <c r="F49" s="239" t="s">
        <v>1849</v>
      </c>
      <c r="G49" s="420"/>
      <c r="H49" s="237" t="s">
        <v>1849</v>
      </c>
      <c r="I49" s="238"/>
      <c r="J49" s="238"/>
      <c r="K49" s="423"/>
      <c r="L49" s="239" t="s">
        <v>1849</v>
      </c>
    </row>
    <row r="50" spans="1:12" ht="15.75" thickBot="1">
      <c r="A50" s="420"/>
      <c r="B50" s="237" t="s">
        <v>1850</v>
      </c>
      <c r="C50" s="238"/>
      <c r="D50" s="238"/>
      <c r="E50" s="423"/>
      <c r="F50" s="239" t="s">
        <v>1850</v>
      </c>
      <c r="G50" s="420"/>
      <c r="H50" s="237" t="s">
        <v>1850</v>
      </c>
      <c r="I50" s="238"/>
      <c r="J50" s="238"/>
      <c r="K50" s="423"/>
      <c r="L50" s="239" t="s">
        <v>1850</v>
      </c>
    </row>
    <row r="51" spans="1:12" ht="15.75" thickBot="1">
      <c r="A51" s="420"/>
      <c r="B51" s="237" t="s">
        <v>1851</v>
      </c>
      <c r="C51" s="238"/>
      <c r="D51" s="238"/>
      <c r="E51" s="423"/>
      <c r="F51" s="239" t="s">
        <v>1851</v>
      </c>
      <c r="G51" s="420"/>
      <c r="H51" s="237" t="s">
        <v>1851</v>
      </c>
      <c r="I51" s="238"/>
      <c r="J51" s="238"/>
      <c r="K51" s="423"/>
      <c r="L51" s="239" t="s">
        <v>1851</v>
      </c>
    </row>
    <row r="52" spans="1:12" ht="15.75" thickBot="1">
      <c r="A52" s="420"/>
      <c r="B52" s="237" t="s">
        <v>1852</v>
      </c>
      <c r="C52" s="238"/>
      <c r="D52" s="238"/>
      <c r="E52" s="423"/>
      <c r="F52" s="239" t="s">
        <v>1852</v>
      </c>
      <c r="G52" s="420"/>
      <c r="H52" s="237" t="s">
        <v>1852</v>
      </c>
      <c r="I52" s="238"/>
      <c r="J52" s="238"/>
      <c r="K52" s="423"/>
      <c r="L52" s="239" t="s">
        <v>1852</v>
      </c>
    </row>
    <row r="53" spans="1:12" ht="15.75" thickBot="1">
      <c r="A53" s="420"/>
      <c r="B53" s="237" t="s">
        <v>1853</v>
      </c>
      <c r="C53" s="238"/>
      <c r="D53" s="238"/>
      <c r="E53" s="423"/>
      <c r="F53" s="239" t="s">
        <v>1853</v>
      </c>
      <c r="G53" s="420"/>
      <c r="H53" s="237" t="s">
        <v>1853</v>
      </c>
      <c r="I53" s="238"/>
      <c r="J53" s="238"/>
      <c r="K53" s="423"/>
      <c r="L53" s="239" t="s">
        <v>1853</v>
      </c>
    </row>
    <row r="54" spans="1:12" ht="15.75" thickBot="1">
      <c r="A54" s="420"/>
      <c r="B54" s="237" t="s">
        <v>1854</v>
      </c>
      <c r="C54" s="238"/>
      <c r="D54" s="238"/>
      <c r="E54" s="423"/>
      <c r="F54" s="239" t="s">
        <v>1854</v>
      </c>
      <c r="G54" s="420"/>
      <c r="H54" s="237" t="s">
        <v>1854</v>
      </c>
      <c r="I54" s="238"/>
      <c r="J54" s="238"/>
      <c r="K54" s="423"/>
      <c r="L54" s="239" t="s">
        <v>1854</v>
      </c>
    </row>
    <row r="55" spans="1:12" ht="15.75" thickBot="1">
      <c r="A55" s="420"/>
      <c r="B55" s="237" t="s">
        <v>1855</v>
      </c>
      <c r="C55" s="238"/>
      <c r="D55" s="238"/>
      <c r="E55" s="423"/>
      <c r="F55" s="239" t="s">
        <v>1855</v>
      </c>
      <c r="G55" s="420"/>
      <c r="H55" s="237" t="s">
        <v>1855</v>
      </c>
      <c r="I55" s="238"/>
      <c r="J55" s="238"/>
      <c r="K55" s="423"/>
      <c r="L55" s="239" t="s">
        <v>1855</v>
      </c>
    </row>
    <row r="56" spans="1:12" ht="15.75" thickBot="1">
      <c r="A56" s="420"/>
      <c r="B56" s="237" t="s">
        <v>1856</v>
      </c>
      <c r="C56" s="238"/>
      <c r="D56" s="238"/>
      <c r="E56" s="423"/>
      <c r="F56" s="239" t="s">
        <v>1856</v>
      </c>
      <c r="G56" s="420"/>
      <c r="H56" s="237" t="s">
        <v>1856</v>
      </c>
      <c r="I56" s="238"/>
      <c r="J56" s="238"/>
      <c r="K56" s="423"/>
      <c r="L56" s="239" t="s">
        <v>1856</v>
      </c>
    </row>
    <row r="57" spans="1:12" ht="26.25" thickBot="1">
      <c r="A57" s="420"/>
      <c r="B57" s="237" t="s">
        <v>1857</v>
      </c>
      <c r="C57" s="238"/>
      <c r="D57" s="238"/>
      <c r="E57" s="423"/>
      <c r="F57" s="239" t="s">
        <v>1858</v>
      </c>
      <c r="G57" s="420"/>
      <c r="H57" s="237" t="s">
        <v>1857</v>
      </c>
      <c r="I57" s="238"/>
      <c r="J57" s="238"/>
      <c r="K57" s="423"/>
      <c r="L57" s="239" t="s">
        <v>1858</v>
      </c>
    </row>
    <row r="58" spans="1:12" ht="15.75" thickBot="1">
      <c r="A58" s="421"/>
      <c r="B58" s="237" t="s">
        <v>1859</v>
      </c>
      <c r="C58" s="238"/>
      <c r="D58" s="238"/>
      <c r="E58" s="424"/>
      <c r="F58" s="239" t="s">
        <v>1860</v>
      </c>
      <c r="G58" s="421"/>
      <c r="H58" s="237" t="s">
        <v>1859</v>
      </c>
      <c r="I58" s="238"/>
      <c r="J58" s="238"/>
      <c r="K58" s="424"/>
      <c r="L58" s="239" t="s">
        <v>1860</v>
      </c>
    </row>
    <row r="59" spans="1:12" ht="15.75" thickBot="1">
      <c r="A59" s="419" t="s">
        <v>2187</v>
      </c>
      <c r="B59" s="237" t="s">
        <v>1845</v>
      </c>
      <c r="C59" s="238"/>
      <c r="D59" s="238"/>
      <c r="E59" s="422" t="s">
        <v>2187</v>
      </c>
      <c r="F59" s="239" t="s">
        <v>1845</v>
      </c>
      <c r="G59" s="419" t="s">
        <v>2187</v>
      </c>
      <c r="H59" s="237" t="s">
        <v>1845</v>
      </c>
      <c r="I59" s="238"/>
      <c r="J59" s="238"/>
      <c r="K59" s="422" t="s">
        <v>2187</v>
      </c>
      <c r="L59" s="239" t="s">
        <v>1845</v>
      </c>
    </row>
    <row r="60" spans="1:12" ht="15.75" thickBot="1">
      <c r="A60" s="420"/>
      <c r="B60" s="237" t="s">
        <v>1847</v>
      </c>
      <c r="C60" s="238"/>
      <c r="D60" s="238"/>
      <c r="E60" s="423"/>
      <c r="F60" s="239" t="s">
        <v>1847</v>
      </c>
      <c r="G60" s="420"/>
      <c r="H60" s="237" t="s">
        <v>1847</v>
      </c>
      <c r="I60" s="238"/>
      <c r="J60" s="238"/>
      <c r="K60" s="423"/>
      <c r="L60" s="239" t="s">
        <v>1847</v>
      </c>
    </row>
    <row r="61" spans="1:12" ht="15.75" thickBot="1">
      <c r="A61" s="420"/>
      <c r="B61" s="237" t="s">
        <v>1848</v>
      </c>
      <c r="C61" s="238"/>
      <c r="D61" s="238"/>
      <c r="E61" s="423"/>
      <c r="F61" s="239" t="s">
        <v>1848</v>
      </c>
      <c r="G61" s="420"/>
      <c r="H61" s="237" t="s">
        <v>1848</v>
      </c>
      <c r="I61" s="238"/>
      <c r="J61" s="238"/>
      <c r="K61" s="423"/>
      <c r="L61" s="239" t="s">
        <v>1848</v>
      </c>
    </row>
    <row r="62" spans="1:12" ht="15.75" thickBot="1">
      <c r="A62" s="420"/>
      <c r="B62" s="237" t="s">
        <v>1849</v>
      </c>
      <c r="C62" s="238"/>
      <c r="D62" s="238"/>
      <c r="E62" s="423"/>
      <c r="F62" s="239" t="s">
        <v>1849</v>
      </c>
      <c r="G62" s="420"/>
      <c r="H62" s="237" t="s">
        <v>1849</v>
      </c>
      <c r="I62" s="238"/>
      <c r="J62" s="238"/>
      <c r="K62" s="423"/>
      <c r="L62" s="239" t="s">
        <v>1849</v>
      </c>
    </row>
    <row r="63" spans="1:12" ht="15.75" thickBot="1">
      <c r="A63" s="420"/>
      <c r="B63" s="237" t="s">
        <v>1850</v>
      </c>
      <c r="C63" s="238"/>
      <c r="D63" s="238"/>
      <c r="E63" s="423"/>
      <c r="F63" s="239" t="s">
        <v>1850</v>
      </c>
      <c r="G63" s="420"/>
      <c r="H63" s="237" t="s">
        <v>1850</v>
      </c>
      <c r="I63" s="238"/>
      <c r="J63" s="238"/>
      <c r="K63" s="423"/>
      <c r="L63" s="239" t="s">
        <v>1850</v>
      </c>
    </row>
    <row r="64" spans="1:12" ht="15.75" thickBot="1">
      <c r="A64" s="420"/>
      <c r="B64" s="237" t="s">
        <v>1851</v>
      </c>
      <c r="C64" s="238"/>
      <c r="D64" s="238"/>
      <c r="E64" s="423"/>
      <c r="F64" s="239" t="s">
        <v>1851</v>
      </c>
      <c r="G64" s="420"/>
      <c r="H64" s="237" t="s">
        <v>1851</v>
      </c>
      <c r="I64" s="238"/>
      <c r="J64" s="238"/>
      <c r="K64" s="423"/>
      <c r="L64" s="239" t="s">
        <v>1851</v>
      </c>
    </row>
    <row r="65" spans="1:12" ht="15.75" thickBot="1">
      <c r="A65" s="420"/>
      <c r="B65" s="237" t="s">
        <v>1852</v>
      </c>
      <c r="C65" s="238"/>
      <c r="D65" s="238"/>
      <c r="E65" s="423"/>
      <c r="F65" s="239" t="s">
        <v>1852</v>
      </c>
      <c r="G65" s="420"/>
      <c r="H65" s="237" t="s">
        <v>1852</v>
      </c>
      <c r="I65" s="238"/>
      <c r="J65" s="238"/>
      <c r="K65" s="423"/>
      <c r="L65" s="239" t="s">
        <v>1852</v>
      </c>
    </row>
    <row r="66" spans="1:12" ht="15.75" thickBot="1">
      <c r="A66" s="420"/>
      <c r="B66" s="237" t="s">
        <v>1853</v>
      </c>
      <c r="C66" s="238"/>
      <c r="D66" s="238"/>
      <c r="E66" s="423"/>
      <c r="F66" s="239" t="s">
        <v>1853</v>
      </c>
      <c r="G66" s="420"/>
      <c r="H66" s="237" t="s">
        <v>1853</v>
      </c>
      <c r="I66" s="238"/>
      <c r="J66" s="238"/>
      <c r="K66" s="423"/>
      <c r="L66" s="239" t="s">
        <v>1853</v>
      </c>
    </row>
    <row r="67" spans="1:12" ht="15.75" thickBot="1">
      <c r="A67" s="420"/>
      <c r="B67" s="237" t="s">
        <v>1854</v>
      </c>
      <c r="C67" s="238"/>
      <c r="D67" s="238"/>
      <c r="E67" s="423"/>
      <c r="F67" s="239" t="s">
        <v>1854</v>
      </c>
      <c r="G67" s="420"/>
      <c r="H67" s="237" t="s">
        <v>1854</v>
      </c>
      <c r="I67" s="238"/>
      <c r="J67" s="238"/>
      <c r="K67" s="423"/>
      <c r="L67" s="239" t="s">
        <v>1854</v>
      </c>
    </row>
    <row r="68" spans="1:12" ht="15.75" thickBot="1">
      <c r="A68" s="420"/>
      <c r="B68" s="237" t="s">
        <v>1855</v>
      </c>
      <c r="C68" s="238"/>
      <c r="D68" s="238"/>
      <c r="E68" s="423"/>
      <c r="F68" s="239" t="s">
        <v>1855</v>
      </c>
      <c r="G68" s="420"/>
      <c r="H68" s="237" t="s">
        <v>1855</v>
      </c>
      <c r="I68" s="238"/>
      <c r="J68" s="238"/>
      <c r="K68" s="423"/>
      <c r="L68" s="239" t="s">
        <v>1855</v>
      </c>
    </row>
    <row r="69" spans="1:12" ht="15.75" thickBot="1">
      <c r="A69" s="420"/>
      <c r="B69" s="237" t="s">
        <v>1856</v>
      </c>
      <c r="C69" s="238"/>
      <c r="D69" s="238"/>
      <c r="E69" s="423"/>
      <c r="F69" s="239" t="s">
        <v>1856</v>
      </c>
      <c r="G69" s="420"/>
      <c r="H69" s="237" t="s">
        <v>1856</v>
      </c>
      <c r="I69" s="238"/>
      <c r="J69" s="238"/>
      <c r="K69" s="423"/>
      <c r="L69" s="239" t="s">
        <v>1856</v>
      </c>
    </row>
    <row r="70" spans="1:12" ht="26.25" thickBot="1">
      <c r="A70" s="420"/>
      <c r="B70" s="237" t="s">
        <v>1857</v>
      </c>
      <c r="C70" s="238"/>
      <c r="D70" s="238"/>
      <c r="E70" s="423"/>
      <c r="F70" s="239" t="s">
        <v>1858</v>
      </c>
      <c r="G70" s="420"/>
      <c r="H70" s="237" t="s">
        <v>1857</v>
      </c>
      <c r="I70" s="238"/>
      <c r="J70" s="238"/>
      <c r="K70" s="423"/>
      <c r="L70" s="239" t="s">
        <v>1858</v>
      </c>
    </row>
    <row r="71" spans="1:12" ht="15.75" thickBot="1">
      <c r="A71" s="421"/>
      <c r="B71" s="237" t="s">
        <v>1859</v>
      </c>
      <c r="C71" s="238"/>
      <c r="D71" s="238"/>
      <c r="E71" s="424"/>
      <c r="F71" s="239" t="s">
        <v>1860</v>
      </c>
      <c r="G71" s="421"/>
      <c r="H71" s="237" t="s">
        <v>1859</v>
      </c>
      <c r="I71" s="238"/>
      <c r="J71" s="238"/>
      <c r="K71" s="424"/>
      <c r="L71" s="239" t="s">
        <v>1860</v>
      </c>
    </row>
    <row r="72" spans="1:12" ht="15.75" thickBot="1">
      <c r="A72" s="419" t="s">
        <v>2188</v>
      </c>
      <c r="B72" s="237" t="s">
        <v>1845</v>
      </c>
      <c r="C72" s="238"/>
      <c r="D72" s="238"/>
      <c r="E72" s="422" t="s">
        <v>2188</v>
      </c>
      <c r="F72" s="239" t="s">
        <v>1845</v>
      </c>
      <c r="G72" s="419" t="s">
        <v>2188</v>
      </c>
      <c r="H72" s="237" t="s">
        <v>1845</v>
      </c>
      <c r="I72" s="238"/>
      <c r="J72" s="238"/>
      <c r="K72" s="422" t="s">
        <v>2188</v>
      </c>
      <c r="L72" s="239" t="s">
        <v>1845</v>
      </c>
    </row>
    <row r="73" spans="1:12" ht="15.75" thickBot="1">
      <c r="A73" s="420"/>
      <c r="B73" s="237" t="s">
        <v>1847</v>
      </c>
      <c r="C73" s="238"/>
      <c r="D73" s="238"/>
      <c r="E73" s="423"/>
      <c r="F73" s="239" t="s">
        <v>1847</v>
      </c>
      <c r="G73" s="420"/>
      <c r="H73" s="237" t="s">
        <v>1847</v>
      </c>
      <c r="I73" s="238"/>
      <c r="J73" s="238"/>
      <c r="K73" s="423"/>
      <c r="L73" s="239" t="s">
        <v>1847</v>
      </c>
    </row>
    <row r="74" spans="1:12" ht="15.75" thickBot="1">
      <c r="A74" s="420"/>
      <c r="B74" s="237" t="s">
        <v>1848</v>
      </c>
      <c r="C74" s="238"/>
      <c r="D74" s="238"/>
      <c r="E74" s="423"/>
      <c r="F74" s="239" t="s">
        <v>1848</v>
      </c>
      <c r="G74" s="420"/>
      <c r="H74" s="237" t="s">
        <v>1848</v>
      </c>
      <c r="I74" s="238"/>
      <c r="J74" s="238"/>
      <c r="K74" s="423"/>
      <c r="L74" s="239" t="s">
        <v>1848</v>
      </c>
    </row>
    <row r="75" spans="1:12" ht="15.75" thickBot="1">
      <c r="A75" s="420"/>
      <c r="B75" s="237" t="s">
        <v>1849</v>
      </c>
      <c r="C75" s="238"/>
      <c r="D75" s="238"/>
      <c r="E75" s="423"/>
      <c r="F75" s="239" t="s">
        <v>1849</v>
      </c>
      <c r="G75" s="420"/>
      <c r="H75" s="237" t="s">
        <v>1849</v>
      </c>
      <c r="I75" s="238"/>
      <c r="J75" s="238"/>
      <c r="K75" s="423"/>
      <c r="L75" s="239" t="s">
        <v>1849</v>
      </c>
    </row>
    <row r="76" spans="1:12" ht="15.75" thickBot="1">
      <c r="A76" s="420"/>
      <c r="B76" s="237" t="s">
        <v>1850</v>
      </c>
      <c r="C76" s="238"/>
      <c r="D76" s="238"/>
      <c r="E76" s="423"/>
      <c r="F76" s="239" t="s">
        <v>1850</v>
      </c>
      <c r="G76" s="420"/>
      <c r="H76" s="237" t="s">
        <v>1850</v>
      </c>
      <c r="I76" s="238"/>
      <c r="J76" s="238"/>
      <c r="K76" s="423"/>
      <c r="L76" s="239" t="s">
        <v>1850</v>
      </c>
    </row>
    <row r="77" spans="1:12" ht="15.75" thickBot="1">
      <c r="A77" s="420"/>
      <c r="B77" s="237" t="s">
        <v>1851</v>
      </c>
      <c r="C77" s="238"/>
      <c r="D77" s="238"/>
      <c r="E77" s="423"/>
      <c r="F77" s="239" t="s">
        <v>1851</v>
      </c>
      <c r="G77" s="420"/>
      <c r="H77" s="237" t="s">
        <v>1851</v>
      </c>
      <c r="I77" s="238"/>
      <c r="J77" s="238"/>
      <c r="K77" s="423"/>
      <c r="L77" s="239" t="s">
        <v>1851</v>
      </c>
    </row>
    <row r="78" spans="1:12" ht="15.75" thickBot="1">
      <c r="A78" s="420"/>
      <c r="B78" s="237" t="s">
        <v>1852</v>
      </c>
      <c r="C78" s="238"/>
      <c r="D78" s="238"/>
      <c r="E78" s="423"/>
      <c r="F78" s="239" t="s">
        <v>1852</v>
      </c>
      <c r="G78" s="420"/>
      <c r="H78" s="237" t="s">
        <v>1852</v>
      </c>
      <c r="I78" s="238"/>
      <c r="J78" s="238"/>
      <c r="K78" s="423"/>
      <c r="L78" s="239" t="s">
        <v>1852</v>
      </c>
    </row>
    <row r="79" spans="1:12" ht="15.75" thickBot="1">
      <c r="A79" s="420"/>
      <c r="B79" s="237" t="s">
        <v>1853</v>
      </c>
      <c r="C79" s="238"/>
      <c r="D79" s="238"/>
      <c r="E79" s="423"/>
      <c r="F79" s="239" t="s">
        <v>1853</v>
      </c>
      <c r="G79" s="420"/>
      <c r="H79" s="237" t="s">
        <v>1853</v>
      </c>
      <c r="I79" s="238"/>
      <c r="J79" s="238"/>
      <c r="K79" s="423"/>
      <c r="L79" s="239" t="s">
        <v>1853</v>
      </c>
    </row>
    <row r="80" spans="1:12" ht="15.75" thickBot="1">
      <c r="A80" s="420"/>
      <c r="B80" s="237" t="s">
        <v>1854</v>
      </c>
      <c r="C80" s="238"/>
      <c r="D80" s="238"/>
      <c r="E80" s="423"/>
      <c r="F80" s="239" t="s">
        <v>1854</v>
      </c>
      <c r="G80" s="420"/>
      <c r="H80" s="237" t="s">
        <v>1854</v>
      </c>
      <c r="I80" s="238"/>
      <c r="J80" s="238"/>
      <c r="K80" s="423"/>
      <c r="L80" s="239" t="s">
        <v>1854</v>
      </c>
    </row>
    <row r="81" spans="1:12" ht="15.75" thickBot="1">
      <c r="A81" s="420"/>
      <c r="B81" s="237" t="s">
        <v>1855</v>
      </c>
      <c r="C81" s="238"/>
      <c r="D81" s="238"/>
      <c r="E81" s="423"/>
      <c r="F81" s="239" t="s">
        <v>1855</v>
      </c>
      <c r="G81" s="420"/>
      <c r="H81" s="237" t="s">
        <v>1855</v>
      </c>
      <c r="I81" s="238"/>
      <c r="J81" s="238"/>
      <c r="K81" s="423"/>
      <c r="L81" s="239" t="s">
        <v>1855</v>
      </c>
    </row>
    <row r="82" spans="1:12" ht="15.75" thickBot="1">
      <c r="A82" s="420"/>
      <c r="B82" s="237" t="s">
        <v>1856</v>
      </c>
      <c r="C82" s="238"/>
      <c r="D82" s="238"/>
      <c r="E82" s="423"/>
      <c r="F82" s="239" t="s">
        <v>1856</v>
      </c>
      <c r="G82" s="420"/>
      <c r="H82" s="237" t="s">
        <v>1856</v>
      </c>
      <c r="I82" s="238"/>
      <c r="J82" s="238"/>
      <c r="K82" s="423"/>
      <c r="L82" s="239" t="s">
        <v>1856</v>
      </c>
    </row>
    <row r="83" spans="1:12" ht="26.25" thickBot="1">
      <c r="A83" s="420"/>
      <c r="B83" s="237" t="s">
        <v>1857</v>
      </c>
      <c r="C83" s="238"/>
      <c r="D83" s="238"/>
      <c r="E83" s="423"/>
      <c r="F83" s="239" t="s">
        <v>1858</v>
      </c>
      <c r="G83" s="420"/>
      <c r="H83" s="237" t="s">
        <v>1857</v>
      </c>
      <c r="I83" s="238"/>
      <c r="J83" s="238"/>
      <c r="K83" s="423"/>
      <c r="L83" s="239" t="s">
        <v>1858</v>
      </c>
    </row>
    <row r="84" spans="1:12" ht="15.75" thickBot="1">
      <c r="A84" s="421"/>
      <c r="B84" s="237" t="s">
        <v>1859</v>
      </c>
      <c r="C84" s="238"/>
      <c r="D84" s="238"/>
      <c r="E84" s="424"/>
      <c r="F84" s="239" t="s">
        <v>1860</v>
      </c>
      <c r="G84" s="421"/>
      <c r="H84" s="237" t="s">
        <v>1859</v>
      </c>
      <c r="I84" s="238"/>
      <c r="J84" s="238"/>
      <c r="K84" s="424"/>
      <c r="L84" s="239" t="s">
        <v>1860</v>
      </c>
    </row>
    <row r="85" spans="1:12" ht="15.75" thickBot="1">
      <c r="A85" s="419" t="s">
        <v>2189</v>
      </c>
      <c r="B85" s="237" t="s">
        <v>1845</v>
      </c>
      <c r="C85" s="238"/>
      <c r="D85" s="238"/>
      <c r="E85" s="422" t="s">
        <v>2189</v>
      </c>
      <c r="F85" s="239" t="s">
        <v>1845</v>
      </c>
      <c r="G85" s="419" t="s">
        <v>2189</v>
      </c>
      <c r="H85" s="237" t="s">
        <v>1845</v>
      </c>
      <c r="I85" s="238"/>
      <c r="J85" s="238"/>
      <c r="K85" s="422" t="s">
        <v>2189</v>
      </c>
      <c r="L85" s="239" t="s">
        <v>1845</v>
      </c>
    </row>
    <row r="86" spans="1:12" ht="15.75" thickBot="1">
      <c r="A86" s="420"/>
      <c r="B86" s="237" t="s">
        <v>1847</v>
      </c>
      <c r="C86" s="238"/>
      <c r="D86" s="238"/>
      <c r="E86" s="423"/>
      <c r="F86" s="239" t="s">
        <v>1847</v>
      </c>
      <c r="G86" s="420"/>
      <c r="H86" s="237" t="s">
        <v>1847</v>
      </c>
      <c r="I86" s="238"/>
      <c r="J86" s="238"/>
      <c r="K86" s="423"/>
      <c r="L86" s="239" t="s">
        <v>1847</v>
      </c>
    </row>
    <row r="87" spans="1:12" ht="15.75" thickBot="1">
      <c r="A87" s="420"/>
      <c r="B87" s="237" t="s">
        <v>1848</v>
      </c>
      <c r="C87" s="238"/>
      <c r="D87" s="238"/>
      <c r="E87" s="423"/>
      <c r="F87" s="239" t="s">
        <v>1848</v>
      </c>
      <c r="G87" s="420"/>
      <c r="H87" s="237" t="s">
        <v>1848</v>
      </c>
      <c r="I87" s="238"/>
      <c r="J87" s="238"/>
      <c r="K87" s="423"/>
      <c r="L87" s="239" t="s">
        <v>1848</v>
      </c>
    </row>
    <row r="88" spans="1:12" ht="15.75" thickBot="1">
      <c r="A88" s="420"/>
      <c r="B88" s="237" t="s">
        <v>1849</v>
      </c>
      <c r="C88" s="238"/>
      <c r="D88" s="238"/>
      <c r="E88" s="423"/>
      <c r="F88" s="239" t="s">
        <v>1849</v>
      </c>
      <c r="G88" s="420"/>
      <c r="H88" s="237" t="s">
        <v>1849</v>
      </c>
      <c r="I88" s="238"/>
      <c r="J88" s="238"/>
      <c r="K88" s="423"/>
      <c r="L88" s="239" t="s">
        <v>1849</v>
      </c>
    </row>
    <row r="89" spans="1:12" ht="15.75" thickBot="1">
      <c r="A89" s="420"/>
      <c r="B89" s="237" t="s">
        <v>1850</v>
      </c>
      <c r="C89" s="238"/>
      <c r="D89" s="238"/>
      <c r="E89" s="423"/>
      <c r="F89" s="239" t="s">
        <v>1850</v>
      </c>
      <c r="G89" s="420"/>
      <c r="H89" s="237" t="s">
        <v>1850</v>
      </c>
      <c r="I89" s="238"/>
      <c r="J89" s="238"/>
      <c r="K89" s="423"/>
      <c r="L89" s="239" t="s">
        <v>1850</v>
      </c>
    </row>
    <row r="90" spans="1:12" ht="15.75" thickBot="1">
      <c r="A90" s="420"/>
      <c r="B90" s="237" t="s">
        <v>1851</v>
      </c>
      <c r="C90" s="238"/>
      <c r="D90" s="238"/>
      <c r="E90" s="423"/>
      <c r="F90" s="239" t="s">
        <v>1851</v>
      </c>
      <c r="G90" s="420"/>
      <c r="H90" s="237" t="s">
        <v>1851</v>
      </c>
      <c r="I90" s="238"/>
      <c r="J90" s="238"/>
      <c r="K90" s="423"/>
      <c r="L90" s="239" t="s">
        <v>1851</v>
      </c>
    </row>
    <row r="91" spans="1:12" ht="15.75" thickBot="1">
      <c r="A91" s="420"/>
      <c r="B91" s="237" t="s">
        <v>1852</v>
      </c>
      <c r="C91" s="238"/>
      <c r="D91" s="238"/>
      <c r="E91" s="423"/>
      <c r="F91" s="239" t="s">
        <v>1852</v>
      </c>
      <c r="G91" s="420"/>
      <c r="H91" s="237" t="s">
        <v>1852</v>
      </c>
      <c r="I91" s="238"/>
      <c r="J91" s="238"/>
      <c r="K91" s="423"/>
      <c r="L91" s="239" t="s">
        <v>1852</v>
      </c>
    </row>
    <row r="92" spans="1:12" ht="15.75" thickBot="1">
      <c r="A92" s="420"/>
      <c r="B92" s="237" t="s">
        <v>1853</v>
      </c>
      <c r="C92" s="238"/>
      <c r="D92" s="238"/>
      <c r="E92" s="423"/>
      <c r="F92" s="239" t="s">
        <v>1853</v>
      </c>
      <c r="G92" s="420"/>
      <c r="H92" s="237" t="s">
        <v>1853</v>
      </c>
      <c r="I92" s="238"/>
      <c r="J92" s="238"/>
      <c r="K92" s="423"/>
      <c r="L92" s="239" t="s">
        <v>1853</v>
      </c>
    </row>
    <row r="93" spans="1:12" ht="15.75" thickBot="1">
      <c r="A93" s="420"/>
      <c r="B93" s="237" t="s">
        <v>1854</v>
      </c>
      <c r="C93" s="238"/>
      <c r="D93" s="238"/>
      <c r="E93" s="423"/>
      <c r="F93" s="239" t="s">
        <v>1854</v>
      </c>
      <c r="G93" s="420"/>
      <c r="H93" s="237" t="s">
        <v>1854</v>
      </c>
      <c r="I93" s="238"/>
      <c r="J93" s="238"/>
      <c r="K93" s="423"/>
      <c r="L93" s="239" t="s">
        <v>1854</v>
      </c>
    </row>
    <row r="94" spans="1:12" ht="15.75" thickBot="1">
      <c r="A94" s="420"/>
      <c r="B94" s="237" t="s">
        <v>1855</v>
      </c>
      <c r="C94" s="238"/>
      <c r="D94" s="238"/>
      <c r="E94" s="423"/>
      <c r="F94" s="239" t="s">
        <v>1855</v>
      </c>
      <c r="G94" s="420"/>
      <c r="H94" s="237" t="s">
        <v>1855</v>
      </c>
      <c r="I94" s="238"/>
      <c r="J94" s="238"/>
      <c r="K94" s="423"/>
      <c r="L94" s="239" t="s">
        <v>1855</v>
      </c>
    </row>
    <row r="95" spans="1:12" ht="15.75" thickBot="1">
      <c r="A95" s="420"/>
      <c r="B95" s="237" t="s">
        <v>1856</v>
      </c>
      <c r="C95" s="238"/>
      <c r="D95" s="238"/>
      <c r="E95" s="423"/>
      <c r="F95" s="239" t="s">
        <v>1856</v>
      </c>
      <c r="G95" s="420"/>
      <c r="H95" s="237" t="s">
        <v>1856</v>
      </c>
      <c r="I95" s="238"/>
      <c r="J95" s="238"/>
      <c r="K95" s="423"/>
      <c r="L95" s="239" t="s">
        <v>1856</v>
      </c>
    </row>
    <row r="96" spans="1:12" ht="26.25" thickBot="1">
      <c r="A96" s="420"/>
      <c r="B96" s="237" t="s">
        <v>1857</v>
      </c>
      <c r="C96" s="238"/>
      <c r="D96" s="238"/>
      <c r="E96" s="423"/>
      <c r="F96" s="239" t="s">
        <v>1858</v>
      </c>
      <c r="G96" s="420"/>
      <c r="H96" s="237" t="s">
        <v>1857</v>
      </c>
      <c r="I96" s="238"/>
      <c r="J96" s="238"/>
      <c r="K96" s="423"/>
      <c r="L96" s="239" t="s">
        <v>1858</v>
      </c>
    </row>
    <row r="97" spans="1:12" ht="15.75" thickBot="1">
      <c r="A97" s="421"/>
      <c r="B97" s="237" t="s">
        <v>1859</v>
      </c>
      <c r="C97" s="238"/>
      <c r="D97" s="238"/>
      <c r="E97" s="424"/>
      <c r="F97" s="239" t="s">
        <v>1860</v>
      </c>
      <c r="G97" s="421"/>
      <c r="H97" s="237" t="s">
        <v>1859</v>
      </c>
      <c r="I97" s="238"/>
      <c r="J97" s="238"/>
      <c r="K97" s="424"/>
      <c r="L97" s="239" t="s">
        <v>1860</v>
      </c>
    </row>
    <row r="98" spans="1:12" ht="15.75" thickBot="1">
      <c r="A98" s="419" t="s">
        <v>2190</v>
      </c>
      <c r="B98" s="237" t="s">
        <v>1845</v>
      </c>
      <c r="C98" s="238"/>
      <c r="D98" s="238"/>
      <c r="E98" s="422" t="s">
        <v>2190</v>
      </c>
      <c r="F98" s="239" t="s">
        <v>1845</v>
      </c>
      <c r="G98" s="419" t="s">
        <v>2190</v>
      </c>
      <c r="H98" s="237" t="s">
        <v>1845</v>
      </c>
      <c r="I98" s="238"/>
      <c r="J98" s="238"/>
      <c r="K98" s="422" t="s">
        <v>2190</v>
      </c>
      <c r="L98" s="239" t="s">
        <v>1845</v>
      </c>
    </row>
    <row r="99" spans="1:12" ht="15.75" thickBot="1">
      <c r="A99" s="420"/>
      <c r="B99" s="237" t="s">
        <v>1847</v>
      </c>
      <c r="C99" s="238"/>
      <c r="D99" s="238"/>
      <c r="E99" s="423"/>
      <c r="F99" s="239" t="s">
        <v>1847</v>
      </c>
      <c r="G99" s="420"/>
      <c r="H99" s="237" t="s">
        <v>1847</v>
      </c>
      <c r="I99" s="238"/>
      <c r="J99" s="238"/>
      <c r="K99" s="423"/>
      <c r="L99" s="239" t="s">
        <v>1847</v>
      </c>
    </row>
    <row r="100" spans="1:12" ht="15.75" thickBot="1">
      <c r="A100" s="420"/>
      <c r="B100" s="237" t="s">
        <v>1848</v>
      </c>
      <c r="C100" s="238"/>
      <c r="D100" s="238"/>
      <c r="E100" s="423"/>
      <c r="F100" s="239" t="s">
        <v>1848</v>
      </c>
      <c r="G100" s="420"/>
      <c r="H100" s="237" t="s">
        <v>1848</v>
      </c>
      <c r="I100" s="238"/>
      <c r="J100" s="238"/>
      <c r="K100" s="423"/>
      <c r="L100" s="239" t="s">
        <v>1848</v>
      </c>
    </row>
    <row r="101" spans="1:12" ht="15.75" thickBot="1">
      <c r="A101" s="420"/>
      <c r="B101" s="237" t="s">
        <v>1849</v>
      </c>
      <c r="C101" s="238"/>
      <c r="D101" s="238"/>
      <c r="E101" s="423"/>
      <c r="F101" s="239" t="s">
        <v>1849</v>
      </c>
      <c r="G101" s="420"/>
      <c r="H101" s="237" t="s">
        <v>1849</v>
      </c>
      <c r="I101" s="238"/>
      <c r="J101" s="238"/>
      <c r="K101" s="423"/>
      <c r="L101" s="239" t="s">
        <v>1849</v>
      </c>
    </row>
    <row r="102" spans="1:12" ht="15.75" thickBot="1">
      <c r="A102" s="420"/>
      <c r="B102" s="237" t="s">
        <v>1850</v>
      </c>
      <c r="C102" s="238"/>
      <c r="D102" s="238"/>
      <c r="E102" s="423"/>
      <c r="F102" s="239" t="s">
        <v>1850</v>
      </c>
      <c r="G102" s="420"/>
      <c r="H102" s="237" t="s">
        <v>1850</v>
      </c>
      <c r="I102" s="238"/>
      <c r="J102" s="238"/>
      <c r="K102" s="423"/>
      <c r="L102" s="239" t="s">
        <v>1850</v>
      </c>
    </row>
    <row r="103" spans="1:12" ht="15.75" thickBot="1">
      <c r="A103" s="420"/>
      <c r="B103" s="237" t="s">
        <v>1851</v>
      </c>
      <c r="C103" s="238"/>
      <c r="D103" s="238"/>
      <c r="E103" s="423"/>
      <c r="F103" s="239" t="s">
        <v>1851</v>
      </c>
      <c r="G103" s="420"/>
      <c r="H103" s="237" t="s">
        <v>1851</v>
      </c>
      <c r="I103" s="238"/>
      <c r="J103" s="238"/>
      <c r="K103" s="423"/>
      <c r="L103" s="239" t="s">
        <v>1851</v>
      </c>
    </row>
    <row r="104" spans="1:12" ht="15.75" thickBot="1">
      <c r="A104" s="420"/>
      <c r="B104" s="237" t="s">
        <v>1852</v>
      </c>
      <c r="C104" s="238"/>
      <c r="D104" s="238"/>
      <c r="E104" s="423"/>
      <c r="F104" s="239" t="s">
        <v>1852</v>
      </c>
      <c r="G104" s="420"/>
      <c r="H104" s="237" t="s">
        <v>1852</v>
      </c>
      <c r="I104" s="238"/>
      <c r="J104" s="238"/>
      <c r="K104" s="423"/>
      <c r="L104" s="239" t="s">
        <v>1852</v>
      </c>
    </row>
    <row r="105" spans="1:12" ht="15.75" thickBot="1">
      <c r="A105" s="420"/>
      <c r="B105" s="237" t="s">
        <v>1853</v>
      </c>
      <c r="C105" s="238"/>
      <c r="D105" s="238"/>
      <c r="E105" s="423"/>
      <c r="F105" s="239" t="s">
        <v>1853</v>
      </c>
      <c r="G105" s="420"/>
      <c r="H105" s="237" t="s">
        <v>1853</v>
      </c>
      <c r="I105" s="238"/>
      <c r="J105" s="238"/>
      <c r="K105" s="423"/>
      <c r="L105" s="239" t="s">
        <v>1853</v>
      </c>
    </row>
    <row r="106" spans="1:12" ht="15.75" thickBot="1">
      <c r="A106" s="420"/>
      <c r="B106" s="237" t="s">
        <v>1854</v>
      </c>
      <c r="C106" s="238"/>
      <c r="D106" s="238"/>
      <c r="E106" s="423"/>
      <c r="F106" s="239" t="s">
        <v>1854</v>
      </c>
      <c r="G106" s="420"/>
      <c r="H106" s="237" t="s">
        <v>1854</v>
      </c>
      <c r="I106" s="238"/>
      <c r="J106" s="238"/>
      <c r="K106" s="423"/>
      <c r="L106" s="239" t="s">
        <v>1854</v>
      </c>
    </row>
    <row r="107" spans="1:12" ht="15.75" thickBot="1">
      <c r="A107" s="420"/>
      <c r="B107" s="237" t="s">
        <v>1855</v>
      </c>
      <c r="C107" s="238"/>
      <c r="D107" s="238"/>
      <c r="E107" s="423"/>
      <c r="F107" s="239" t="s">
        <v>1855</v>
      </c>
      <c r="G107" s="420"/>
      <c r="H107" s="237" t="s">
        <v>1855</v>
      </c>
      <c r="I107" s="238"/>
      <c r="J107" s="238"/>
      <c r="K107" s="423"/>
      <c r="L107" s="239" t="s">
        <v>1855</v>
      </c>
    </row>
    <row r="108" spans="1:12" ht="15.75" thickBot="1">
      <c r="A108" s="420"/>
      <c r="B108" s="237" t="s">
        <v>1856</v>
      </c>
      <c r="C108" s="238"/>
      <c r="D108" s="238"/>
      <c r="E108" s="423"/>
      <c r="F108" s="239" t="s">
        <v>1856</v>
      </c>
      <c r="G108" s="420"/>
      <c r="H108" s="237" t="s">
        <v>1856</v>
      </c>
      <c r="I108" s="238"/>
      <c r="J108" s="238"/>
      <c r="K108" s="423"/>
      <c r="L108" s="239" t="s">
        <v>1856</v>
      </c>
    </row>
    <row r="109" spans="1:12" ht="26.25" thickBot="1">
      <c r="A109" s="420"/>
      <c r="B109" s="237" t="s">
        <v>1857</v>
      </c>
      <c r="C109" s="238"/>
      <c r="D109" s="238"/>
      <c r="E109" s="423"/>
      <c r="F109" s="239" t="s">
        <v>1858</v>
      </c>
      <c r="G109" s="420"/>
      <c r="H109" s="237" t="s">
        <v>1857</v>
      </c>
      <c r="I109" s="238"/>
      <c r="J109" s="238"/>
      <c r="K109" s="423"/>
      <c r="L109" s="239" t="s">
        <v>1858</v>
      </c>
    </row>
    <row r="110" spans="1:12" ht="15.75" thickBot="1">
      <c r="A110" s="421"/>
      <c r="B110" s="237" t="s">
        <v>1859</v>
      </c>
      <c r="C110" s="238"/>
      <c r="D110" s="238"/>
      <c r="E110" s="424"/>
      <c r="F110" s="239" t="s">
        <v>1860</v>
      </c>
      <c r="G110" s="421"/>
      <c r="H110" s="237" t="s">
        <v>1859</v>
      </c>
      <c r="I110" s="238"/>
      <c r="J110" s="238"/>
      <c r="K110" s="424"/>
      <c r="L110" s="239" t="s">
        <v>1860</v>
      </c>
    </row>
    <row r="111" spans="1:12" ht="15.75" thickBot="1">
      <c r="A111" s="419" t="s">
        <v>2191</v>
      </c>
      <c r="B111" s="237" t="s">
        <v>1845</v>
      </c>
      <c r="C111" s="238"/>
      <c r="D111" s="238"/>
      <c r="E111" s="422" t="s">
        <v>2191</v>
      </c>
      <c r="F111" s="239" t="s">
        <v>1845</v>
      </c>
      <c r="G111" s="419" t="s">
        <v>2191</v>
      </c>
      <c r="H111" s="237" t="s">
        <v>1845</v>
      </c>
      <c r="I111" s="238"/>
      <c r="J111" s="238"/>
      <c r="K111" s="422" t="s">
        <v>2191</v>
      </c>
      <c r="L111" s="239" t="s">
        <v>1845</v>
      </c>
    </row>
    <row r="112" spans="1:12" ht="15.75" thickBot="1">
      <c r="A112" s="420"/>
      <c r="B112" s="237" t="s">
        <v>1847</v>
      </c>
      <c r="C112" s="238"/>
      <c r="D112" s="238"/>
      <c r="E112" s="423"/>
      <c r="F112" s="239" t="s">
        <v>1847</v>
      </c>
      <c r="G112" s="420"/>
      <c r="H112" s="237" t="s">
        <v>1847</v>
      </c>
      <c r="I112" s="238"/>
      <c r="J112" s="238"/>
      <c r="K112" s="423"/>
      <c r="L112" s="239" t="s">
        <v>1847</v>
      </c>
    </row>
    <row r="113" spans="1:12" ht="15.75" thickBot="1">
      <c r="A113" s="420"/>
      <c r="B113" s="237" t="s">
        <v>1848</v>
      </c>
      <c r="C113" s="238"/>
      <c r="D113" s="238"/>
      <c r="E113" s="423"/>
      <c r="F113" s="239" t="s">
        <v>1848</v>
      </c>
      <c r="G113" s="420"/>
      <c r="H113" s="237" t="s">
        <v>1848</v>
      </c>
      <c r="I113" s="238"/>
      <c r="J113" s="238"/>
      <c r="K113" s="423"/>
      <c r="L113" s="239" t="s">
        <v>1848</v>
      </c>
    </row>
    <row r="114" spans="1:12" ht="15.75" thickBot="1">
      <c r="A114" s="420"/>
      <c r="B114" s="237" t="s">
        <v>1849</v>
      </c>
      <c r="C114" s="238"/>
      <c r="D114" s="238"/>
      <c r="E114" s="423"/>
      <c r="F114" s="239" t="s">
        <v>1849</v>
      </c>
      <c r="G114" s="420"/>
      <c r="H114" s="237" t="s">
        <v>1849</v>
      </c>
      <c r="I114" s="238"/>
      <c r="J114" s="238"/>
      <c r="K114" s="423"/>
      <c r="L114" s="239" t="s">
        <v>1849</v>
      </c>
    </row>
    <row r="115" spans="1:12" ht="15.75" thickBot="1">
      <c r="A115" s="420"/>
      <c r="B115" s="237" t="s">
        <v>1850</v>
      </c>
      <c r="C115" s="238"/>
      <c r="D115" s="238"/>
      <c r="E115" s="423"/>
      <c r="F115" s="239" t="s">
        <v>1850</v>
      </c>
      <c r="G115" s="420"/>
      <c r="H115" s="237" t="s">
        <v>1850</v>
      </c>
      <c r="I115" s="238"/>
      <c r="J115" s="238"/>
      <c r="K115" s="423"/>
      <c r="L115" s="239" t="s">
        <v>1850</v>
      </c>
    </row>
    <row r="116" spans="1:12" ht="15.75" thickBot="1">
      <c r="A116" s="420"/>
      <c r="B116" s="237" t="s">
        <v>1851</v>
      </c>
      <c r="C116" s="238"/>
      <c r="D116" s="238"/>
      <c r="E116" s="423"/>
      <c r="F116" s="239" t="s">
        <v>1851</v>
      </c>
      <c r="G116" s="420"/>
      <c r="H116" s="237" t="s">
        <v>1851</v>
      </c>
      <c r="I116" s="238"/>
      <c r="J116" s="238"/>
      <c r="K116" s="423"/>
      <c r="L116" s="239" t="s">
        <v>1851</v>
      </c>
    </row>
    <row r="117" spans="1:12" ht="15.75" thickBot="1">
      <c r="A117" s="420"/>
      <c r="B117" s="237" t="s">
        <v>1852</v>
      </c>
      <c r="C117" s="238"/>
      <c r="D117" s="238"/>
      <c r="E117" s="423"/>
      <c r="F117" s="239" t="s">
        <v>1852</v>
      </c>
      <c r="G117" s="420"/>
      <c r="H117" s="237" t="s">
        <v>1852</v>
      </c>
      <c r="I117" s="238"/>
      <c r="J117" s="238"/>
      <c r="K117" s="423"/>
      <c r="L117" s="239" t="s">
        <v>1852</v>
      </c>
    </row>
    <row r="118" spans="1:12" ht="15.75" thickBot="1">
      <c r="A118" s="420"/>
      <c r="B118" s="237" t="s">
        <v>1853</v>
      </c>
      <c r="C118" s="238"/>
      <c r="D118" s="238"/>
      <c r="E118" s="423"/>
      <c r="F118" s="239" t="s">
        <v>1853</v>
      </c>
      <c r="G118" s="420"/>
      <c r="H118" s="237" t="s">
        <v>1853</v>
      </c>
      <c r="I118" s="238"/>
      <c r="J118" s="238"/>
      <c r="K118" s="423"/>
      <c r="L118" s="239" t="s">
        <v>1853</v>
      </c>
    </row>
    <row r="119" spans="1:12" ht="15.75" thickBot="1">
      <c r="A119" s="420"/>
      <c r="B119" s="237" t="s">
        <v>1854</v>
      </c>
      <c r="C119" s="238"/>
      <c r="D119" s="238"/>
      <c r="E119" s="423"/>
      <c r="F119" s="239" t="s">
        <v>1854</v>
      </c>
      <c r="G119" s="420"/>
      <c r="H119" s="237" t="s">
        <v>1854</v>
      </c>
      <c r="I119" s="238"/>
      <c r="J119" s="238"/>
      <c r="K119" s="423"/>
      <c r="L119" s="239" t="s">
        <v>1854</v>
      </c>
    </row>
    <row r="120" spans="1:12" ht="15.75" thickBot="1">
      <c r="A120" s="420"/>
      <c r="B120" s="237" t="s">
        <v>1855</v>
      </c>
      <c r="C120" s="238"/>
      <c r="D120" s="238"/>
      <c r="E120" s="423"/>
      <c r="F120" s="239" t="s">
        <v>1855</v>
      </c>
      <c r="G120" s="420"/>
      <c r="H120" s="237" t="s">
        <v>1855</v>
      </c>
      <c r="I120" s="238"/>
      <c r="J120" s="238"/>
      <c r="K120" s="423"/>
      <c r="L120" s="239" t="s">
        <v>1855</v>
      </c>
    </row>
    <row r="121" spans="1:12" ht="15.75" thickBot="1">
      <c r="A121" s="420"/>
      <c r="B121" s="237" t="s">
        <v>1856</v>
      </c>
      <c r="C121" s="238"/>
      <c r="D121" s="238"/>
      <c r="E121" s="423"/>
      <c r="F121" s="239" t="s">
        <v>1856</v>
      </c>
      <c r="G121" s="420"/>
      <c r="H121" s="237" t="s">
        <v>1856</v>
      </c>
      <c r="I121" s="238"/>
      <c r="J121" s="238"/>
      <c r="K121" s="423"/>
      <c r="L121" s="239" t="s">
        <v>1856</v>
      </c>
    </row>
    <row r="122" spans="1:12" ht="26.25" thickBot="1">
      <c r="A122" s="420"/>
      <c r="B122" s="237" t="s">
        <v>1857</v>
      </c>
      <c r="C122" s="238"/>
      <c r="D122" s="238"/>
      <c r="E122" s="423"/>
      <c r="F122" s="239" t="s">
        <v>1858</v>
      </c>
      <c r="G122" s="420"/>
      <c r="H122" s="237" t="s">
        <v>1857</v>
      </c>
      <c r="I122" s="238"/>
      <c r="J122" s="238"/>
      <c r="K122" s="423"/>
      <c r="L122" s="239" t="s">
        <v>1858</v>
      </c>
    </row>
    <row r="123" spans="1:12" ht="15.75" thickBot="1">
      <c r="A123" s="421"/>
      <c r="B123" s="237" t="s">
        <v>1859</v>
      </c>
      <c r="C123" s="238"/>
      <c r="D123" s="238"/>
      <c r="E123" s="424"/>
      <c r="F123" s="239" t="s">
        <v>1860</v>
      </c>
      <c r="G123" s="421"/>
      <c r="H123" s="237" t="s">
        <v>1859</v>
      </c>
      <c r="I123" s="238"/>
      <c r="J123" s="238"/>
      <c r="K123" s="424"/>
      <c r="L123" s="239" t="s">
        <v>1860</v>
      </c>
    </row>
    <row r="124" spans="1:12" ht="15.75" thickBot="1">
      <c r="A124" s="419" t="s">
        <v>2192</v>
      </c>
      <c r="B124" s="237" t="s">
        <v>1845</v>
      </c>
      <c r="C124" s="238"/>
      <c r="D124" s="238"/>
      <c r="E124" s="422" t="s">
        <v>2192</v>
      </c>
      <c r="F124" s="239" t="s">
        <v>1845</v>
      </c>
      <c r="G124" s="419" t="s">
        <v>2192</v>
      </c>
      <c r="H124" s="237" t="s">
        <v>1845</v>
      </c>
      <c r="I124" s="238"/>
      <c r="J124" s="238"/>
      <c r="K124" s="422" t="s">
        <v>2192</v>
      </c>
      <c r="L124" s="239" t="s">
        <v>1845</v>
      </c>
    </row>
    <row r="125" spans="1:12" ht="15.75" thickBot="1">
      <c r="A125" s="420"/>
      <c r="B125" s="237" t="s">
        <v>1847</v>
      </c>
      <c r="C125" s="238"/>
      <c r="D125" s="238"/>
      <c r="E125" s="423"/>
      <c r="F125" s="239" t="s">
        <v>1847</v>
      </c>
      <c r="G125" s="420"/>
      <c r="H125" s="237" t="s">
        <v>1847</v>
      </c>
      <c r="I125" s="238"/>
      <c r="J125" s="238"/>
      <c r="K125" s="423"/>
      <c r="L125" s="239" t="s">
        <v>1847</v>
      </c>
    </row>
    <row r="126" spans="1:12" ht="15.75" thickBot="1">
      <c r="A126" s="420"/>
      <c r="B126" s="237" t="s">
        <v>1848</v>
      </c>
      <c r="C126" s="238"/>
      <c r="D126" s="238"/>
      <c r="E126" s="423"/>
      <c r="F126" s="239" t="s">
        <v>1848</v>
      </c>
      <c r="G126" s="420"/>
      <c r="H126" s="237" t="s">
        <v>1848</v>
      </c>
      <c r="I126" s="238"/>
      <c r="J126" s="238"/>
      <c r="K126" s="423"/>
      <c r="L126" s="239" t="s">
        <v>1848</v>
      </c>
    </row>
    <row r="127" spans="1:12" ht="15.75" thickBot="1">
      <c r="A127" s="420"/>
      <c r="B127" s="237" t="s">
        <v>1849</v>
      </c>
      <c r="C127" s="238"/>
      <c r="D127" s="238"/>
      <c r="E127" s="423"/>
      <c r="F127" s="239" t="s">
        <v>1849</v>
      </c>
      <c r="G127" s="420"/>
      <c r="H127" s="237" t="s">
        <v>1849</v>
      </c>
      <c r="I127" s="238"/>
      <c r="J127" s="238"/>
      <c r="K127" s="423"/>
      <c r="L127" s="239" t="s">
        <v>1849</v>
      </c>
    </row>
    <row r="128" spans="1:12" ht="15.75" thickBot="1">
      <c r="A128" s="420"/>
      <c r="B128" s="237" t="s">
        <v>1850</v>
      </c>
      <c r="C128" s="238"/>
      <c r="D128" s="238"/>
      <c r="E128" s="423"/>
      <c r="F128" s="239" t="s">
        <v>1850</v>
      </c>
      <c r="G128" s="420"/>
      <c r="H128" s="237" t="s">
        <v>1850</v>
      </c>
      <c r="I128" s="238"/>
      <c r="J128" s="238"/>
      <c r="K128" s="423"/>
      <c r="L128" s="239" t="s">
        <v>1850</v>
      </c>
    </row>
    <row r="129" spans="1:12" ht="15.75" thickBot="1">
      <c r="A129" s="420"/>
      <c r="B129" s="237" t="s">
        <v>1851</v>
      </c>
      <c r="C129" s="238"/>
      <c r="D129" s="238"/>
      <c r="E129" s="423"/>
      <c r="F129" s="239" t="s">
        <v>1851</v>
      </c>
      <c r="G129" s="420"/>
      <c r="H129" s="237" t="s">
        <v>1851</v>
      </c>
      <c r="I129" s="238"/>
      <c r="J129" s="238"/>
      <c r="K129" s="423"/>
      <c r="L129" s="239" t="s">
        <v>1851</v>
      </c>
    </row>
    <row r="130" spans="1:12" ht="15.75" thickBot="1">
      <c r="A130" s="420"/>
      <c r="B130" s="237" t="s">
        <v>1852</v>
      </c>
      <c r="C130" s="238"/>
      <c r="D130" s="238"/>
      <c r="E130" s="423"/>
      <c r="F130" s="239" t="s">
        <v>1852</v>
      </c>
      <c r="G130" s="420"/>
      <c r="H130" s="237" t="s">
        <v>1852</v>
      </c>
      <c r="I130" s="238"/>
      <c r="J130" s="238"/>
      <c r="K130" s="423"/>
      <c r="L130" s="239" t="s">
        <v>1852</v>
      </c>
    </row>
    <row r="131" spans="1:12" ht="15.75" thickBot="1">
      <c r="A131" s="420"/>
      <c r="B131" s="237" t="s">
        <v>1853</v>
      </c>
      <c r="C131" s="238"/>
      <c r="D131" s="238"/>
      <c r="E131" s="423"/>
      <c r="F131" s="239" t="s">
        <v>1853</v>
      </c>
      <c r="G131" s="420"/>
      <c r="H131" s="237" t="s">
        <v>1853</v>
      </c>
      <c r="I131" s="238"/>
      <c r="J131" s="238"/>
      <c r="K131" s="423"/>
      <c r="L131" s="239" t="s">
        <v>1853</v>
      </c>
    </row>
    <row r="132" spans="1:12" ht="15.75" thickBot="1">
      <c r="A132" s="420"/>
      <c r="B132" s="237" t="s">
        <v>1854</v>
      </c>
      <c r="C132" s="238"/>
      <c r="D132" s="238"/>
      <c r="E132" s="423"/>
      <c r="F132" s="239" t="s">
        <v>1854</v>
      </c>
      <c r="G132" s="420"/>
      <c r="H132" s="237" t="s">
        <v>1854</v>
      </c>
      <c r="I132" s="238"/>
      <c r="J132" s="238"/>
      <c r="K132" s="423"/>
      <c r="L132" s="239" t="s">
        <v>1854</v>
      </c>
    </row>
    <row r="133" spans="1:12" ht="15.75" thickBot="1">
      <c r="A133" s="420"/>
      <c r="B133" s="237" t="s">
        <v>1855</v>
      </c>
      <c r="C133" s="238"/>
      <c r="D133" s="238"/>
      <c r="E133" s="423"/>
      <c r="F133" s="239" t="s">
        <v>1855</v>
      </c>
      <c r="G133" s="420"/>
      <c r="H133" s="237" t="s">
        <v>1855</v>
      </c>
      <c r="I133" s="238"/>
      <c r="J133" s="238"/>
      <c r="K133" s="423"/>
      <c r="L133" s="239" t="s">
        <v>1855</v>
      </c>
    </row>
    <row r="134" spans="1:12" ht="15.75" thickBot="1">
      <c r="A134" s="420"/>
      <c r="B134" s="237" t="s">
        <v>1856</v>
      </c>
      <c r="C134" s="238"/>
      <c r="D134" s="238"/>
      <c r="E134" s="423"/>
      <c r="F134" s="239" t="s">
        <v>1856</v>
      </c>
      <c r="G134" s="420"/>
      <c r="H134" s="237" t="s">
        <v>1856</v>
      </c>
      <c r="I134" s="238"/>
      <c r="J134" s="238"/>
      <c r="K134" s="423"/>
      <c r="L134" s="239" t="s">
        <v>1856</v>
      </c>
    </row>
    <row r="135" spans="1:12" ht="26.25" thickBot="1">
      <c r="A135" s="420"/>
      <c r="B135" s="237" t="s">
        <v>1857</v>
      </c>
      <c r="C135" s="238"/>
      <c r="D135" s="238"/>
      <c r="E135" s="423"/>
      <c r="F135" s="239" t="s">
        <v>1858</v>
      </c>
      <c r="G135" s="420"/>
      <c r="H135" s="237" t="s">
        <v>1857</v>
      </c>
      <c r="I135" s="238"/>
      <c r="J135" s="238"/>
      <c r="K135" s="423"/>
      <c r="L135" s="239" t="s">
        <v>1858</v>
      </c>
    </row>
    <row r="136" spans="1:12" ht="15.75" thickBot="1">
      <c r="A136" s="421"/>
      <c r="B136" s="237" t="s">
        <v>1859</v>
      </c>
      <c r="C136" s="238"/>
      <c r="D136" s="238"/>
      <c r="E136" s="424"/>
      <c r="F136" s="239" t="s">
        <v>1860</v>
      </c>
      <c r="G136" s="421"/>
      <c r="H136" s="237" t="s">
        <v>1859</v>
      </c>
      <c r="I136" s="238"/>
      <c r="J136" s="238"/>
      <c r="K136" s="424"/>
      <c r="L136" s="239" t="s">
        <v>1860</v>
      </c>
    </row>
    <row r="137" spans="1:12" ht="15.75" thickBot="1">
      <c r="A137" s="419" t="s">
        <v>2193</v>
      </c>
      <c r="B137" s="237" t="s">
        <v>1845</v>
      </c>
      <c r="C137" s="238"/>
      <c r="D137" s="238"/>
      <c r="E137" s="422" t="s">
        <v>2193</v>
      </c>
      <c r="F137" s="239" t="s">
        <v>1845</v>
      </c>
      <c r="G137" s="419" t="s">
        <v>2193</v>
      </c>
      <c r="H137" s="237" t="s">
        <v>1845</v>
      </c>
      <c r="I137" s="238"/>
      <c r="J137" s="238"/>
      <c r="K137" s="422" t="s">
        <v>2193</v>
      </c>
      <c r="L137" s="239" t="s">
        <v>1845</v>
      </c>
    </row>
    <row r="138" spans="1:12" ht="15.75" thickBot="1">
      <c r="A138" s="420"/>
      <c r="B138" s="237" t="s">
        <v>1847</v>
      </c>
      <c r="C138" s="238"/>
      <c r="D138" s="238"/>
      <c r="E138" s="423"/>
      <c r="F138" s="239" t="s">
        <v>1847</v>
      </c>
      <c r="G138" s="420"/>
      <c r="H138" s="237" t="s">
        <v>1847</v>
      </c>
      <c r="I138" s="238"/>
      <c r="J138" s="238"/>
      <c r="K138" s="423"/>
      <c r="L138" s="239" t="s">
        <v>1847</v>
      </c>
    </row>
    <row r="139" spans="1:12" ht="15.75" thickBot="1">
      <c r="A139" s="420"/>
      <c r="B139" s="237" t="s">
        <v>1848</v>
      </c>
      <c r="C139" s="238"/>
      <c r="D139" s="238"/>
      <c r="E139" s="423"/>
      <c r="F139" s="239" t="s">
        <v>1848</v>
      </c>
      <c r="G139" s="420"/>
      <c r="H139" s="237" t="s">
        <v>1848</v>
      </c>
      <c r="I139" s="238"/>
      <c r="J139" s="238"/>
      <c r="K139" s="423"/>
      <c r="L139" s="239" t="s">
        <v>1848</v>
      </c>
    </row>
    <row r="140" spans="1:12" ht="15.75" thickBot="1">
      <c r="A140" s="420"/>
      <c r="B140" s="237" t="s">
        <v>1849</v>
      </c>
      <c r="C140" s="238"/>
      <c r="D140" s="238"/>
      <c r="E140" s="423"/>
      <c r="F140" s="239" t="s">
        <v>1849</v>
      </c>
      <c r="G140" s="420"/>
      <c r="H140" s="237" t="s">
        <v>1849</v>
      </c>
      <c r="I140" s="238"/>
      <c r="J140" s="238"/>
      <c r="K140" s="423"/>
      <c r="L140" s="239" t="s">
        <v>1849</v>
      </c>
    </row>
    <row r="141" spans="1:12" ht="15.75" thickBot="1">
      <c r="A141" s="420"/>
      <c r="B141" s="237" t="s">
        <v>1850</v>
      </c>
      <c r="C141" s="238"/>
      <c r="D141" s="238"/>
      <c r="E141" s="423"/>
      <c r="F141" s="239" t="s">
        <v>1850</v>
      </c>
      <c r="G141" s="420"/>
      <c r="H141" s="237" t="s">
        <v>1850</v>
      </c>
      <c r="I141" s="238"/>
      <c r="J141" s="238"/>
      <c r="K141" s="423"/>
      <c r="L141" s="239" t="s">
        <v>1850</v>
      </c>
    </row>
    <row r="142" spans="1:12" ht="15.75" thickBot="1">
      <c r="A142" s="420"/>
      <c r="B142" s="237" t="s">
        <v>1851</v>
      </c>
      <c r="C142" s="238"/>
      <c r="D142" s="238"/>
      <c r="E142" s="423"/>
      <c r="F142" s="239" t="s">
        <v>1851</v>
      </c>
      <c r="G142" s="420"/>
      <c r="H142" s="237" t="s">
        <v>1851</v>
      </c>
      <c r="I142" s="238"/>
      <c r="J142" s="238"/>
      <c r="K142" s="423"/>
      <c r="L142" s="239" t="s">
        <v>1851</v>
      </c>
    </row>
    <row r="143" spans="1:12" ht="15.75" thickBot="1">
      <c r="A143" s="420"/>
      <c r="B143" s="237" t="s">
        <v>1852</v>
      </c>
      <c r="C143" s="238"/>
      <c r="D143" s="238"/>
      <c r="E143" s="423"/>
      <c r="F143" s="239" t="s">
        <v>1852</v>
      </c>
      <c r="G143" s="420"/>
      <c r="H143" s="237" t="s">
        <v>1852</v>
      </c>
      <c r="I143" s="238"/>
      <c r="J143" s="238"/>
      <c r="K143" s="423"/>
      <c r="L143" s="239" t="s">
        <v>1852</v>
      </c>
    </row>
    <row r="144" spans="1:12" ht="15.75" thickBot="1">
      <c r="A144" s="420"/>
      <c r="B144" s="237" t="s">
        <v>1853</v>
      </c>
      <c r="C144" s="238"/>
      <c r="D144" s="238"/>
      <c r="E144" s="423"/>
      <c r="F144" s="239" t="s">
        <v>1853</v>
      </c>
      <c r="G144" s="420"/>
      <c r="H144" s="237" t="s">
        <v>1853</v>
      </c>
      <c r="I144" s="238"/>
      <c r="J144" s="238"/>
      <c r="K144" s="423"/>
      <c r="L144" s="239" t="s">
        <v>1853</v>
      </c>
    </row>
    <row r="145" spans="1:12" ht="15.75" thickBot="1">
      <c r="A145" s="420"/>
      <c r="B145" s="237" t="s">
        <v>1854</v>
      </c>
      <c r="C145" s="238"/>
      <c r="D145" s="238"/>
      <c r="E145" s="423"/>
      <c r="F145" s="239" t="s">
        <v>1854</v>
      </c>
      <c r="G145" s="420"/>
      <c r="H145" s="237" t="s">
        <v>1854</v>
      </c>
      <c r="I145" s="238"/>
      <c r="J145" s="238"/>
      <c r="K145" s="423"/>
      <c r="L145" s="239" t="s">
        <v>1854</v>
      </c>
    </row>
    <row r="146" spans="1:12" ht="15.75" thickBot="1">
      <c r="A146" s="420"/>
      <c r="B146" s="237" t="s">
        <v>1855</v>
      </c>
      <c r="C146" s="238"/>
      <c r="D146" s="238"/>
      <c r="E146" s="423"/>
      <c r="F146" s="239" t="s">
        <v>1855</v>
      </c>
      <c r="G146" s="420"/>
      <c r="H146" s="237" t="s">
        <v>1855</v>
      </c>
      <c r="I146" s="238"/>
      <c r="J146" s="238"/>
      <c r="K146" s="423"/>
      <c r="L146" s="239" t="s">
        <v>1855</v>
      </c>
    </row>
    <row r="147" spans="1:12" ht="15.75" thickBot="1">
      <c r="A147" s="420"/>
      <c r="B147" s="237" t="s">
        <v>1856</v>
      </c>
      <c r="C147" s="238"/>
      <c r="D147" s="238"/>
      <c r="E147" s="423"/>
      <c r="F147" s="239" t="s">
        <v>1856</v>
      </c>
      <c r="G147" s="420"/>
      <c r="H147" s="237" t="s">
        <v>1856</v>
      </c>
      <c r="I147" s="238"/>
      <c r="J147" s="238"/>
      <c r="K147" s="423"/>
      <c r="L147" s="239" t="s">
        <v>1856</v>
      </c>
    </row>
    <row r="148" spans="1:12" ht="26.25" thickBot="1">
      <c r="A148" s="420"/>
      <c r="B148" s="237" t="s">
        <v>1857</v>
      </c>
      <c r="C148" s="238"/>
      <c r="D148" s="238"/>
      <c r="E148" s="423"/>
      <c r="F148" s="239" t="s">
        <v>1858</v>
      </c>
      <c r="G148" s="420"/>
      <c r="H148" s="237" t="s">
        <v>1857</v>
      </c>
      <c r="I148" s="238"/>
      <c r="J148" s="238"/>
      <c r="K148" s="423"/>
      <c r="L148" s="239" t="s">
        <v>1858</v>
      </c>
    </row>
    <row r="149" spans="1:12" ht="15.75" thickBot="1">
      <c r="A149" s="421"/>
      <c r="B149" s="237" t="s">
        <v>1859</v>
      </c>
      <c r="C149" s="238"/>
      <c r="D149" s="238"/>
      <c r="E149" s="424"/>
      <c r="F149" s="239" t="s">
        <v>1860</v>
      </c>
      <c r="G149" s="421"/>
      <c r="H149" s="237" t="s">
        <v>1859</v>
      </c>
      <c r="I149" s="238"/>
      <c r="J149" s="238"/>
      <c r="K149" s="424"/>
      <c r="L149" s="239" t="s">
        <v>1860</v>
      </c>
    </row>
    <row r="150" spans="1:12" ht="15.75" thickBot="1">
      <c r="A150" s="419" t="s">
        <v>2194</v>
      </c>
      <c r="B150" s="237" t="s">
        <v>1845</v>
      </c>
      <c r="C150" s="238"/>
      <c r="D150" s="238"/>
      <c r="E150" s="422" t="s">
        <v>2194</v>
      </c>
      <c r="F150" s="239" t="s">
        <v>1845</v>
      </c>
      <c r="G150" s="419" t="s">
        <v>2194</v>
      </c>
      <c r="H150" s="237" t="s">
        <v>1845</v>
      </c>
      <c r="I150" s="238"/>
      <c r="J150" s="238"/>
      <c r="K150" s="422" t="s">
        <v>2194</v>
      </c>
      <c r="L150" s="239" t="s">
        <v>1845</v>
      </c>
    </row>
    <row r="151" spans="1:12" ht="15.75" thickBot="1">
      <c r="A151" s="420"/>
      <c r="B151" s="237" t="s">
        <v>1847</v>
      </c>
      <c r="C151" s="238"/>
      <c r="D151" s="238"/>
      <c r="E151" s="423"/>
      <c r="F151" s="239" t="s">
        <v>1847</v>
      </c>
      <c r="G151" s="420"/>
      <c r="H151" s="237" t="s">
        <v>1847</v>
      </c>
      <c r="I151" s="238"/>
      <c r="J151" s="238"/>
      <c r="K151" s="423"/>
      <c r="L151" s="239" t="s">
        <v>1847</v>
      </c>
    </row>
    <row r="152" spans="1:12" ht="15.75" thickBot="1">
      <c r="A152" s="420"/>
      <c r="B152" s="237" t="s">
        <v>1848</v>
      </c>
      <c r="C152" s="238"/>
      <c r="D152" s="238"/>
      <c r="E152" s="423"/>
      <c r="F152" s="239" t="s">
        <v>1848</v>
      </c>
      <c r="G152" s="420"/>
      <c r="H152" s="237" t="s">
        <v>1848</v>
      </c>
      <c r="I152" s="238"/>
      <c r="J152" s="238"/>
      <c r="K152" s="423"/>
      <c r="L152" s="239" t="s">
        <v>1848</v>
      </c>
    </row>
    <row r="153" spans="1:12" ht="15.75" thickBot="1">
      <c r="A153" s="420"/>
      <c r="B153" s="237" t="s">
        <v>1849</v>
      </c>
      <c r="C153" s="238"/>
      <c r="D153" s="238"/>
      <c r="E153" s="423"/>
      <c r="F153" s="239" t="s">
        <v>1849</v>
      </c>
      <c r="G153" s="420"/>
      <c r="H153" s="237" t="s">
        <v>1849</v>
      </c>
      <c r="I153" s="238"/>
      <c r="J153" s="238"/>
      <c r="K153" s="423"/>
      <c r="L153" s="239" t="s">
        <v>1849</v>
      </c>
    </row>
    <row r="154" spans="1:12" ht="15.75" thickBot="1">
      <c r="A154" s="420"/>
      <c r="B154" s="237" t="s">
        <v>1850</v>
      </c>
      <c r="C154" s="238"/>
      <c r="D154" s="238"/>
      <c r="E154" s="423"/>
      <c r="F154" s="239" t="s">
        <v>1850</v>
      </c>
      <c r="G154" s="420"/>
      <c r="H154" s="237" t="s">
        <v>1850</v>
      </c>
      <c r="I154" s="238"/>
      <c r="J154" s="238"/>
      <c r="K154" s="423"/>
      <c r="L154" s="239" t="s">
        <v>1850</v>
      </c>
    </row>
    <row r="155" spans="1:12" ht="15.75" thickBot="1">
      <c r="A155" s="420"/>
      <c r="B155" s="237" t="s">
        <v>1851</v>
      </c>
      <c r="C155" s="238"/>
      <c r="D155" s="238"/>
      <c r="E155" s="423"/>
      <c r="F155" s="239" t="s">
        <v>1851</v>
      </c>
      <c r="G155" s="420"/>
      <c r="H155" s="237" t="s">
        <v>1851</v>
      </c>
      <c r="I155" s="238"/>
      <c r="J155" s="238"/>
      <c r="K155" s="423"/>
      <c r="L155" s="239" t="s">
        <v>1851</v>
      </c>
    </row>
    <row r="156" spans="1:12" ht="15.75" thickBot="1">
      <c r="A156" s="420"/>
      <c r="B156" s="237" t="s">
        <v>1852</v>
      </c>
      <c r="C156" s="238"/>
      <c r="D156" s="238"/>
      <c r="E156" s="423"/>
      <c r="F156" s="239" t="s">
        <v>1852</v>
      </c>
      <c r="G156" s="420"/>
      <c r="H156" s="237" t="s">
        <v>1852</v>
      </c>
      <c r="I156" s="238"/>
      <c r="J156" s="238"/>
      <c r="K156" s="423"/>
      <c r="L156" s="239" t="s">
        <v>1852</v>
      </c>
    </row>
    <row r="157" spans="1:12" ht="15.75" thickBot="1">
      <c r="A157" s="420"/>
      <c r="B157" s="237" t="s">
        <v>1853</v>
      </c>
      <c r="C157" s="238"/>
      <c r="D157" s="238"/>
      <c r="E157" s="423"/>
      <c r="F157" s="239" t="s">
        <v>1853</v>
      </c>
      <c r="G157" s="420"/>
      <c r="H157" s="237" t="s">
        <v>1853</v>
      </c>
      <c r="I157" s="238"/>
      <c r="J157" s="238"/>
      <c r="K157" s="423"/>
      <c r="L157" s="239" t="s">
        <v>1853</v>
      </c>
    </row>
    <row r="158" spans="1:12" ht="15.75" thickBot="1">
      <c r="A158" s="420"/>
      <c r="B158" s="237" t="s">
        <v>1854</v>
      </c>
      <c r="C158" s="238"/>
      <c r="D158" s="238"/>
      <c r="E158" s="423"/>
      <c r="F158" s="239" t="s">
        <v>1854</v>
      </c>
      <c r="G158" s="420"/>
      <c r="H158" s="237" t="s">
        <v>1854</v>
      </c>
      <c r="I158" s="238"/>
      <c r="J158" s="238"/>
      <c r="K158" s="423"/>
      <c r="L158" s="239" t="s">
        <v>1854</v>
      </c>
    </row>
    <row r="159" spans="1:12" ht="15.75" thickBot="1">
      <c r="A159" s="420"/>
      <c r="B159" s="237" t="s">
        <v>1855</v>
      </c>
      <c r="C159" s="238"/>
      <c r="D159" s="238"/>
      <c r="E159" s="423"/>
      <c r="F159" s="239" t="s">
        <v>1855</v>
      </c>
      <c r="G159" s="420"/>
      <c r="H159" s="237" t="s">
        <v>1855</v>
      </c>
      <c r="I159" s="238"/>
      <c r="J159" s="238"/>
      <c r="K159" s="423"/>
      <c r="L159" s="239" t="s">
        <v>1855</v>
      </c>
    </row>
    <row r="160" spans="1:12" ht="15.75" thickBot="1">
      <c r="A160" s="420"/>
      <c r="B160" s="237" t="s">
        <v>1856</v>
      </c>
      <c r="C160" s="238"/>
      <c r="D160" s="238"/>
      <c r="E160" s="423"/>
      <c r="F160" s="239" t="s">
        <v>1856</v>
      </c>
      <c r="G160" s="420"/>
      <c r="H160" s="237" t="s">
        <v>1856</v>
      </c>
      <c r="I160" s="238"/>
      <c r="J160" s="238"/>
      <c r="K160" s="423"/>
      <c r="L160" s="239" t="s">
        <v>1856</v>
      </c>
    </row>
    <row r="161" spans="1:12" ht="26.25" thickBot="1">
      <c r="A161" s="420"/>
      <c r="B161" s="237" t="s">
        <v>1857</v>
      </c>
      <c r="C161" s="238"/>
      <c r="D161" s="238"/>
      <c r="E161" s="423"/>
      <c r="F161" s="239" t="s">
        <v>1858</v>
      </c>
      <c r="G161" s="420"/>
      <c r="H161" s="237" t="s">
        <v>1857</v>
      </c>
      <c r="I161" s="238"/>
      <c r="J161" s="238"/>
      <c r="K161" s="423"/>
      <c r="L161" s="239" t="s">
        <v>1858</v>
      </c>
    </row>
    <row r="162" spans="1:12" ht="15.75" thickBot="1">
      <c r="A162" s="421"/>
      <c r="B162" s="237" t="s">
        <v>1859</v>
      </c>
      <c r="C162" s="238"/>
      <c r="D162" s="238"/>
      <c r="E162" s="424"/>
      <c r="F162" s="239" t="s">
        <v>1860</v>
      </c>
      <c r="G162" s="421"/>
      <c r="H162" s="237" t="s">
        <v>1859</v>
      </c>
      <c r="I162" s="238"/>
      <c r="J162" s="238"/>
      <c r="K162" s="424"/>
      <c r="L162" s="239" t="s">
        <v>1860</v>
      </c>
    </row>
    <row r="163" spans="1:12" ht="15.75" thickBot="1">
      <c r="A163" s="419" t="s">
        <v>2195</v>
      </c>
      <c r="B163" s="237" t="s">
        <v>1845</v>
      </c>
      <c r="C163" s="238"/>
      <c r="D163" s="238"/>
      <c r="E163" s="422" t="s">
        <v>2195</v>
      </c>
      <c r="F163" s="239" t="s">
        <v>1845</v>
      </c>
      <c r="G163" s="419" t="s">
        <v>2195</v>
      </c>
      <c r="H163" s="237" t="s">
        <v>1845</v>
      </c>
      <c r="I163" s="238"/>
      <c r="J163" s="238"/>
      <c r="K163" s="422" t="s">
        <v>2195</v>
      </c>
      <c r="L163" s="239" t="s">
        <v>1845</v>
      </c>
    </row>
    <row r="164" spans="1:12" ht="15.75" thickBot="1">
      <c r="A164" s="420"/>
      <c r="B164" s="237" t="s">
        <v>1847</v>
      </c>
      <c r="C164" s="238"/>
      <c r="D164" s="238"/>
      <c r="E164" s="423"/>
      <c r="F164" s="239" t="s">
        <v>1847</v>
      </c>
      <c r="G164" s="420"/>
      <c r="H164" s="237" t="s">
        <v>1847</v>
      </c>
      <c r="I164" s="238"/>
      <c r="J164" s="238"/>
      <c r="K164" s="423"/>
      <c r="L164" s="239" t="s">
        <v>1847</v>
      </c>
    </row>
    <row r="165" spans="1:12" ht="15.75" thickBot="1">
      <c r="A165" s="420"/>
      <c r="B165" s="237" t="s">
        <v>1848</v>
      </c>
      <c r="C165" s="238"/>
      <c r="D165" s="238"/>
      <c r="E165" s="423"/>
      <c r="F165" s="239" t="s">
        <v>1848</v>
      </c>
      <c r="G165" s="420"/>
      <c r="H165" s="237" t="s">
        <v>1848</v>
      </c>
      <c r="I165" s="238"/>
      <c r="J165" s="238"/>
      <c r="K165" s="423"/>
      <c r="L165" s="239" t="s">
        <v>1848</v>
      </c>
    </row>
    <row r="166" spans="1:12" ht="15.75" thickBot="1">
      <c r="A166" s="420"/>
      <c r="B166" s="237" t="s">
        <v>1849</v>
      </c>
      <c r="C166" s="238"/>
      <c r="D166" s="238"/>
      <c r="E166" s="423"/>
      <c r="F166" s="239" t="s">
        <v>1849</v>
      </c>
      <c r="G166" s="420"/>
      <c r="H166" s="237" t="s">
        <v>1849</v>
      </c>
      <c r="I166" s="238"/>
      <c r="J166" s="238"/>
      <c r="K166" s="423"/>
      <c r="L166" s="239" t="s">
        <v>1849</v>
      </c>
    </row>
    <row r="167" spans="1:12" ht="15.75" thickBot="1">
      <c r="A167" s="420"/>
      <c r="B167" s="237" t="s">
        <v>1850</v>
      </c>
      <c r="C167" s="238"/>
      <c r="D167" s="238"/>
      <c r="E167" s="423"/>
      <c r="F167" s="239" t="s">
        <v>1850</v>
      </c>
      <c r="G167" s="420"/>
      <c r="H167" s="237" t="s">
        <v>1850</v>
      </c>
      <c r="I167" s="238"/>
      <c r="J167" s="238"/>
      <c r="K167" s="423"/>
      <c r="L167" s="239" t="s">
        <v>1850</v>
      </c>
    </row>
    <row r="168" spans="1:12" ht="15.75" thickBot="1">
      <c r="A168" s="420"/>
      <c r="B168" s="237" t="s">
        <v>1851</v>
      </c>
      <c r="C168" s="238"/>
      <c r="D168" s="238"/>
      <c r="E168" s="423"/>
      <c r="F168" s="239" t="s">
        <v>1851</v>
      </c>
      <c r="G168" s="420"/>
      <c r="H168" s="237" t="s">
        <v>1851</v>
      </c>
      <c r="I168" s="238"/>
      <c r="J168" s="238"/>
      <c r="K168" s="423"/>
      <c r="L168" s="239" t="s">
        <v>1851</v>
      </c>
    </row>
    <row r="169" spans="1:12" ht="15.75" thickBot="1">
      <c r="A169" s="420"/>
      <c r="B169" s="237" t="s">
        <v>1852</v>
      </c>
      <c r="C169" s="238"/>
      <c r="D169" s="238"/>
      <c r="E169" s="423"/>
      <c r="F169" s="239" t="s">
        <v>1852</v>
      </c>
      <c r="G169" s="420"/>
      <c r="H169" s="237" t="s">
        <v>1852</v>
      </c>
      <c r="I169" s="238"/>
      <c r="J169" s="238"/>
      <c r="K169" s="423"/>
      <c r="L169" s="239" t="s">
        <v>1852</v>
      </c>
    </row>
    <row r="170" spans="1:12" ht="15.75" thickBot="1">
      <c r="A170" s="420"/>
      <c r="B170" s="237" t="s">
        <v>1853</v>
      </c>
      <c r="C170" s="238"/>
      <c r="D170" s="238"/>
      <c r="E170" s="423"/>
      <c r="F170" s="239" t="s">
        <v>1853</v>
      </c>
      <c r="G170" s="420"/>
      <c r="H170" s="237" t="s">
        <v>1853</v>
      </c>
      <c r="I170" s="238"/>
      <c r="J170" s="238"/>
      <c r="K170" s="423"/>
      <c r="L170" s="239" t="s">
        <v>1853</v>
      </c>
    </row>
    <row r="171" spans="1:12" ht="15.75" thickBot="1">
      <c r="A171" s="420"/>
      <c r="B171" s="237" t="s">
        <v>1854</v>
      </c>
      <c r="C171" s="238"/>
      <c r="D171" s="238"/>
      <c r="E171" s="423"/>
      <c r="F171" s="239" t="s">
        <v>1854</v>
      </c>
      <c r="G171" s="420"/>
      <c r="H171" s="237" t="s">
        <v>1854</v>
      </c>
      <c r="I171" s="238"/>
      <c r="J171" s="238"/>
      <c r="K171" s="423"/>
      <c r="L171" s="239" t="s">
        <v>1854</v>
      </c>
    </row>
    <row r="172" spans="1:12" ht="15.75" thickBot="1">
      <c r="A172" s="420"/>
      <c r="B172" s="237" t="s">
        <v>1855</v>
      </c>
      <c r="C172" s="238"/>
      <c r="D172" s="238"/>
      <c r="E172" s="423"/>
      <c r="F172" s="239" t="s">
        <v>1855</v>
      </c>
      <c r="G172" s="420"/>
      <c r="H172" s="237" t="s">
        <v>1855</v>
      </c>
      <c r="I172" s="238"/>
      <c r="J172" s="238"/>
      <c r="K172" s="423"/>
      <c r="L172" s="239" t="s">
        <v>1855</v>
      </c>
    </row>
    <row r="173" spans="1:12" ht="15.75" thickBot="1">
      <c r="A173" s="420"/>
      <c r="B173" s="237" t="s">
        <v>1856</v>
      </c>
      <c r="C173" s="238"/>
      <c r="D173" s="238"/>
      <c r="E173" s="423"/>
      <c r="F173" s="239" t="s">
        <v>1856</v>
      </c>
      <c r="G173" s="420"/>
      <c r="H173" s="237" t="s">
        <v>1856</v>
      </c>
      <c r="I173" s="238"/>
      <c r="J173" s="238"/>
      <c r="K173" s="423"/>
      <c r="L173" s="239" t="s">
        <v>1856</v>
      </c>
    </row>
    <row r="174" spans="1:12" ht="26.25" thickBot="1">
      <c r="A174" s="420"/>
      <c r="B174" s="237" t="s">
        <v>1857</v>
      </c>
      <c r="C174" s="238"/>
      <c r="D174" s="238"/>
      <c r="E174" s="423"/>
      <c r="F174" s="239" t="s">
        <v>1858</v>
      </c>
      <c r="G174" s="420"/>
      <c r="H174" s="237" t="s">
        <v>1857</v>
      </c>
      <c r="I174" s="238"/>
      <c r="J174" s="238"/>
      <c r="K174" s="423"/>
      <c r="L174" s="239" t="s">
        <v>1858</v>
      </c>
    </row>
    <row r="175" spans="1:12" ht="15.75" thickBot="1">
      <c r="A175" s="421"/>
      <c r="B175" s="237" t="s">
        <v>1859</v>
      </c>
      <c r="C175" s="238"/>
      <c r="D175" s="238"/>
      <c r="E175" s="424"/>
      <c r="F175" s="239" t="s">
        <v>1860</v>
      </c>
      <c r="G175" s="421"/>
      <c r="H175" s="237" t="s">
        <v>1859</v>
      </c>
      <c r="I175" s="238"/>
      <c r="J175" s="238"/>
      <c r="K175" s="424"/>
      <c r="L175" s="239" t="s">
        <v>1860</v>
      </c>
    </row>
    <row r="176" spans="1:12" ht="15.75" thickBot="1">
      <c r="A176" s="419" t="s">
        <v>2196</v>
      </c>
      <c r="B176" s="237" t="s">
        <v>1845</v>
      </c>
      <c r="C176" s="238"/>
      <c r="D176" s="238"/>
      <c r="E176" s="422" t="s">
        <v>2196</v>
      </c>
      <c r="F176" s="239" t="s">
        <v>1845</v>
      </c>
      <c r="G176" s="419" t="s">
        <v>2196</v>
      </c>
      <c r="H176" s="237" t="s">
        <v>1845</v>
      </c>
      <c r="I176" s="238"/>
      <c r="J176" s="238"/>
      <c r="K176" s="422" t="s">
        <v>2196</v>
      </c>
      <c r="L176" s="239" t="s">
        <v>1845</v>
      </c>
    </row>
    <row r="177" spans="1:12" ht="15.75" thickBot="1">
      <c r="A177" s="420"/>
      <c r="B177" s="237" t="s">
        <v>1847</v>
      </c>
      <c r="C177" s="238"/>
      <c r="D177" s="238"/>
      <c r="E177" s="423"/>
      <c r="F177" s="239" t="s">
        <v>1847</v>
      </c>
      <c r="G177" s="420"/>
      <c r="H177" s="237" t="s">
        <v>1847</v>
      </c>
      <c r="I177" s="238"/>
      <c r="J177" s="238"/>
      <c r="K177" s="423"/>
      <c r="L177" s="239" t="s">
        <v>1847</v>
      </c>
    </row>
    <row r="178" spans="1:12" ht="15.75" thickBot="1">
      <c r="A178" s="420"/>
      <c r="B178" s="237" t="s">
        <v>1848</v>
      </c>
      <c r="C178" s="238"/>
      <c r="D178" s="238"/>
      <c r="E178" s="423"/>
      <c r="F178" s="239" t="s">
        <v>1848</v>
      </c>
      <c r="G178" s="420"/>
      <c r="H178" s="237" t="s">
        <v>1848</v>
      </c>
      <c r="I178" s="238"/>
      <c r="J178" s="238"/>
      <c r="K178" s="423"/>
      <c r="L178" s="239" t="s">
        <v>1848</v>
      </c>
    </row>
    <row r="179" spans="1:12" ht="15.75" thickBot="1">
      <c r="A179" s="420"/>
      <c r="B179" s="237" t="s">
        <v>1849</v>
      </c>
      <c r="C179" s="238"/>
      <c r="D179" s="238"/>
      <c r="E179" s="423"/>
      <c r="F179" s="239" t="s">
        <v>1849</v>
      </c>
      <c r="G179" s="420"/>
      <c r="H179" s="237" t="s">
        <v>1849</v>
      </c>
      <c r="I179" s="238"/>
      <c r="J179" s="238"/>
      <c r="K179" s="423"/>
      <c r="L179" s="239" t="s">
        <v>1849</v>
      </c>
    </row>
    <row r="180" spans="1:12" ht="15.75" thickBot="1">
      <c r="A180" s="420"/>
      <c r="B180" s="237" t="s">
        <v>1850</v>
      </c>
      <c r="C180" s="238"/>
      <c r="D180" s="238"/>
      <c r="E180" s="423"/>
      <c r="F180" s="239" t="s">
        <v>1850</v>
      </c>
      <c r="G180" s="420"/>
      <c r="H180" s="237" t="s">
        <v>1850</v>
      </c>
      <c r="I180" s="238"/>
      <c r="J180" s="238"/>
      <c r="K180" s="423"/>
      <c r="L180" s="239" t="s">
        <v>1850</v>
      </c>
    </row>
    <row r="181" spans="1:12" ht="15.75" thickBot="1">
      <c r="A181" s="420"/>
      <c r="B181" s="237" t="s">
        <v>1851</v>
      </c>
      <c r="C181" s="238"/>
      <c r="D181" s="238"/>
      <c r="E181" s="423"/>
      <c r="F181" s="239" t="s">
        <v>1851</v>
      </c>
      <c r="G181" s="420"/>
      <c r="H181" s="237" t="s">
        <v>1851</v>
      </c>
      <c r="I181" s="238"/>
      <c r="J181" s="238"/>
      <c r="K181" s="423"/>
      <c r="L181" s="239" t="s">
        <v>1851</v>
      </c>
    </row>
    <row r="182" spans="1:12" ht="15.75" thickBot="1">
      <c r="A182" s="420"/>
      <c r="B182" s="237" t="s">
        <v>1852</v>
      </c>
      <c r="C182" s="238"/>
      <c r="D182" s="238"/>
      <c r="E182" s="423"/>
      <c r="F182" s="239" t="s">
        <v>1852</v>
      </c>
      <c r="G182" s="420"/>
      <c r="H182" s="237" t="s">
        <v>1852</v>
      </c>
      <c r="I182" s="238"/>
      <c r="J182" s="238"/>
      <c r="K182" s="423"/>
      <c r="L182" s="239" t="s">
        <v>1852</v>
      </c>
    </row>
    <row r="183" spans="1:12" ht="15.75" thickBot="1">
      <c r="A183" s="420"/>
      <c r="B183" s="237" t="s">
        <v>1853</v>
      </c>
      <c r="C183" s="238"/>
      <c r="D183" s="238"/>
      <c r="E183" s="423"/>
      <c r="F183" s="239" t="s">
        <v>1853</v>
      </c>
      <c r="G183" s="420"/>
      <c r="H183" s="237" t="s">
        <v>1853</v>
      </c>
      <c r="I183" s="238"/>
      <c r="J183" s="238"/>
      <c r="K183" s="423"/>
      <c r="L183" s="239" t="s">
        <v>1853</v>
      </c>
    </row>
    <row r="184" spans="1:12" ht="15.75" thickBot="1">
      <c r="A184" s="420"/>
      <c r="B184" s="237" t="s">
        <v>1854</v>
      </c>
      <c r="C184" s="238"/>
      <c r="D184" s="238"/>
      <c r="E184" s="423"/>
      <c r="F184" s="239" t="s">
        <v>1854</v>
      </c>
      <c r="G184" s="420"/>
      <c r="H184" s="237" t="s">
        <v>1854</v>
      </c>
      <c r="I184" s="238"/>
      <c r="J184" s="238"/>
      <c r="K184" s="423"/>
      <c r="L184" s="239" t="s">
        <v>1854</v>
      </c>
    </row>
    <row r="185" spans="1:12" ht="15.75" thickBot="1">
      <c r="A185" s="420"/>
      <c r="B185" s="237" t="s">
        <v>1855</v>
      </c>
      <c r="C185" s="238"/>
      <c r="D185" s="238"/>
      <c r="E185" s="423"/>
      <c r="F185" s="239" t="s">
        <v>1855</v>
      </c>
      <c r="G185" s="420"/>
      <c r="H185" s="237" t="s">
        <v>1855</v>
      </c>
      <c r="I185" s="238"/>
      <c r="J185" s="238"/>
      <c r="K185" s="423"/>
      <c r="L185" s="239" t="s">
        <v>1855</v>
      </c>
    </row>
    <row r="186" spans="1:12" ht="15.75" thickBot="1">
      <c r="A186" s="420"/>
      <c r="B186" s="237" t="s">
        <v>1856</v>
      </c>
      <c r="C186" s="238"/>
      <c r="D186" s="238"/>
      <c r="E186" s="423"/>
      <c r="F186" s="239" t="s">
        <v>1856</v>
      </c>
      <c r="G186" s="420"/>
      <c r="H186" s="237" t="s">
        <v>1856</v>
      </c>
      <c r="I186" s="238"/>
      <c r="J186" s="238"/>
      <c r="K186" s="423"/>
      <c r="L186" s="239" t="s">
        <v>1856</v>
      </c>
    </row>
    <row r="187" spans="1:12" ht="26.25" thickBot="1">
      <c r="A187" s="420"/>
      <c r="B187" s="237" t="s">
        <v>1857</v>
      </c>
      <c r="C187" s="238"/>
      <c r="D187" s="238"/>
      <c r="E187" s="423"/>
      <c r="F187" s="239" t="s">
        <v>1858</v>
      </c>
      <c r="G187" s="420"/>
      <c r="H187" s="237" t="s">
        <v>1857</v>
      </c>
      <c r="I187" s="238"/>
      <c r="J187" s="238"/>
      <c r="K187" s="423"/>
      <c r="L187" s="239" t="s">
        <v>1858</v>
      </c>
    </row>
    <row r="188" spans="1:12" ht="15.75" thickBot="1">
      <c r="A188" s="421"/>
      <c r="B188" s="237" t="s">
        <v>1859</v>
      </c>
      <c r="C188" s="238"/>
      <c r="D188" s="238"/>
      <c r="E188" s="424"/>
      <c r="F188" s="239" t="s">
        <v>1860</v>
      </c>
      <c r="G188" s="421"/>
      <c r="H188" s="237" t="s">
        <v>1859</v>
      </c>
      <c r="I188" s="238"/>
      <c r="J188" s="238"/>
      <c r="K188" s="424"/>
      <c r="L188" s="239" t="s">
        <v>1860</v>
      </c>
    </row>
    <row r="189" spans="1:12" ht="15.75" thickBot="1">
      <c r="A189" s="419" t="s">
        <v>2197</v>
      </c>
      <c r="B189" s="237" t="s">
        <v>1845</v>
      </c>
      <c r="C189" s="238"/>
      <c r="D189" s="238"/>
      <c r="E189" s="422" t="s">
        <v>2197</v>
      </c>
      <c r="F189" s="239" t="s">
        <v>1845</v>
      </c>
      <c r="G189" s="419" t="s">
        <v>2197</v>
      </c>
      <c r="H189" s="237" t="s">
        <v>1845</v>
      </c>
      <c r="I189" s="238"/>
      <c r="J189" s="238"/>
      <c r="K189" s="422" t="s">
        <v>2197</v>
      </c>
      <c r="L189" s="239" t="s">
        <v>1845</v>
      </c>
    </row>
    <row r="190" spans="1:12" ht="15.75" thickBot="1">
      <c r="A190" s="420"/>
      <c r="B190" s="237" t="s">
        <v>1847</v>
      </c>
      <c r="C190" s="238"/>
      <c r="D190" s="238"/>
      <c r="E190" s="423"/>
      <c r="F190" s="239" t="s">
        <v>1847</v>
      </c>
      <c r="G190" s="420"/>
      <c r="H190" s="237" t="s">
        <v>1847</v>
      </c>
      <c r="I190" s="238"/>
      <c r="J190" s="238"/>
      <c r="K190" s="423"/>
      <c r="L190" s="239" t="s">
        <v>1847</v>
      </c>
    </row>
    <row r="191" spans="1:12" ht="15.75" thickBot="1">
      <c r="A191" s="420"/>
      <c r="B191" s="237" t="s">
        <v>1848</v>
      </c>
      <c r="C191" s="238"/>
      <c r="D191" s="238"/>
      <c r="E191" s="423"/>
      <c r="F191" s="239" t="s">
        <v>1848</v>
      </c>
      <c r="G191" s="420"/>
      <c r="H191" s="237" t="s">
        <v>1848</v>
      </c>
      <c r="I191" s="238"/>
      <c r="J191" s="238"/>
      <c r="K191" s="423"/>
      <c r="L191" s="239" t="s">
        <v>1848</v>
      </c>
    </row>
    <row r="192" spans="1:12" ht="15.75" thickBot="1">
      <c r="A192" s="420"/>
      <c r="B192" s="237" t="s">
        <v>1849</v>
      </c>
      <c r="C192" s="238"/>
      <c r="D192" s="238"/>
      <c r="E192" s="423"/>
      <c r="F192" s="239" t="s">
        <v>1849</v>
      </c>
      <c r="G192" s="420"/>
      <c r="H192" s="237" t="s">
        <v>1849</v>
      </c>
      <c r="I192" s="238"/>
      <c r="J192" s="238"/>
      <c r="K192" s="423"/>
      <c r="L192" s="239" t="s">
        <v>1849</v>
      </c>
    </row>
    <row r="193" spans="1:12" ht="15.75" thickBot="1">
      <c r="A193" s="420"/>
      <c r="B193" s="237" t="s">
        <v>1850</v>
      </c>
      <c r="C193" s="238"/>
      <c r="D193" s="238"/>
      <c r="E193" s="423"/>
      <c r="F193" s="239" t="s">
        <v>1850</v>
      </c>
      <c r="G193" s="420"/>
      <c r="H193" s="237" t="s">
        <v>1850</v>
      </c>
      <c r="I193" s="238"/>
      <c r="J193" s="238"/>
      <c r="K193" s="423"/>
      <c r="L193" s="239" t="s">
        <v>1850</v>
      </c>
    </row>
    <row r="194" spans="1:12" ht="15.75" thickBot="1">
      <c r="A194" s="420"/>
      <c r="B194" s="237" t="s">
        <v>1851</v>
      </c>
      <c r="C194" s="238"/>
      <c r="D194" s="238"/>
      <c r="E194" s="423"/>
      <c r="F194" s="239" t="s">
        <v>1851</v>
      </c>
      <c r="G194" s="420"/>
      <c r="H194" s="237" t="s">
        <v>1851</v>
      </c>
      <c r="I194" s="238"/>
      <c r="J194" s="238"/>
      <c r="K194" s="423"/>
      <c r="L194" s="239" t="s">
        <v>1851</v>
      </c>
    </row>
    <row r="195" spans="1:12" ht="15.75" thickBot="1">
      <c r="A195" s="420"/>
      <c r="B195" s="237" t="s">
        <v>1852</v>
      </c>
      <c r="C195" s="238"/>
      <c r="D195" s="238"/>
      <c r="E195" s="423"/>
      <c r="F195" s="239" t="s">
        <v>1852</v>
      </c>
      <c r="G195" s="420"/>
      <c r="H195" s="237" t="s">
        <v>1852</v>
      </c>
      <c r="I195" s="238"/>
      <c r="J195" s="238"/>
      <c r="K195" s="423"/>
      <c r="L195" s="239" t="s">
        <v>1852</v>
      </c>
    </row>
    <row r="196" spans="1:12" ht="15.75" thickBot="1">
      <c r="A196" s="420"/>
      <c r="B196" s="237" t="s">
        <v>1853</v>
      </c>
      <c r="C196" s="238"/>
      <c r="D196" s="238"/>
      <c r="E196" s="423"/>
      <c r="F196" s="239" t="s">
        <v>1853</v>
      </c>
      <c r="G196" s="420"/>
      <c r="H196" s="237" t="s">
        <v>1853</v>
      </c>
      <c r="I196" s="238"/>
      <c r="J196" s="238"/>
      <c r="K196" s="423"/>
      <c r="L196" s="239" t="s">
        <v>1853</v>
      </c>
    </row>
    <row r="197" spans="1:12" ht="15.75" thickBot="1">
      <c r="A197" s="420"/>
      <c r="B197" s="237" t="s">
        <v>1854</v>
      </c>
      <c r="C197" s="238"/>
      <c r="D197" s="238"/>
      <c r="E197" s="423"/>
      <c r="F197" s="239" t="s">
        <v>1854</v>
      </c>
      <c r="G197" s="420"/>
      <c r="H197" s="237" t="s">
        <v>1854</v>
      </c>
      <c r="I197" s="238"/>
      <c r="J197" s="238"/>
      <c r="K197" s="423"/>
      <c r="L197" s="239" t="s">
        <v>1854</v>
      </c>
    </row>
    <row r="198" spans="1:12" ht="15.75" thickBot="1">
      <c r="A198" s="420"/>
      <c r="B198" s="237" t="s">
        <v>1855</v>
      </c>
      <c r="C198" s="238"/>
      <c r="D198" s="238"/>
      <c r="E198" s="423"/>
      <c r="F198" s="239" t="s">
        <v>1855</v>
      </c>
      <c r="G198" s="420"/>
      <c r="H198" s="237" t="s">
        <v>1855</v>
      </c>
      <c r="I198" s="238"/>
      <c r="J198" s="238"/>
      <c r="K198" s="423"/>
      <c r="L198" s="239" t="s">
        <v>1855</v>
      </c>
    </row>
    <row r="199" spans="1:12" ht="15.75" thickBot="1">
      <c r="A199" s="420"/>
      <c r="B199" s="237" t="s">
        <v>1856</v>
      </c>
      <c r="C199" s="238"/>
      <c r="D199" s="238"/>
      <c r="E199" s="423"/>
      <c r="F199" s="239" t="s">
        <v>1856</v>
      </c>
      <c r="G199" s="420"/>
      <c r="H199" s="237" t="s">
        <v>1856</v>
      </c>
      <c r="I199" s="238"/>
      <c r="J199" s="238"/>
      <c r="K199" s="423"/>
      <c r="L199" s="239" t="s">
        <v>1856</v>
      </c>
    </row>
    <row r="200" spans="1:12" ht="26.25" thickBot="1">
      <c r="A200" s="420"/>
      <c r="B200" s="237" t="s">
        <v>1857</v>
      </c>
      <c r="C200" s="238"/>
      <c r="D200" s="238"/>
      <c r="E200" s="423"/>
      <c r="F200" s="239" t="s">
        <v>1858</v>
      </c>
      <c r="G200" s="420"/>
      <c r="H200" s="237" t="s">
        <v>1857</v>
      </c>
      <c r="I200" s="238"/>
      <c r="J200" s="238"/>
      <c r="K200" s="423"/>
      <c r="L200" s="239" t="s">
        <v>1858</v>
      </c>
    </row>
    <row r="201" spans="1:12" ht="15.75" thickBot="1">
      <c r="A201" s="421"/>
      <c r="B201" s="237" t="s">
        <v>1859</v>
      </c>
      <c r="C201" s="238"/>
      <c r="D201" s="238"/>
      <c r="E201" s="424"/>
      <c r="F201" s="239" t="s">
        <v>1860</v>
      </c>
      <c r="G201" s="421"/>
      <c r="H201" s="237" t="s">
        <v>1859</v>
      </c>
      <c r="I201" s="238"/>
      <c r="J201" s="238"/>
      <c r="K201" s="424"/>
      <c r="L201" s="239" t="s">
        <v>1860</v>
      </c>
    </row>
    <row r="202" spans="1:12" ht="15.75" thickBot="1">
      <c r="A202" s="419" t="s">
        <v>2198</v>
      </c>
      <c r="B202" s="237" t="s">
        <v>1845</v>
      </c>
      <c r="C202" s="238"/>
      <c r="D202" s="238"/>
      <c r="E202" s="422" t="s">
        <v>2198</v>
      </c>
      <c r="F202" s="239" t="s">
        <v>1845</v>
      </c>
      <c r="G202" s="419" t="s">
        <v>2198</v>
      </c>
      <c r="H202" s="237" t="s">
        <v>1845</v>
      </c>
      <c r="I202" s="238"/>
      <c r="J202" s="238"/>
      <c r="K202" s="422" t="s">
        <v>2198</v>
      </c>
      <c r="L202" s="239" t="s">
        <v>1845</v>
      </c>
    </row>
    <row r="203" spans="1:12" ht="15.75" thickBot="1">
      <c r="A203" s="420"/>
      <c r="B203" s="237" t="s">
        <v>1847</v>
      </c>
      <c r="C203" s="238"/>
      <c r="D203" s="238"/>
      <c r="E203" s="423"/>
      <c r="F203" s="239" t="s">
        <v>1847</v>
      </c>
      <c r="G203" s="420"/>
      <c r="H203" s="237" t="s">
        <v>1847</v>
      </c>
      <c r="I203" s="238"/>
      <c r="J203" s="238"/>
      <c r="K203" s="423"/>
      <c r="L203" s="239" t="s">
        <v>1847</v>
      </c>
    </row>
    <row r="204" spans="1:12" ht="15.75" thickBot="1">
      <c r="A204" s="420"/>
      <c r="B204" s="237" t="s">
        <v>1848</v>
      </c>
      <c r="C204" s="238"/>
      <c r="D204" s="238"/>
      <c r="E204" s="423"/>
      <c r="F204" s="239" t="s">
        <v>1848</v>
      </c>
      <c r="G204" s="420"/>
      <c r="H204" s="237" t="s">
        <v>1848</v>
      </c>
      <c r="I204" s="238"/>
      <c r="J204" s="238"/>
      <c r="K204" s="423"/>
      <c r="L204" s="239" t="s">
        <v>1848</v>
      </c>
    </row>
    <row r="205" spans="1:12" ht="15.75" thickBot="1">
      <c r="A205" s="420"/>
      <c r="B205" s="237" t="s">
        <v>1849</v>
      </c>
      <c r="C205" s="238"/>
      <c r="D205" s="238"/>
      <c r="E205" s="423"/>
      <c r="F205" s="239" t="s">
        <v>1849</v>
      </c>
      <c r="G205" s="420"/>
      <c r="H205" s="237" t="s">
        <v>1849</v>
      </c>
      <c r="I205" s="238"/>
      <c r="J205" s="238"/>
      <c r="K205" s="423"/>
      <c r="L205" s="239" t="s">
        <v>1849</v>
      </c>
    </row>
    <row r="206" spans="1:12" ht="15.75" thickBot="1">
      <c r="A206" s="420"/>
      <c r="B206" s="237" t="s">
        <v>1850</v>
      </c>
      <c r="C206" s="238"/>
      <c r="D206" s="238"/>
      <c r="E206" s="423"/>
      <c r="F206" s="239" t="s">
        <v>1850</v>
      </c>
      <c r="G206" s="420"/>
      <c r="H206" s="237" t="s">
        <v>1850</v>
      </c>
      <c r="I206" s="238"/>
      <c r="J206" s="238"/>
      <c r="K206" s="423"/>
      <c r="L206" s="239" t="s">
        <v>1850</v>
      </c>
    </row>
    <row r="207" spans="1:12" ht="15.75" thickBot="1">
      <c r="A207" s="420"/>
      <c r="B207" s="237" t="s">
        <v>1851</v>
      </c>
      <c r="C207" s="238"/>
      <c r="D207" s="238"/>
      <c r="E207" s="423"/>
      <c r="F207" s="239" t="s">
        <v>1851</v>
      </c>
      <c r="G207" s="420"/>
      <c r="H207" s="237" t="s">
        <v>1851</v>
      </c>
      <c r="I207" s="238"/>
      <c r="J207" s="238"/>
      <c r="K207" s="423"/>
      <c r="L207" s="239" t="s">
        <v>1851</v>
      </c>
    </row>
    <row r="208" spans="1:12" ht="15.75" thickBot="1">
      <c r="A208" s="420"/>
      <c r="B208" s="237" t="s">
        <v>1852</v>
      </c>
      <c r="C208" s="238"/>
      <c r="D208" s="238"/>
      <c r="E208" s="423"/>
      <c r="F208" s="239" t="s">
        <v>1852</v>
      </c>
      <c r="G208" s="420"/>
      <c r="H208" s="237" t="s">
        <v>1852</v>
      </c>
      <c r="I208" s="238"/>
      <c r="J208" s="238"/>
      <c r="K208" s="423"/>
      <c r="L208" s="239" t="s">
        <v>1852</v>
      </c>
    </row>
    <row r="209" spans="1:12" ht="15.75" thickBot="1">
      <c r="A209" s="420"/>
      <c r="B209" s="237" t="s">
        <v>1853</v>
      </c>
      <c r="C209" s="238"/>
      <c r="D209" s="238"/>
      <c r="E209" s="423"/>
      <c r="F209" s="239" t="s">
        <v>1853</v>
      </c>
      <c r="G209" s="420"/>
      <c r="H209" s="237" t="s">
        <v>1853</v>
      </c>
      <c r="I209" s="238"/>
      <c r="J209" s="238"/>
      <c r="K209" s="423"/>
      <c r="L209" s="239" t="s">
        <v>1853</v>
      </c>
    </row>
    <row r="210" spans="1:12" ht="15.75" thickBot="1">
      <c r="A210" s="420"/>
      <c r="B210" s="237" t="s">
        <v>1854</v>
      </c>
      <c r="C210" s="238"/>
      <c r="D210" s="238"/>
      <c r="E210" s="423"/>
      <c r="F210" s="239" t="s">
        <v>1854</v>
      </c>
      <c r="G210" s="420"/>
      <c r="H210" s="237" t="s">
        <v>1854</v>
      </c>
      <c r="I210" s="238"/>
      <c r="J210" s="238"/>
      <c r="K210" s="423"/>
      <c r="L210" s="239" t="s">
        <v>1854</v>
      </c>
    </row>
    <row r="211" spans="1:12" ht="15.75" thickBot="1">
      <c r="A211" s="420"/>
      <c r="B211" s="237" t="s">
        <v>1855</v>
      </c>
      <c r="C211" s="238"/>
      <c r="D211" s="238"/>
      <c r="E211" s="423"/>
      <c r="F211" s="239" t="s">
        <v>1855</v>
      </c>
      <c r="G211" s="420"/>
      <c r="H211" s="237" t="s">
        <v>1855</v>
      </c>
      <c r="I211" s="238"/>
      <c r="J211" s="238"/>
      <c r="K211" s="423"/>
      <c r="L211" s="239" t="s">
        <v>1855</v>
      </c>
    </row>
    <row r="212" spans="1:12" ht="15.75" thickBot="1">
      <c r="A212" s="420"/>
      <c r="B212" s="237" t="s">
        <v>1856</v>
      </c>
      <c r="C212" s="238"/>
      <c r="D212" s="238"/>
      <c r="E212" s="423"/>
      <c r="F212" s="239" t="s">
        <v>1856</v>
      </c>
      <c r="G212" s="420"/>
      <c r="H212" s="237" t="s">
        <v>1856</v>
      </c>
      <c r="I212" s="238"/>
      <c r="J212" s="238"/>
      <c r="K212" s="423"/>
      <c r="L212" s="239" t="s">
        <v>1856</v>
      </c>
    </row>
    <row r="213" spans="1:12" ht="26.25" thickBot="1">
      <c r="A213" s="420"/>
      <c r="B213" s="237" t="s">
        <v>1857</v>
      </c>
      <c r="C213" s="238"/>
      <c r="D213" s="238"/>
      <c r="E213" s="423"/>
      <c r="F213" s="239" t="s">
        <v>1858</v>
      </c>
      <c r="G213" s="420"/>
      <c r="H213" s="237" t="s">
        <v>1857</v>
      </c>
      <c r="I213" s="238"/>
      <c r="J213" s="238"/>
      <c r="K213" s="423"/>
      <c r="L213" s="239" t="s">
        <v>1858</v>
      </c>
    </row>
    <row r="214" spans="1:12" ht="15.75" thickBot="1">
      <c r="A214" s="421"/>
      <c r="B214" s="237" t="s">
        <v>1859</v>
      </c>
      <c r="C214" s="238"/>
      <c r="D214" s="238"/>
      <c r="E214" s="424"/>
      <c r="F214" s="239" t="s">
        <v>1860</v>
      </c>
      <c r="G214" s="421"/>
      <c r="H214" s="237" t="s">
        <v>1859</v>
      </c>
      <c r="I214" s="238"/>
      <c r="J214" s="238"/>
      <c r="K214" s="424"/>
      <c r="L214" s="239" t="s">
        <v>1860</v>
      </c>
    </row>
    <row r="215" spans="1:12" ht="15.75" thickBot="1">
      <c r="A215" s="419" t="s">
        <v>2199</v>
      </c>
      <c r="B215" s="237" t="s">
        <v>1845</v>
      </c>
      <c r="C215" s="238"/>
      <c r="D215" s="238"/>
      <c r="E215" s="422" t="s">
        <v>2199</v>
      </c>
      <c r="F215" s="239" t="s">
        <v>1845</v>
      </c>
      <c r="G215" s="419" t="s">
        <v>2199</v>
      </c>
      <c r="H215" s="237" t="s">
        <v>1845</v>
      </c>
      <c r="I215" s="238"/>
      <c r="J215" s="238"/>
      <c r="K215" s="422" t="s">
        <v>2199</v>
      </c>
      <c r="L215" s="239" t="s">
        <v>1845</v>
      </c>
    </row>
    <row r="216" spans="1:12" ht="15.75" thickBot="1">
      <c r="A216" s="420"/>
      <c r="B216" s="237" t="s">
        <v>1847</v>
      </c>
      <c r="C216" s="238"/>
      <c r="D216" s="238"/>
      <c r="E216" s="423"/>
      <c r="F216" s="239" t="s">
        <v>1847</v>
      </c>
      <c r="G216" s="420"/>
      <c r="H216" s="237" t="s">
        <v>1847</v>
      </c>
      <c r="I216" s="238"/>
      <c r="J216" s="238"/>
      <c r="K216" s="423"/>
      <c r="L216" s="239" t="s">
        <v>1847</v>
      </c>
    </row>
    <row r="217" spans="1:12" ht="15.75" thickBot="1">
      <c r="A217" s="420"/>
      <c r="B217" s="237" t="s">
        <v>1848</v>
      </c>
      <c r="C217" s="238"/>
      <c r="D217" s="238"/>
      <c r="E217" s="423"/>
      <c r="F217" s="239" t="s">
        <v>1848</v>
      </c>
      <c r="G217" s="420"/>
      <c r="H217" s="237" t="s">
        <v>1848</v>
      </c>
      <c r="I217" s="238"/>
      <c r="J217" s="238"/>
      <c r="K217" s="423"/>
      <c r="L217" s="239" t="s">
        <v>1848</v>
      </c>
    </row>
    <row r="218" spans="1:12" ht="15.75" thickBot="1">
      <c r="A218" s="420"/>
      <c r="B218" s="237" t="s">
        <v>1849</v>
      </c>
      <c r="C218" s="238"/>
      <c r="D218" s="238"/>
      <c r="E218" s="423"/>
      <c r="F218" s="239" t="s">
        <v>1849</v>
      </c>
      <c r="G218" s="420"/>
      <c r="H218" s="237" t="s">
        <v>1849</v>
      </c>
      <c r="I218" s="238"/>
      <c r="J218" s="238"/>
      <c r="K218" s="423"/>
      <c r="L218" s="239" t="s">
        <v>1849</v>
      </c>
    </row>
    <row r="219" spans="1:12" ht="15.75" thickBot="1">
      <c r="A219" s="420"/>
      <c r="B219" s="237" t="s">
        <v>1850</v>
      </c>
      <c r="C219" s="238"/>
      <c r="D219" s="238"/>
      <c r="E219" s="423"/>
      <c r="F219" s="239" t="s">
        <v>1850</v>
      </c>
      <c r="G219" s="420"/>
      <c r="H219" s="237" t="s">
        <v>1850</v>
      </c>
      <c r="I219" s="238"/>
      <c r="J219" s="238"/>
      <c r="K219" s="423"/>
      <c r="L219" s="239" t="s">
        <v>1850</v>
      </c>
    </row>
    <row r="220" spans="1:12" ht="15.75" thickBot="1">
      <c r="A220" s="420"/>
      <c r="B220" s="237" t="s">
        <v>1851</v>
      </c>
      <c r="C220" s="238"/>
      <c r="D220" s="238"/>
      <c r="E220" s="423"/>
      <c r="F220" s="239" t="s">
        <v>1851</v>
      </c>
      <c r="G220" s="420"/>
      <c r="H220" s="237" t="s">
        <v>1851</v>
      </c>
      <c r="I220" s="238"/>
      <c r="J220" s="238"/>
      <c r="K220" s="423"/>
      <c r="L220" s="239" t="s">
        <v>1851</v>
      </c>
    </row>
    <row r="221" spans="1:12" ht="15.75" thickBot="1">
      <c r="A221" s="420"/>
      <c r="B221" s="237" t="s">
        <v>1852</v>
      </c>
      <c r="C221" s="238"/>
      <c r="D221" s="238"/>
      <c r="E221" s="423"/>
      <c r="F221" s="239" t="s">
        <v>1852</v>
      </c>
      <c r="G221" s="420"/>
      <c r="H221" s="237" t="s">
        <v>1852</v>
      </c>
      <c r="I221" s="238"/>
      <c r="J221" s="238"/>
      <c r="K221" s="423"/>
      <c r="L221" s="239" t="s">
        <v>1852</v>
      </c>
    </row>
    <row r="222" spans="1:12" ht="15.75" thickBot="1">
      <c r="A222" s="420"/>
      <c r="B222" s="237" t="s">
        <v>1853</v>
      </c>
      <c r="C222" s="238"/>
      <c r="D222" s="238"/>
      <c r="E222" s="423"/>
      <c r="F222" s="239" t="s">
        <v>1853</v>
      </c>
      <c r="G222" s="420"/>
      <c r="H222" s="237" t="s">
        <v>1853</v>
      </c>
      <c r="I222" s="238"/>
      <c r="J222" s="238"/>
      <c r="K222" s="423"/>
      <c r="L222" s="239" t="s">
        <v>1853</v>
      </c>
    </row>
    <row r="223" spans="1:12" ht="15.75" thickBot="1">
      <c r="A223" s="420"/>
      <c r="B223" s="237" t="s">
        <v>1854</v>
      </c>
      <c r="C223" s="238"/>
      <c r="D223" s="238"/>
      <c r="E223" s="423"/>
      <c r="F223" s="239" t="s">
        <v>1854</v>
      </c>
      <c r="G223" s="420"/>
      <c r="H223" s="237" t="s">
        <v>1854</v>
      </c>
      <c r="I223" s="238"/>
      <c r="J223" s="238"/>
      <c r="K223" s="423"/>
      <c r="L223" s="239" t="s">
        <v>1854</v>
      </c>
    </row>
    <row r="224" spans="1:12" ht="15.75" thickBot="1">
      <c r="A224" s="420"/>
      <c r="B224" s="237" t="s">
        <v>1855</v>
      </c>
      <c r="C224" s="238"/>
      <c r="D224" s="238"/>
      <c r="E224" s="423"/>
      <c r="F224" s="239" t="s">
        <v>1855</v>
      </c>
      <c r="G224" s="420"/>
      <c r="H224" s="237" t="s">
        <v>1855</v>
      </c>
      <c r="I224" s="238"/>
      <c r="J224" s="238"/>
      <c r="K224" s="423"/>
      <c r="L224" s="239" t="s">
        <v>1855</v>
      </c>
    </row>
    <row r="225" spans="1:12" ht="15.75" thickBot="1">
      <c r="A225" s="420"/>
      <c r="B225" s="237" t="s">
        <v>1856</v>
      </c>
      <c r="C225" s="238"/>
      <c r="D225" s="238"/>
      <c r="E225" s="423"/>
      <c r="F225" s="239" t="s">
        <v>1856</v>
      </c>
      <c r="G225" s="420"/>
      <c r="H225" s="237" t="s">
        <v>1856</v>
      </c>
      <c r="I225" s="238"/>
      <c r="J225" s="238"/>
      <c r="K225" s="423"/>
      <c r="L225" s="239" t="s">
        <v>1856</v>
      </c>
    </row>
    <row r="226" spans="1:12" ht="26.25" thickBot="1">
      <c r="A226" s="420"/>
      <c r="B226" s="237" t="s">
        <v>1857</v>
      </c>
      <c r="C226" s="238"/>
      <c r="D226" s="238"/>
      <c r="E226" s="423"/>
      <c r="F226" s="239" t="s">
        <v>1858</v>
      </c>
      <c r="G226" s="420"/>
      <c r="H226" s="237" t="s">
        <v>1857</v>
      </c>
      <c r="I226" s="238"/>
      <c r="J226" s="238"/>
      <c r="K226" s="423"/>
      <c r="L226" s="239" t="s">
        <v>1858</v>
      </c>
    </row>
    <row r="227" spans="1:12" ht="15.75" thickBot="1">
      <c r="A227" s="421"/>
      <c r="B227" s="237" t="s">
        <v>1859</v>
      </c>
      <c r="C227" s="238"/>
      <c r="D227" s="238"/>
      <c r="E227" s="424"/>
      <c r="F227" s="239" t="s">
        <v>1860</v>
      </c>
      <c r="G227" s="421"/>
      <c r="H227" s="237" t="s">
        <v>1859</v>
      </c>
      <c r="I227" s="238"/>
      <c r="J227" s="238"/>
      <c r="K227" s="424"/>
      <c r="L227" s="239" t="s">
        <v>1860</v>
      </c>
    </row>
    <row r="228" spans="1:12" ht="15.75" thickBot="1">
      <c r="A228" s="419" t="s">
        <v>2200</v>
      </c>
      <c r="B228" s="237" t="s">
        <v>1845</v>
      </c>
      <c r="C228" s="238"/>
      <c r="D228" s="238"/>
      <c r="E228" s="422" t="s">
        <v>2200</v>
      </c>
      <c r="F228" s="239" t="s">
        <v>1845</v>
      </c>
      <c r="G228" s="419" t="s">
        <v>2200</v>
      </c>
      <c r="H228" s="237" t="s">
        <v>1845</v>
      </c>
      <c r="I228" s="238"/>
      <c r="J228" s="238"/>
      <c r="K228" s="422" t="s">
        <v>2200</v>
      </c>
      <c r="L228" s="239" t="s">
        <v>1845</v>
      </c>
    </row>
    <row r="229" spans="1:12" ht="15.75" thickBot="1">
      <c r="A229" s="420"/>
      <c r="B229" s="237" t="s">
        <v>1847</v>
      </c>
      <c r="C229" s="238"/>
      <c r="D229" s="238"/>
      <c r="E229" s="423"/>
      <c r="F229" s="239" t="s">
        <v>1847</v>
      </c>
      <c r="G229" s="420"/>
      <c r="H229" s="237" t="s">
        <v>1847</v>
      </c>
      <c r="I229" s="238"/>
      <c r="J229" s="238"/>
      <c r="K229" s="423"/>
      <c r="L229" s="239" t="s">
        <v>1847</v>
      </c>
    </row>
    <row r="230" spans="1:12" ht="15.75" thickBot="1">
      <c r="A230" s="420"/>
      <c r="B230" s="237" t="s">
        <v>1848</v>
      </c>
      <c r="C230" s="238"/>
      <c r="D230" s="238"/>
      <c r="E230" s="423"/>
      <c r="F230" s="239" t="s">
        <v>1848</v>
      </c>
      <c r="G230" s="420"/>
      <c r="H230" s="237" t="s">
        <v>1848</v>
      </c>
      <c r="I230" s="238"/>
      <c r="J230" s="238"/>
      <c r="K230" s="423"/>
      <c r="L230" s="239" t="s">
        <v>1848</v>
      </c>
    </row>
    <row r="231" spans="1:12" ht="15.75" thickBot="1">
      <c r="A231" s="420"/>
      <c r="B231" s="237" t="s">
        <v>1849</v>
      </c>
      <c r="C231" s="238"/>
      <c r="D231" s="238"/>
      <c r="E231" s="423"/>
      <c r="F231" s="239" t="s">
        <v>1849</v>
      </c>
      <c r="G231" s="420"/>
      <c r="H231" s="237" t="s">
        <v>1849</v>
      </c>
      <c r="I231" s="238"/>
      <c r="J231" s="238"/>
      <c r="K231" s="423"/>
      <c r="L231" s="239" t="s">
        <v>1849</v>
      </c>
    </row>
    <row r="232" spans="1:12" ht="15.75" thickBot="1">
      <c r="A232" s="420"/>
      <c r="B232" s="237" t="s">
        <v>1850</v>
      </c>
      <c r="C232" s="238"/>
      <c r="D232" s="238"/>
      <c r="E232" s="423"/>
      <c r="F232" s="239" t="s">
        <v>1850</v>
      </c>
      <c r="G232" s="420"/>
      <c r="H232" s="237" t="s">
        <v>1850</v>
      </c>
      <c r="I232" s="238"/>
      <c r="J232" s="238"/>
      <c r="K232" s="423"/>
      <c r="L232" s="239" t="s">
        <v>1850</v>
      </c>
    </row>
    <row r="233" spans="1:12" ht="15.75" thickBot="1">
      <c r="A233" s="420"/>
      <c r="B233" s="237" t="s">
        <v>1851</v>
      </c>
      <c r="C233" s="238"/>
      <c r="D233" s="238"/>
      <c r="E233" s="423"/>
      <c r="F233" s="239" t="s">
        <v>1851</v>
      </c>
      <c r="G233" s="420"/>
      <c r="H233" s="237" t="s">
        <v>1851</v>
      </c>
      <c r="I233" s="238"/>
      <c r="J233" s="238"/>
      <c r="K233" s="423"/>
      <c r="L233" s="239" t="s">
        <v>1851</v>
      </c>
    </row>
    <row r="234" spans="1:12" ht="15.75" thickBot="1">
      <c r="A234" s="420"/>
      <c r="B234" s="237" t="s">
        <v>1852</v>
      </c>
      <c r="C234" s="238"/>
      <c r="D234" s="238"/>
      <c r="E234" s="423"/>
      <c r="F234" s="239" t="s">
        <v>1852</v>
      </c>
      <c r="G234" s="420"/>
      <c r="H234" s="237" t="s">
        <v>1852</v>
      </c>
      <c r="I234" s="238"/>
      <c r="J234" s="238"/>
      <c r="K234" s="423"/>
      <c r="L234" s="239" t="s">
        <v>1852</v>
      </c>
    </row>
    <row r="235" spans="1:12" ht="15.75" thickBot="1">
      <c r="A235" s="420"/>
      <c r="B235" s="237" t="s">
        <v>1853</v>
      </c>
      <c r="C235" s="238"/>
      <c r="D235" s="238"/>
      <c r="E235" s="423"/>
      <c r="F235" s="239" t="s">
        <v>1853</v>
      </c>
      <c r="G235" s="420"/>
      <c r="H235" s="237" t="s">
        <v>1853</v>
      </c>
      <c r="I235" s="238"/>
      <c r="J235" s="238"/>
      <c r="K235" s="423"/>
      <c r="L235" s="239" t="s">
        <v>1853</v>
      </c>
    </row>
    <row r="236" spans="1:12" ht="15.75" thickBot="1">
      <c r="A236" s="420"/>
      <c r="B236" s="237" t="s">
        <v>1854</v>
      </c>
      <c r="C236" s="238"/>
      <c r="D236" s="238"/>
      <c r="E236" s="423"/>
      <c r="F236" s="239" t="s">
        <v>1854</v>
      </c>
      <c r="G236" s="420"/>
      <c r="H236" s="237" t="s">
        <v>1854</v>
      </c>
      <c r="I236" s="238"/>
      <c r="J236" s="238"/>
      <c r="K236" s="423"/>
      <c r="L236" s="239" t="s">
        <v>1854</v>
      </c>
    </row>
    <row r="237" spans="1:12" ht="15.75" thickBot="1">
      <c r="A237" s="420"/>
      <c r="B237" s="237" t="s">
        <v>1855</v>
      </c>
      <c r="C237" s="238"/>
      <c r="D237" s="238"/>
      <c r="E237" s="423"/>
      <c r="F237" s="239" t="s">
        <v>1855</v>
      </c>
      <c r="G237" s="420"/>
      <c r="H237" s="237" t="s">
        <v>1855</v>
      </c>
      <c r="I237" s="238"/>
      <c r="J237" s="238"/>
      <c r="K237" s="423"/>
      <c r="L237" s="239" t="s">
        <v>1855</v>
      </c>
    </row>
    <row r="238" spans="1:12" ht="15.75" thickBot="1">
      <c r="A238" s="420"/>
      <c r="B238" s="237" t="s">
        <v>1856</v>
      </c>
      <c r="C238" s="238"/>
      <c r="D238" s="238"/>
      <c r="E238" s="423"/>
      <c r="F238" s="239" t="s">
        <v>1856</v>
      </c>
      <c r="G238" s="420"/>
      <c r="H238" s="237" t="s">
        <v>1856</v>
      </c>
      <c r="I238" s="238"/>
      <c r="J238" s="238"/>
      <c r="K238" s="423"/>
      <c r="L238" s="239" t="s">
        <v>1856</v>
      </c>
    </row>
    <row r="239" spans="1:12" ht="26.25" thickBot="1">
      <c r="A239" s="420"/>
      <c r="B239" s="237" t="s">
        <v>1857</v>
      </c>
      <c r="C239" s="238"/>
      <c r="D239" s="238"/>
      <c r="E239" s="423"/>
      <c r="F239" s="239" t="s">
        <v>1858</v>
      </c>
      <c r="G239" s="420"/>
      <c r="H239" s="237" t="s">
        <v>1857</v>
      </c>
      <c r="I239" s="238"/>
      <c r="J239" s="238"/>
      <c r="K239" s="423"/>
      <c r="L239" s="239" t="s">
        <v>1858</v>
      </c>
    </row>
    <row r="240" spans="1:12" ht="15.75" thickBot="1">
      <c r="A240" s="421"/>
      <c r="B240" s="237" t="s">
        <v>1859</v>
      </c>
      <c r="C240" s="238"/>
      <c r="D240" s="238"/>
      <c r="E240" s="424"/>
      <c r="F240" s="239" t="s">
        <v>1860</v>
      </c>
      <c r="G240" s="421"/>
      <c r="H240" s="237" t="s">
        <v>1859</v>
      </c>
      <c r="I240" s="238"/>
      <c r="J240" s="238"/>
      <c r="K240" s="424"/>
      <c r="L240" s="239" t="s">
        <v>1860</v>
      </c>
    </row>
    <row r="241" spans="1:12" ht="15.75" thickBot="1">
      <c r="A241" s="419" t="s">
        <v>2201</v>
      </c>
      <c r="B241" s="237" t="s">
        <v>1845</v>
      </c>
      <c r="C241" s="238"/>
      <c r="D241" s="238"/>
      <c r="E241" s="422" t="s">
        <v>2201</v>
      </c>
      <c r="F241" s="239" t="s">
        <v>1845</v>
      </c>
      <c r="G241" s="419" t="s">
        <v>2201</v>
      </c>
      <c r="H241" s="237" t="s">
        <v>1845</v>
      </c>
      <c r="I241" s="238"/>
      <c r="J241" s="238"/>
      <c r="K241" s="422" t="s">
        <v>2201</v>
      </c>
      <c r="L241" s="239" t="s">
        <v>1845</v>
      </c>
    </row>
    <row r="242" spans="1:12" ht="15.75" thickBot="1">
      <c r="A242" s="420"/>
      <c r="B242" s="237" t="s">
        <v>1847</v>
      </c>
      <c r="C242" s="238"/>
      <c r="D242" s="238"/>
      <c r="E242" s="423"/>
      <c r="F242" s="239" t="s">
        <v>1847</v>
      </c>
      <c r="G242" s="420"/>
      <c r="H242" s="237" t="s">
        <v>1847</v>
      </c>
      <c r="I242" s="238"/>
      <c r="J242" s="238"/>
      <c r="K242" s="423"/>
      <c r="L242" s="239" t="s">
        <v>1847</v>
      </c>
    </row>
    <row r="243" spans="1:12" ht="15.75" thickBot="1">
      <c r="A243" s="420"/>
      <c r="B243" s="237" t="s">
        <v>1848</v>
      </c>
      <c r="C243" s="238"/>
      <c r="D243" s="238"/>
      <c r="E243" s="423"/>
      <c r="F243" s="239" t="s">
        <v>1848</v>
      </c>
      <c r="G243" s="420"/>
      <c r="H243" s="237" t="s">
        <v>1848</v>
      </c>
      <c r="I243" s="238"/>
      <c r="J243" s="238"/>
      <c r="K243" s="423"/>
      <c r="L243" s="239" t="s">
        <v>1848</v>
      </c>
    </row>
    <row r="244" spans="1:12" ht="15.75" thickBot="1">
      <c r="A244" s="420"/>
      <c r="B244" s="237" t="s">
        <v>1849</v>
      </c>
      <c r="C244" s="238"/>
      <c r="D244" s="238"/>
      <c r="E244" s="423"/>
      <c r="F244" s="239" t="s">
        <v>1849</v>
      </c>
      <c r="G244" s="420"/>
      <c r="H244" s="237" t="s">
        <v>1849</v>
      </c>
      <c r="I244" s="238"/>
      <c r="J244" s="238"/>
      <c r="K244" s="423"/>
      <c r="L244" s="239" t="s">
        <v>1849</v>
      </c>
    </row>
    <row r="245" spans="1:12" ht="15.75" thickBot="1">
      <c r="A245" s="420"/>
      <c r="B245" s="237" t="s">
        <v>1850</v>
      </c>
      <c r="C245" s="238"/>
      <c r="D245" s="238"/>
      <c r="E245" s="423"/>
      <c r="F245" s="239" t="s">
        <v>1850</v>
      </c>
      <c r="G245" s="420"/>
      <c r="H245" s="237" t="s">
        <v>1850</v>
      </c>
      <c r="I245" s="238"/>
      <c r="J245" s="238"/>
      <c r="K245" s="423"/>
      <c r="L245" s="239" t="s">
        <v>1850</v>
      </c>
    </row>
    <row r="246" spans="1:12" ht="15.75" thickBot="1">
      <c r="A246" s="420"/>
      <c r="B246" s="237" t="s">
        <v>1851</v>
      </c>
      <c r="C246" s="238"/>
      <c r="D246" s="238"/>
      <c r="E246" s="423"/>
      <c r="F246" s="239" t="s">
        <v>1851</v>
      </c>
      <c r="G246" s="420"/>
      <c r="H246" s="237" t="s">
        <v>1851</v>
      </c>
      <c r="I246" s="238"/>
      <c r="J246" s="238"/>
      <c r="K246" s="423"/>
      <c r="L246" s="239" t="s">
        <v>1851</v>
      </c>
    </row>
    <row r="247" spans="1:12" ht="15.75" thickBot="1">
      <c r="A247" s="420"/>
      <c r="B247" s="237" t="s">
        <v>1852</v>
      </c>
      <c r="C247" s="238"/>
      <c r="D247" s="238"/>
      <c r="E247" s="423"/>
      <c r="F247" s="239" t="s">
        <v>1852</v>
      </c>
      <c r="G247" s="420"/>
      <c r="H247" s="237" t="s">
        <v>1852</v>
      </c>
      <c r="I247" s="238"/>
      <c r="J247" s="238"/>
      <c r="K247" s="423"/>
      <c r="L247" s="239" t="s">
        <v>1852</v>
      </c>
    </row>
    <row r="248" spans="1:12" ht="15.75" thickBot="1">
      <c r="A248" s="420"/>
      <c r="B248" s="237" t="s">
        <v>1853</v>
      </c>
      <c r="C248" s="238"/>
      <c r="D248" s="238"/>
      <c r="E248" s="423"/>
      <c r="F248" s="239" t="s">
        <v>1853</v>
      </c>
      <c r="G248" s="420"/>
      <c r="H248" s="237" t="s">
        <v>1853</v>
      </c>
      <c r="I248" s="238"/>
      <c r="J248" s="238"/>
      <c r="K248" s="423"/>
      <c r="L248" s="239" t="s">
        <v>1853</v>
      </c>
    </row>
    <row r="249" spans="1:12" ht="15.75" thickBot="1">
      <c r="A249" s="420"/>
      <c r="B249" s="237" t="s">
        <v>1854</v>
      </c>
      <c r="C249" s="238"/>
      <c r="D249" s="238"/>
      <c r="E249" s="423"/>
      <c r="F249" s="239" t="s">
        <v>1854</v>
      </c>
      <c r="G249" s="420"/>
      <c r="H249" s="237" t="s">
        <v>1854</v>
      </c>
      <c r="I249" s="238"/>
      <c r="J249" s="238"/>
      <c r="K249" s="423"/>
      <c r="L249" s="239" t="s">
        <v>1854</v>
      </c>
    </row>
    <row r="250" spans="1:12" ht="15.75" thickBot="1">
      <c r="A250" s="420"/>
      <c r="B250" s="237" t="s">
        <v>1855</v>
      </c>
      <c r="C250" s="238"/>
      <c r="D250" s="238"/>
      <c r="E250" s="423"/>
      <c r="F250" s="239" t="s">
        <v>1855</v>
      </c>
      <c r="G250" s="420"/>
      <c r="H250" s="237" t="s">
        <v>1855</v>
      </c>
      <c r="I250" s="238"/>
      <c r="J250" s="238"/>
      <c r="K250" s="423"/>
      <c r="L250" s="239" t="s">
        <v>1855</v>
      </c>
    </row>
    <row r="251" spans="1:12" ht="15.75" thickBot="1">
      <c r="A251" s="420"/>
      <c r="B251" s="237" t="s">
        <v>1856</v>
      </c>
      <c r="C251" s="238"/>
      <c r="D251" s="238"/>
      <c r="E251" s="423"/>
      <c r="F251" s="239" t="s">
        <v>1856</v>
      </c>
      <c r="G251" s="420"/>
      <c r="H251" s="237" t="s">
        <v>1856</v>
      </c>
      <c r="I251" s="238"/>
      <c r="J251" s="238"/>
      <c r="K251" s="423"/>
      <c r="L251" s="239" t="s">
        <v>1856</v>
      </c>
    </row>
    <row r="252" spans="1:12" ht="26.25" thickBot="1">
      <c r="A252" s="420"/>
      <c r="B252" s="237" t="s">
        <v>1857</v>
      </c>
      <c r="C252" s="238"/>
      <c r="D252" s="238"/>
      <c r="E252" s="423"/>
      <c r="F252" s="239" t="s">
        <v>1858</v>
      </c>
      <c r="G252" s="420"/>
      <c r="H252" s="237" t="s">
        <v>1857</v>
      </c>
      <c r="I252" s="238"/>
      <c r="J252" s="238"/>
      <c r="K252" s="423"/>
      <c r="L252" s="239" t="s">
        <v>1858</v>
      </c>
    </row>
    <row r="253" spans="1:12" ht="15.75" thickBot="1">
      <c r="A253" s="421"/>
      <c r="B253" s="237" t="s">
        <v>1859</v>
      </c>
      <c r="C253" s="238"/>
      <c r="D253" s="238"/>
      <c r="E253" s="424"/>
      <c r="F253" s="239" t="s">
        <v>1860</v>
      </c>
      <c r="G253" s="421"/>
      <c r="H253" s="237" t="s">
        <v>1859</v>
      </c>
      <c r="I253" s="238"/>
      <c r="J253" s="238"/>
      <c r="K253" s="424"/>
      <c r="L253" s="239" t="s">
        <v>1860</v>
      </c>
    </row>
    <row r="254" spans="1:12" ht="15.75" thickBot="1">
      <c r="A254" s="419" t="s">
        <v>2202</v>
      </c>
      <c r="B254" s="237" t="s">
        <v>1845</v>
      </c>
      <c r="C254" s="238"/>
      <c r="D254" s="238"/>
      <c r="E254" s="422" t="s">
        <v>2202</v>
      </c>
      <c r="F254" s="239" t="s">
        <v>1845</v>
      </c>
      <c r="G254" s="419" t="s">
        <v>2202</v>
      </c>
      <c r="H254" s="237" t="s">
        <v>1845</v>
      </c>
      <c r="I254" s="238"/>
      <c r="J254" s="238"/>
      <c r="K254" s="422" t="s">
        <v>2202</v>
      </c>
      <c r="L254" s="239" t="s">
        <v>1845</v>
      </c>
    </row>
    <row r="255" spans="1:12" ht="15.75" thickBot="1">
      <c r="A255" s="420"/>
      <c r="B255" s="237" t="s">
        <v>1847</v>
      </c>
      <c r="C255" s="238"/>
      <c r="D255" s="238"/>
      <c r="E255" s="423"/>
      <c r="F255" s="239" t="s">
        <v>1847</v>
      </c>
      <c r="G255" s="420"/>
      <c r="H255" s="237" t="s">
        <v>1847</v>
      </c>
      <c r="I255" s="238"/>
      <c r="J255" s="238"/>
      <c r="K255" s="423"/>
      <c r="L255" s="239" t="s">
        <v>1847</v>
      </c>
    </row>
    <row r="256" spans="1:12" ht="15.75" thickBot="1">
      <c r="A256" s="420"/>
      <c r="B256" s="237" t="s">
        <v>1848</v>
      </c>
      <c r="C256" s="238"/>
      <c r="D256" s="238"/>
      <c r="E256" s="423"/>
      <c r="F256" s="239" t="s">
        <v>1848</v>
      </c>
      <c r="G256" s="420"/>
      <c r="H256" s="237" t="s">
        <v>1848</v>
      </c>
      <c r="I256" s="238"/>
      <c r="J256" s="238"/>
      <c r="K256" s="423"/>
      <c r="L256" s="239" t="s">
        <v>1848</v>
      </c>
    </row>
    <row r="257" spans="1:12" ht="15.75" thickBot="1">
      <c r="A257" s="420"/>
      <c r="B257" s="237" t="s">
        <v>1849</v>
      </c>
      <c r="C257" s="238"/>
      <c r="D257" s="238"/>
      <c r="E257" s="423"/>
      <c r="F257" s="239" t="s">
        <v>1849</v>
      </c>
      <c r="G257" s="420"/>
      <c r="H257" s="237" t="s">
        <v>1849</v>
      </c>
      <c r="I257" s="238"/>
      <c r="J257" s="238"/>
      <c r="K257" s="423"/>
      <c r="L257" s="239" t="s">
        <v>1849</v>
      </c>
    </row>
    <row r="258" spans="1:12" ht="15.75" thickBot="1">
      <c r="A258" s="420"/>
      <c r="B258" s="237" t="s">
        <v>1850</v>
      </c>
      <c r="C258" s="238"/>
      <c r="D258" s="238"/>
      <c r="E258" s="423"/>
      <c r="F258" s="239" t="s">
        <v>1850</v>
      </c>
      <c r="G258" s="420"/>
      <c r="H258" s="237" t="s">
        <v>1850</v>
      </c>
      <c r="I258" s="238"/>
      <c r="J258" s="238"/>
      <c r="K258" s="423"/>
      <c r="L258" s="239" t="s">
        <v>1850</v>
      </c>
    </row>
    <row r="259" spans="1:12" ht="15.75" thickBot="1">
      <c r="A259" s="420"/>
      <c r="B259" s="237" t="s">
        <v>1851</v>
      </c>
      <c r="C259" s="238"/>
      <c r="D259" s="238"/>
      <c r="E259" s="423"/>
      <c r="F259" s="239" t="s">
        <v>1851</v>
      </c>
      <c r="G259" s="420"/>
      <c r="H259" s="237" t="s">
        <v>1851</v>
      </c>
      <c r="I259" s="238"/>
      <c r="J259" s="238"/>
      <c r="K259" s="423"/>
      <c r="L259" s="239" t="s">
        <v>1851</v>
      </c>
    </row>
    <row r="260" spans="1:12" ht="15.75" thickBot="1">
      <c r="A260" s="420"/>
      <c r="B260" s="237" t="s">
        <v>1852</v>
      </c>
      <c r="C260" s="238"/>
      <c r="D260" s="238"/>
      <c r="E260" s="423"/>
      <c r="F260" s="239" t="s">
        <v>1852</v>
      </c>
      <c r="G260" s="420"/>
      <c r="H260" s="237" t="s">
        <v>1852</v>
      </c>
      <c r="I260" s="238"/>
      <c r="J260" s="238"/>
      <c r="K260" s="423"/>
      <c r="L260" s="239" t="s">
        <v>1852</v>
      </c>
    </row>
    <row r="261" spans="1:12" ht="15.75" thickBot="1">
      <c r="A261" s="420"/>
      <c r="B261" s="237" t="s">
        <v>1853</v>
      </c>
      <c r="C261" s="238"/>
      <c r="D261" s="238"/>
      <c r="E261" s="423"/>
      <c r="F261" s="239" t="s">
        <v>1853</v>
      </c>
      <c r="G261" s="420"/>
      <c r="H261" s="237" t="s">
        <v>1853</v>
      </c>
      <c r="I261" s="238"/>
      <c r="J261" s="238"/>
      <c r="K261" s="423"/>
      <c r="L261" s="239" t="s">
        <v>1853</v>
      </c>
    </row>
    <row r="262" spans="1:12" ht="15.75" thickBot="1">
      <c r="A262" s="420"/>
      <c r="B262" s="237" t="s">
        <v>1854</v>
      </c>
      <c r="C262" s="238"/>
      <c r="D262" s="238"/>
      <c r="E262" s="423"/>
      <c r="F262" s="239" t="s">
        <v>1854</v>
      </c>
      <c r="G262" s="420"/>
      <c r="H262" s="237" t="s">
        <v>1854</v>
      </c>
      <c r="I262" s="238"/>
      <c r="J262" s="238"/>
      <c r="K262" s="423"/>
      <c r="L262" s="239" t="s">
        <v>1854</v>
      </c>
    </row>
    <row r="263" spans="1:12" ht="15.75" thickBot="1">
      <c r="A263" s="420"/>
      <c r="B263" s="237" t="s">
        <v>1855</v>
      </c>
      <c r="C263" s="238"/>
      <c r="D263" s="238"/>
      <c r="E263" s="423"/>
      <c r="F263" s="239" t="s">
        <v>1855</v>
      </c>
      <c r="G263" s="420"/>
      <c r="H263" s="237" t="s">
        <v>1855</v>
      </c>
      <c r="I263" s="238"/>
      <c r="J263" s="238"/>
      <c r="K263" s="423"/>
      <c r="L263" s="239" t="s">
        <v>1855</v>
      </c>
    </row>
    <row r="264" spans="1:12" ht="15.75" thickBot="1">
      <c r="A264" s="420"/>
      <c r="B264" s="237" t="s">
        <v>1856</v>
      </c>
      <c r="C264" s="238"/>
      <c r="D264" s="238"/>
      <c r="E264" s="423"/>
      <c r="F264" s="239" t="s">
        <v>1856</v>
      </c>
      <c r="G264" s="420"/>
      <c r="H264" s="237" t="s">
        <v>1856</v>
      </c>
      <c r="I264" s="238"/>
      <c r="J264" s="238"/>
      <c r="K264" s="423"/>
      <c r="L264" s="239" t="s">
        <v>1856</v>
      </c>
    </row>
    <row r="265" spans="1:12" ht="26.25" thickBot="1">
      <c r="A265" s="420"/>
      <c r="B265" s="237" t="s">
        <v>1857</v>
      </c>
      <c r="C265" s="238"/>
      <c r="D265" s="238"/>
      <c r="E265" s="423"/>
      <c r="F265" s="239" t="s">
        <v>1858</v>
      </c>
      <c r="G265" s="420"/>
      <c r="H265" s="237" t="s">
        <v>1857</v>
      </c>
      <c r="I265" s="238"/>
      <c r="J265" s="238"/>
      <c r="K265" s="423"/>
      <c r="L265" s="239" t="s">
        <v>1858</v>
      </c>
    </row>
    <row r="266" spans="1:12" ht="15.75" thickBot="1">
      <c r="A266" s="421"/>
      <c r="B266" s="237" t="s">
        <v>1859</v>
      </c>
      <c r="C266" s="238"/>
      <c r="D266" s="238"/>
      <c r="E266" s="424"/>
      <c r="F266" s="239" t="s">
        <v>1860</v>
      </c>
      <c r="G266" s="421"/>
      <c r="H266" s="237" t="s">
        <v>1859</v>
      </c>
      <c r="I266" s="238"/>
      <c r="J266" s="238"/>
      <c r="K266" s="424"/>
      <c r="L266" s="239" t="s">
        <v>1860</v>
      </c>
    </row>
    <row r="267" spans="1:12" ht="15.75" thickBot="1">
      <c r="A267" s="419" t="s">
        <v>2203</v>
      </c>
      <c r="B267" s="237" t="s">
        <v>1845</v>
      </c>
      <c r="C267" s="238"/>
      <c r="D267" s="238"/>
      <c r="E267" s="422" t="s">
        <v>2204</v>
      </c>
      <c r="F267" s="239" t="s">
        <v>1845</v>
      </c>
      <c r="G267" s="419" t="s">
        <v>2203</v>
      </c>
      <c r="H267" s="237" t="s">
        <v>1845</v>
      </c>
      <c r="I267" s="238"/>
      <c r="J267" s="238"/>
      <c r="K267" s="422" t="s">
        <v>2204</v>
      </c>
      <c r="L267" s="239" t="s">
        <v>1845</v>
      </c>
    </row>
    <row r="268" spans="1:12" ht="15.75" thickBot="1">
      <c r="A268" s="420"/>
      <c r="B268" s="237" t="s">
        <v>1847</v>
      </c>
      <c r="C268" s="238"/>
      <c r="D268" s="238"/>
      <c r="E268" s="423"/>
      <c r="F268" s="239" t="s">
        <v>1847</v>
      </c>
      <c r="G268" s="420"/>
      <c r="H268" s="237" t="s">
        <v>1847</v>
      </c>
      <c r="I268" s="238"/>
      <c r="J268" s="238"/>
      <c r="K268" s="423"/>
      <c r="L268" s="239" t="s">
        <v>1847</v>
      </c>
    </row>
    <row r="269" spans="1:12" ht="15.75" thickBot="1">
      <c r="A269" s="420"/>
      <c r="B269" s="237" t="s">
        <v>1848</v>
      </c>
      <c r="C269" s="238"/>
      <c r="D269" s="238"/>
      <c r="E269" s="423"/>
      <c r="F269" s="239" t="s">
        <v>1848</v>
      </c>
      <c r="G269" s="420"/>
      <c r="H269" s="237" t="s">
        <v>1848</v>
      </c>
      <c r="I269" s="238"/>
      <c r="J269" s="238"/>
      <c r="K269" s="423"/>
      <c r="L269" s="239" t="s">
        <v>1848</v>
      </c>
    </row>
    <row r="270" spans="1:12" ht="15.75" thickBot="1">
      <c r="A270" s="420"/>
      <c r="B270" s="237" t="s">
        <v>1849</v>
      </c>
      <c r="C270" s="238"/>
      <c r="D270" s="238"/>
      <c r="E270" s="423"/>
      <c r="F270" s="239" t="s">
        <v>1849</v>
      </c>
      <c r="G270" s="420"/>
      <c r="H270" s="237" t="s">
        <v>1849</v>
      </c>
      <c r="I270" s="238"/>
      <c r="J270" s="238"/>
      <c r="K270" s="423"/>
      <c r="L270" s="239" t="s">
        <v>1849</v>
      </c>
    </row>
    <row r="271" spans="1:12" ht="15.75" thickBot="1">
      <c r="A271" s="420"/>
      <c r="B271" s="237" t="s">
        <v>1850</v>
      </c>
      <c r="C271" s="238"/>
      <c r="D271" s="238"/>
      <c r="E271" s="423"/>
      <c r="F271" s="239" t="s">
        <v>1850</v>
      </c>
      <c r="G271" s="420"/>
      <c r="H271" s="237" t="s">
        <v>1850</v>
      </c>
      <c r="I271" s="238"/>
      <c r="J271" s="238"/>
      <c r="K271" s="423"/>
      <c r="L271" s="239" t="s">
        <v>1850</v>
      </c>
    </row>
    <row r="272" spans="1:12" ht="15.75" thickBot="1">
      <c r="A272" s="420"/>
      <c r="B272" s="237" t="s">
        <v>1851</v>
      </c>
      <c r="C272" s="238"/>
      <c r="D272" s="238"/>
      <c r="E272" s="423"/>
      <c r="F272" s="239" t="s">
        <v>1851</v>
      </c>
      <c r="G272" s="420"/>
      <c r="H272" s="237" t="s">
        <v>1851</v>
      </c>
      <c r="I272" s="238"/>
      <c r="J272" s="238"/>
      <c r="K272" s="423"/>
      <c r="L272" s="239" t="s">
        <v>1851</v>
      </c>
    </row>
    <row r="273" spans="1:12" ht="15.75" thickBot="1">
      <c r="A273" s="420"/>
      <c r="B273" s="237" t="s">
        <v>1852</v>
      </c>
      <c r="C273" s="238"/>
      <c r="D273" s="238"/>
      <c r="E273" s="423"/>
      <c r="F273" s="239" t="s">
        <v>1852</v>
      </c>
      <c r="G273" s="420"/>
      <c r="H273" s="237" t="s">
        <v>1852</v>
      </c>
      <c r="I273" s="238"/>
      <c r="J273" s="238"/>
      <c r="K273" s="423"/>
      <c r="L273" s="239" t="s">
        <v>1852</v>
      </c>
    </row>
    <row r="274" spans="1:12" ht="15.75" thickBot="1">
      <c r="A274" s="420"/>
      <c r="B274" s="237" t="s">
        <v>1853</v>
      </c>
      <c r="C274" s="238"/>
      <c r="D274" s="238"/>
      <c r="E274" s="423"/>
      <c r="F274" s="239" t="s">
        <v>1853</v>
      </c>
      <c r="G274" s="420"/>
      <c r="H274" s="237" t="s">
        <v>1853</v>
      </c>
      <c r="I274" s="238"/>
      <c r="J274" s="238"/>
      <c r="K274" s="423"/>
      <c r="L274" s="239" t="s">
        <v>1853</v>
      </c>
    </row>
    <row r="275" spans="1:12" ht="15.75" thickBot="1">
      <c r="A275" s="420"/>
      <c r="B275" s="237" t="s">
        <v>1854</v>
      </c>
      <c r="C275" s="238"/>
      <c r="D275" s="238"/>
      <c r="E275" s="423"/>
      <c r="F275" s="239" t="s">
        <v>1854</v>
      </c>
      <c r="G275" s="420"/>
      <c r="H275" s="237" t="s">
        <v>1854</v>
      </c>
      <c r="I275" s="238"/>
      <c r="J275" s="238"/>
      <c r="K275" s="423"/>
      <c r="L275" s="239" t="s">
        <v>1854</v>
      </c>
    </row>
    <row r="276" spans="1:12" ht="15.75" thickBot="1">
      <c r="A276" s="420"/>
      <c r="B276" s="237" t="s">
        <v>1855</v>
      </c>
      <c r="C276" s="238"/>
      <c r="D276" s="238"/>
      <c r="E276" s="423"/>
      <c r="F276" s="239" t="s">
        <v>1855</v>
      </c>
      <c r="G276" s="420"/>
      <c r="H276" s="237" t="s">
        <v>1855</v>
      </c>
      <c r="I276" s="238"/>
      <c r="J276" s="238"/>
      <c r="K276" s="423"/>
      <c r="L276" s="239" t="s">
        <v>1855</v>
      </c>
    </row>
    <row r="277" spans="1:12" ht="15.75" thickBot="1">
      <c r="A277" s="420"/>
      <c r="B277" s="237" t="s">
        <v>1856</v>
      </c>
      <c r="C277" s="238"/>
      <c r="D277" s="238"/>
      <c r="E277" s="423"/>
      <c r="F277" s="239" t="s">
        <v>1856</v>
      </c>
      <c r="G277" s="420"/>
      <c r="H277" s="237" t="s">
        <v>1856</v>
      </c>
      <c r="I277" s="238"/>
      <c r="J277" s="238"/>
      <c r="K277" s="423"/>
      <c r="L277" s="239" t="s">
        <v>1856</v>
      </c>
    </row>
    <row r="278" spans="1:12" ht="26.25" thickBot="1">
      <c r="A278" s="420"/>
      <c r="B278" s="237" t="s">
        <v>1857</v>
      </c>
      <c r="C278" s="238"/>
      <c r="D278" s="238"/>
      <c r="E278" s="423"/>
      <c r="F278" s="239" t="s">
        <v>1858</v>
      </c>
      <c r="G278" s="420"/>
      <c r="H278" s="237" t="s">
        <v>1857</v>
      </c>
      <c r="I278" s="238"/>
      <c r="J278" s="238"/>
      <c r="K278" s="423"/>
      <c r="L278" s="239" t="s">
        <v>1858</v>
      </c>
    </row>
    <row r="279" spans="1:12" ht="15.75" thickBot="1">
      <c r="A279" s="421"/>
      <c r="B279" s="237" t="s">
        <v>1859</v>
      </c>
      <c r="C279" s="238"/>
      <c r="D279" s="238"/>
      <c r="E279" s="424"/>
      <c r="F279" s="239" t="s">
        <v>1860</v>
      </c>
      <c r="G279" s="421"/>
      <c r="H279" s="237" t="s">
        <v>1859</v>
      </c>
      <c r="I279" s="238"/>
      <c r="J279" s="238"/>
      <c r="K279" s="424"/>
      <c r="L279" s="239" t="s">
        <v>1860</v>
      </c>
    </row>
    <row r="280" spans="1:12" ht="15.75" thickBot="1">
      <c r="A280" s="419" t="s">
        <v>2205</v>
      </c>
      <c r="B280" s="237" t="s">
        <v>1845</v>
      </c>
      <c r="C280" s="238"/>
      <c r="D280" s="238"/>
      <c r="E280" s="422" t="s">
        <v>2206</v>
      </c>
      <c r="F280" s="239" t="s">
        <v>1845</v>
      </c>
      <c r="G280" s="419" t="s">
        <v>2205</v>
      </c>
      <c r="H280" s="237" t="s">
        <v>1845</v>
      </c>
      <c r="I280" s="238"/>
      <c r="J280" s="238"/>
      <c r="K280" s="422" t="s">
        <v>2206</v>
      </c>
      <c r="L280" s="239" t="s">
        <v>1845</v>
      </c>
    </row>
    <row r="281" spans="1:12" ht="15.75" thickBot="1">
      <c r="A281" s="420"/>
      <c r="B281" s="237" t="s">
        <v>1847</v>
      </c>
      <c r="C281" s="238"/>
      <c r="D281" s="238"/>
      <c r="E281" s="423"/>
      <c r="F281" s="239" t="s">
        <v>1847</v>
      </c>
      <c r="G281" s="420"/>
      <c r="H281" s="237" t="s">
        <v>1847</v>
      </c>
      <c r="I281" s="238"/>
      <c r="J281" s="238"/>
      <c r="K281" s="423"/>
      <c r="L281" s="239" t="s">
        <v>1847</v>
      </c>
    </row>
    <row r="282" spans="1:12" ht="15.75" thickBot="1">
      <c r="A282" s="420"/>
      <c r="B282" s="237" t="s">
        <v>1848</v>
      </c>
      <c r="C282" s="238"/>
      <c r="D282" s="238"/>
      <c r="E282" s="423"/>
      <c r="F282" s="239" t="s">
        <v>1848</v>
      </c>
      <c r="G282" s="420"/>
      <c r="H282" s="237" t="s">
        <v>1848</v>
      </c>
      <c r="I282" s="238"/>
      <c r="J282" s="238"/>
      <c r="K282" s="423"/>
      <c r="L282" s="239" t="s">
        <v>1848</v>
      </c>
    </row>
    <row r="283" spans="1:12" ht="15.75" thickBot="1">
      <c r="A283" s="420"/>
      <c r="B283" s="237" t="s">
        <v>1849</v>
      </c>
      <c r="C283" s="238"/>
      <c r="D283" s="238"/>
      <c r="E283" s="423"/>
      <c r="F283" s="239" t="s">
        <v>1849</v>
      </c>
      <c r="G283" s="420"/>
      <c r="H283" s="237" t="s">
        <v>1849</v>
      </c>
      <c r="I283" s="238"/>
      <c r="J283" s="238"/>
      <c r="K283" s="423"/>
      <c r="L283" s="239" t="s">
        <v>1849</v>
      </c>
    </row>
    <row r="284" spans="1:12" ht="15.75" thickBot="1">
      <c r="A284" s="420"/>
      <c r="B284" s="237" t="s">
        <v>1850</v>
      </c>
      <c r="C284" s="238"/>
      <c r="D284" s="238"/>
      <c r="E284" s="423"/>
      <c r="F284" s="239" t="s">
        <v>1850</v>
      </c>
      <c r="G284" s="420"/>
      <c r="H284" s="237" t="s">
        <v>1850</v>
      </c>
      <c r="I284" s="238"/>
      <c r="J284" s="238"/>
      <c r="K284" s="423"/>
      <c r="L284" s="239" t="s">
        <v>1850</v>
      </c>
    </row>
    <row r="285" spans="1:12" ht="15.75" thickBot="1">
      <c r="A285" s="420"/>
      <c r="B285" s="237" t="s">
        <v>1851</v>
      </c>
      <c r="C285" s="238"/>
      <c r="D285" s="238"/>
      <c r="E285" s="423"/>
      <c r="F285" s="239" t="s">
        <v>1851</v>
      </c>
      <c r="G285" s="420"/>
      <c r="H285" s="237" t="s">
        <v>1851</v>
      </c>
      <c r="I285" s="238"/>
      <c r="J285" s="238"/>
      <c r="K285" s="423"/>
      <c r="L285" s="239" t="s">
        <v>1851</v>
      </c>
    </row>
    <row r="286" spans="1:12" ht="15.75" thickBot="1">
      <c r="A286" s="420"/>
      <c r="B286" s="237" t="s">
        <v>1852</v>
      </c>
      <c r="C286" s="238"/>
      <c r="D286" s="238"/>
      <c r="E286" s="423"/>
      <c r="F286" s="239" t="s">
        <v>1852</v>
      </c>
      <c r="G286" s="420"/>
      <c r="H286" s="237" t="s">
        <v>1852</v>
      </c>
      <c r="I286" s="238"/>
      <c r="J286" s="238"/>
      <c r="K286" s="423"/>
      <c r="L286" s="239" t="s">
        <v>1852</v>
      </c>
    </row>
    <row r="287" spans="1:12" ht="15.75" thickBot="1">
      <c r="A287" s="420"/>
      <c r="B287" s="237" t="s">
        <v>1853</v>
      </c>
      <c r="C287" s="238"/>
      <c r="D287" s="238"/>
      <c r="E287" s="423"/>
      <c r="F287" s="239" t="s">
        <v>1853</v>
      </c>
      <c r="G287" s="420"/>
      <c r="H287" s="237" t="s">
        <v>1853</v>
      </c>
      <c r="I287" s="238"/>
      <c r="J287" s="238"/>
      <c r="K287" s="423"/>
      <c r="L287" s="239" t="s">
        <v>1853</v>
      </c>
    </row>
    <row r="288" spans="1:12" ht="15.75" thickBot="1">
      <c r="A288" s="420"/>
      <c r="B288" s="237" t="s">
        <v>1854</v>
      </c>
      <c r="C288" s="238"/>
      <c r="D288" s="238"/>
      <c r="E288" s="423"/>
      <c r="F288" s="239" t="s">
        <v>1854</v>
      </c>
      <c r="G288" s="420"/>
      <c r="H288" s="237" t="s">
        <v>1854</v>
      </c>
      <c r="I288" s="238"/>
      <c r="J288" s="238"/>
      <c r="K288" s="423"/>
      <c r="L288" s="239" t="s">
        <v>1854</v>
      </c>
    </row>
    <row r="289" spans="1:12" ht="15.75" thickBot="1">
      <c r="A289" s="420"/>
      <c r="B289" s="237" t="s">
        <v>1855</v>
      </c>
      <c r="C289" s="238"/>
      <c r="D289" s="238"/>
      <c r="E289" s="423"/>
      <c r="F289" s="239" t="s">
        <v>1855</v>
      </c>
      <c r="G289" s="420"/>
      <c r="H289" s="237" t="s">
        <v>1855</v>
      </c>
      <c r="I289" s="238"/>
      <c r="J289" s="238"/>
      <c r="K289" s="423"/>
      <c r="L289" s="239" t="s">
        <v>1855</v>
      </c>
    </row>
    <row r="290" spans="1:12" ht="15.75" thickBot="1">
      <c r="A290" s="420"/>
      <c r="B290" s="237" t="s">
        <v>1856</v>
      </c>
      <c r="C290" s="238"/>
      <c r="D290" s="238"/>
      <c r="E290" s="423"/>
      <c r="F290" s="239" t="s">
        <v>1856</v>
      </c>
      <c r="G290" s="420"/>
      <c r="H290" s="237" t="s">
        <v>1856</v>
      </c>
      <c r="I290" s="238"/>
      <c r="J290" s="238"/>
      <c r="K290" s="423"/>
      <c r="L290" s="239" t="s">
        <v>1856</v>
      </c>
    </row>
    <row r="291" spans="1:12" ht="26.25" thickBot="1">
      <c r="A291" s="420"/>
      <c r="B291" s="237" t="s">
        <v>1857</v>
      </c>
      <c r="C291" s="238"/>
      <c r="D291" s="238"/>
      <c r="E291" s="423"/>
      <c r="F291" s="239" t="s">
        <v>1858</v>
      </c>
      <c r="G291" s="420"/>
      <c r="H291" s="237" t="s">
        <v>1857</v>
      </c>
      <c r="I291" s="238"/>
      <c r="J291" s="238"/>
      <c r="K291" s="423"/>
      <c r="L291" s="239" t="s">
        <v>1858</v>
      </c>
    </row>
    <row r="292" spans="1:12" ht="15.75" thickBot="1">
      <c r="A292" s="421"/>
      <c r="B292" s="237" t="s">
        <v>1859</v>
      </c>
      <c r="C292" s="238"/>
      <c r="D292" s="238"/>
      <c r="E292" s="424"/>
      <c r="F292" s="239" t="s">
        <v>1860</v>
      </c>
      <c r="G292" s="421"/>
      <c r="H292" s="237" t="s">
        <v>1859</v>
      </c>
      <c r="I292" s="238"/>
      <c r="J292" s="238"/>
      <c r="K292" s="424"/>
      <c r="L292" s="239" t="s">
        <v>1860</v>
      </c>
    </row>
    <row r="293" spans="1:12" ht="15.75" thickBot="1">
      <c r="A293" s="419" t="s">
        <v>2207</v>
      </c>
      <c r="B293" s="237" t="s">
        <v>1845</v>
      </c>
      <c r="C293" s="238">
        <v>870365802</v>
      </c>
      <c r="D293" s="238">
        <v>870365802</v>
      </c>
      <c r="E293" s="422" t="s">
        <v>2208</v>
      </c>
      <c r="F293" s="239" t="s">
        <v>1845</v>
      </c>
      <c r="G293" s="419" t="s">
        <v>2207</v>
      </c>
      <c r="H293" s="237" t="s">
        <v>1845</v>
      </c>
      <c r="I293" s="238">
        <v>859069067</v>
      </c>
      <c r="J293" s="238">
        <v>859069067</v>
      </c>
      <c r="K293" s="422" t="s">
        <v>2208</v>
      </c>
      <c r="L293" s="239" t="s">
        <v>1845</v>
      </c>
    </row>
    <row r="294" spans="1:12" ht="15.75" thickBot="1">
      <c r="A294" s="420"/>
      <c r="B294" s="237" t="s">
        <v>1847</v>
      </c>
      <c r="C294" s="238"/>
      <c r="D294" s="238"/>
      <c r="E294" s="423"/>
      <c r="F294" s="239" t="s">
        <v>1847</v>
      </c>
      <c r="G294" s="420"/>
      <c r="H294" s="237" t="s">
        <v>1847</v>
      </c>
      <c r="I294" s="238"/>
      <c r="J294" s="238"/>
      <c r="K294" s="423"/>
      <c r="L294" s="239" t="s">
        <v>1847</v>
      </c>
    </row>
    <row r="295" spans="1:12" ht="15.75" thickBot="1">
      <c r="A295" s="420"/>
      <c r="B295" s="237" t="s">
        <v>1848</v>
      </c>
      <c r="C295" s="238"/>
      <c r="D295" s="238"/>
      <c r="E295" s="423"/>
      <c r="F295" s="239" t="s">
        <v>1848</v>
      </c>
      <c r="G295" s="420"/>
      <c r="H295" s="237" t="s">
        <v>1848</v>
      </c>
      <c r="I295" s="238"/>
      <c r="J295" s="238"/>
      <c r="K295" s="423"/>
      <c r="L295" s="239" t="s">
        <v>1848</v>
      </c>
    </row>
    <row r="296" spans="1:12" ht="15.75" thickBot="1">
      <c r="A296" s="420"/>
      <c r="B296" s="237" t="s">
        <v>1849</v>
      </c>
      <c r="C296" s="238"/>
      <c r="D296" s="238"/>
      <c r="E296" s="423"/>
      <c r="F296" s="239" t="s">
        <v>1849</v>
      </c>
      <c r="G296" s="420"/>
      <c r="H296" s="237" t="s">
        <v>1849</v>
      </c>
      <c r="I296" s="238"/>
      <c r="J296" s="238"/>
      <c r="K296" s="423"/>
      <c r="L296" s="239" t="s">
        <v>1849</v>
      </c>
    </row>
    <row r="297" spans="1:12" ht="15.75" thickBot="1">
      <c r="A297" s="420"/>
      <c r="B297" s="237" t="s">
        <v>1850</v>
      </c>
      <c r="C297" s="238"/>
      <c r="D297" s="238"/>
      <c r="E297" s="423"/>
      <c r="F297" s="239" t="s">
        <v>1850</v>
      </c>
      <c r="G297" s="420"/>
      <c r="H297" s="237" t="s">
        <v>1850</v>
      </c>
      <c r="I297" s="238"/>
      <c r="J297" s="238"/>
      <c r="K297" s="423"/>
      <c r="L297" s="239" t="s">
        <v>1850</v>
      </c>
    </row>
    <row r="298" spans="1:12" ht="15.75" thickBot="1">
      <c r="A298" s="420"/>
      <c r="B298" s="237" t="s">
        <v>1851</v>
      </c>
      <c r="C298" s="238"/>
      <c r="D298" s="238"/>
      <c r="E298" s="423"/>
      <c r="F298" s="239" t="s">
        <v>1851</v>
      </c>
      <c r="G298" s="420"/>
      <c r="H298" s="237" t="s">
        <v>1851</v>
      </c>
      <c r="I298" s="238"/>
      <c r="J298" s="238"/>
      <c r="K298" s="423"/>
      <c r="L298" s="239" t="s">
        <v>1851</v>
      </c>
    </row>
    <row r="299" spans="1:12" ht="15.75" thickBot="1">
      <c r="A299" s="420"/>
      <c r="B299" s="237" t="s">
        <v>1852</v>
      </c>
      <c r="C299" s="238"/>
      <c r="D299" s="238"/>
      <c r="E299" s="423"/>
      <c r="F299" s="239" t="s">
        <v>1852</v>
      </c>
      <c r="G299" s="420"/>
      <c r="H299" s="237" t="s">
        <v>1852</v>
      </c>
      <c r="I299" s="238"/>
      <c r="J299" s="238"/>
      <c r="K299" s="423"/>
      <c r="L299" s="239" t="s">
        <v>1852</v>
      </c>
    </row>
    <row r="300" spans="1:12" ht="15.75" thickBot="1">
      <c r="A300" s="420"/>
      <c r="B300" s="237" t="s">
        <v>1853</v>
      </c>
      <c r="C300" s="238"/>
      <c r="D300" s="238"/>
      <c r="E300" s="423"/>
      <c r="F300" s="239" t="s">
        <v>1853</v>
      </c>
      <c r="G300" s="420"/>
      <c r="H300" s="237" t="s">
        <v>1853</v>
      </c>
      <c r="I300" s="238"/>
      <c r="J300" s="238"/>
      <c r="K300" s="423"/>
      <c r="L300" s="239" t="s">
        <v>1853</v>
      </c>
    </row>
    <row r="301" spans="1:12" ht="15.75" thickBot="1">
      <c r="A301" s="420"/>
      <c r="B301" s="237" t="s">
        <v>1854</v>
      </c>
      <c r="C301" s="238"/>
      <c r="D301" s="238"/>
      <c r="E301" s="423"/>
      <c r="F301" s="239" t="s">
        <v>1854</v>
      </c>
      <c r="G301" s="420"/>
      <c r="H301" s="237" t="s">
        <v>1854</v>
      </c>
      <c r="I301" s="238"/>
      <c r="J301" s="238"/>
      <c r="K301" s="423"/>
      <c r="L301" s="239" t="s">
        <v>1854</v>
      </c>
    </row>
    <row r="302" spans="1:12" ht="15.75" thickBot="1">
      <c r="A302" s="420"/>
      <c r="B302" s="237" t="s">
        <v>1855</v>
      </c>
      <c r="C302" s="238"/>
      <c r="D302" s="238"/>
      <c r="E302" s="423"/>
      <c r="F302" s="239" t="s">
        <v>1855</v>
      </c>
      <c r="G302" s="420"/>
      <c r="H302" s="237" t="s">
        <v>1855</v>
      </c>
      <c r="I302" s="238"/>
      <c r="J302" s="238"/>
      <c r="K302" s="423"/>
      <c r="L302" s="239" t="s">
        <v>1855</v>
      </c>
    </row>
    <row r="303" spans="1:12" ht="15.75" thickBot="1">
      <c r="A303" s="420"/>
      <c r="B303" s="237" t="s">
        <v>1856</v>
      </c>
      <c r="C303" s="238"/>
      <c r="D303" s="238"/>
      <c r="E303" s="423"/>
      <c r="F303" s="239" t="s">
        <v>1856</v>
      </c>
      <c r="G303" s="420"/>
      <c r="H303" s="237" t="s">
        <v>1856</v>
      </c>
      <c r="I303" s="238"/>
      <c r="J303" s="238"/>
      <c r="K303" s="423"/>
      <c r="L303" s="239" t="s">
        <v>1856</v>
      </c>
    </row>
    <row r="304" spans="1:12" ht="26.25" thickBot="1">
      <c r="A304" s="420"/>
      <c r="B304" s="237" t="s">
        <v>1857</v>
      </c>
      <c r="C304" s="238"/>
      <c r="D304" s="238"/>
      <c r="E304" s="423"/>
      <c r="F304" s="239" t="s">
        <v>1858</v>
      </c>
      <c r="G304" s="420"/>
      <c r="H304" s="237" t="s">
        <v>1857</v>
      </c>
      <c r="I304" s="238"/>
      <c r="J304" s="238"/>
      <c r="K304" s="423"/>
      <c r="L304" s="239" t="s">
        <v>1858</v>
      </c>
    </row>
    <row r="305" spans="1:12" ht="15.75" thickBot="1">
      <c r="A305" s="421"/>
      <c r="B305" s="237" t="s">
        <v>1859</v>
      </c>
      <c r="C305" s="238"/>
      <c r="D305" s="238">
        <v>870365802</v>
      </c>
      <c r="E305" s="424"/>
      <c r="F305" s="239" t="s">
        <v>1860</v>
      </c>
      <c r="G305" s="421"/>
      <c r="H305" s="237" t="s">
        <v>1859</v>
      </c>
      <c r="I305" s="238"/>
      <c r="J305" s="238">
        <v>859069067</v>
      </c>
      <c r="K305" s="424"/>
      <c r="L305" s="239" t="s">
        <v>1860</v>
      </c>
    </row>
    <row r="306" spans="1:12" ht="17.25" customHeight="1">
      <c r="A306" s="413" t="s">
        <v>19</v>
      </c>
      <c r="B306" s="413"/>
      <c r="C306" s="413"/>
      <c r="D306" s="413"/>
      <c r="E306" s="413"/>
      <c r="F306" s="413"/>
      <c r="G306" s="414" t="s">
        <v>106</v>
      </c>
      <c r="H306" s="414"/>
      <c r="I306" s="414"/>
      <c r="J306" s="414"/>
      <c r="K306" s="414"/>
      <c r="L306" s="414"/>
    </row>
    <row r="307" spans="1:12" ht="17.25" customHeight="1">
      <c r="A307" s="415" t="s">
        <v>2178</v>
      </c>
      <c r="B307" s="415"/>
      <c r="C307" s="415"/>
      <c r="D307" s="416" t="s">
        <v>2179</v>
      </c>
      <c r="E307" s="416"/>
      <c r="F307" s="416"/>
      <c r="G307" s="415" t="s">
        <v>2178</v>
      </c>
      <c r="H307" s="415"/>
      <c r="I307" s="415"/>
      <c r="J307" s="416" t="s">
        <v>2179</v>
      </c>
      <c r="K307" s="416"/>
      <c r="L307" s="416"/>
    </row>
    <row r="308" spans="1:12">
      <c r="A308" s="417"/>
      <c r="B308" s="417"/>
      <c r="C308" s="418" t="s">
        <v>2180</v>
      </c>
      <c r="D308" s="418"/>
      <c r="E308" s="417"/>
      <c r="F308" s="417"/>
      <c r="G308" s="417"/>
      <c r="H308" s="417"/>
      <c r="I308" s="418" t="s">
        <v>2180</v>
      </c>
      <c r="J308" s="418"/>
      <c r="K308" s="417"/>
      <c r="L308" s="417"/>
    </row>
    <row r="309" spans="1:12" ht="23.25">
      <c r="A309" s="417"/>
      <c r="B309" s="417"/>
      <c r="C309" s="236" t="s">
        <v>2181</v>
      </c>
      <c r="D309" s="236" t="s">
        <v>2182</v>
      </c>
      <c r="E309" s="417"/>
      <c r="F309" s="417"/>
      <c r="G309" s="417"/>
      <c r="H309" s="417"/>
      <c r="I309" s="236" t="s">
        <v>2181</v>
      </c>
      <c r="J309" s="236" t="s">
        <v>2182</v>
      </c>
      <c r="K309" s="417"/>
      <c r="L309" s="417"/>
    </row>
    <row r="310" spans="1:12" ht="15.75" thickBot="1">
      <c r="A310" s="237" t="s">
        <v>2209</v>
      </c>
      <c r="B310" s="237" t="s">
        <v>1859</v>
      </c>
      <c r="C310" s="238"/>
      <c r="D310" s="238">
        <v>870365802</v>
      </c>
      <c r="E310" s="239" t="s">
        <v>2210</v>
      </c>
      <c r="F310" s="239" t="s">
        <v>1860</v>
      </c>
      <c r="G310" s="237" t="s">
        <v>2209</v>
      </c>
      <c r="H310" s="237" t="s">
        <v>1859</v>
      </c>
      <c r="I310" s="238"/>
      <c r="J310" s="238">
        <v>859069067</v>
      </c>
      <c r="K310" s="239" t="s">
        <v>2210</v>
      </c>
      <c r="L310" s="239" t="s">
        <v>1860</v>
      </c>
    </row>
    <row r="311" spans="1:12" ht="17.25" customHeight="1">
      <c r="A311" s="413" t="s">
        <v>2178</v>
      </c>
      <c r="B311" s="413"/>
      <c r="C311" s="414" t="s">
        <v>2179</v>
      </c>
      <c r="D311" s="414"/>
    </row>
    <row r="312" spans="1:12" ht="23.25">
      <c r="A312" s="240"/>
      <c r="B312" s="236" t="s">
        <v>19</v>
      </c>
      <c r="C312" s="236" t="s">
        <v>106</v>
      </c>
    </row>
    <row r="313" spans="1:12" ht="15.75" thickBot="1">
      <c r="A313" s="237" t="s">
        <v>2178</v>
      </c>
      <c r="B313" s="241"/>
      <c r="C313" s="241"/>
      <c r="D313" s="239" t="s">
        <v>2179</v>
      </c>
    </row>
    <row r="314" spans="1:12" ht="15.75" thickBot="1">
      <c r="A314" s="242" t="s">
        <v>2182</v>
      </c>
      <c r="B314" s="238">
        <v>870365802</v>
      </c>
      <c r="C314" s="238">
        <v>859069067</v>
      </c>
      <c r="D314" s="239" t="s">
        <v>2211</v>
      </c>
    </row>
    <row r="315" spans="1:12" ht="26.25" thickBot="1">
      <c r="A315" s="243" t="s">
        <v>2212</v>
      </c>
      <c r="B315" s="238"/>
      <c r="C315" s="238"/>
      <c r="D315" s="239" t="s">
        <v>2213</v>
      </c>
    </row>
    <row r="316" spans="1:12" ht="15.75" thickBot="1">
      <c r="A316" s="243" t="s">
        <v>2214</v>
      </c>
      <c r="B316" s="238">
        <v>870365802</v>
      </c>
      <c r="C316" s="238">
        <v>859069067</v>
      </c>
      <c r="D316" s="239" t="s">
        <v>2215</v>
      </c>
    </row>
    <row r="317" spans="1:12" ht="39" thickBot="1">
      <c r="A317" s="244" t="s">
        <v>762</v>
      </c>
      <c r="B317" s="238">
        <v>208469040</v>
      </c>
      <c r="C317" s="238">
        <v>177639506</v>
      </c>
      <c r="D317" s="239" t="s">
        <v>763</v>
      </c>
    </row>
    <row r="318" spans="1:12" ht="26.25" thickBot="1">
      <c r="A318" s="244" t="s">
        <v>826</v>
      </c>
      <c r="B318" s="238">
        <v>661896762</v>
      </c>
      <c r="C318" s="238">
        <v>681429561</v>
      </c>
      <c r="D318" s="239"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89B2071-3761-413C-AF4A-0C0A8DE4B20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DD779-EC97-45C2-AB88-945C387BB031}">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425" t="s">
        <v>2216</v>
      </c>
      <c r="B1" s="426"/>
      <c r="C1" s="426"/>
    </row>
    <row r="3" spans="1:3" ht="17.25" customHeight="1">
      <c r="A3" s="246" t="s">
        <v>1738</v>
      </c>
      <c r="B3" s="427" t="s">
        <v>1739</v>
      </c>
      <c r="C3" s="427"/>
    </row>
    <row r="4" spans="1:3">
      <c r="A4" s="247"/>
      <c r="B4" s="248" t="s">
        <v>104</v>
      </c>
    </row>
    <row r="5" spans="1:3" ht="15.75" thickBot="1">
      <c r="A5" s="249" t="s">
        <v>1738</v>
      </c>
      <c r="B5" s="250"/>
      <c r="C5" s="251" t="s">
        <v>1739</v>
      </c>
    </row>
    <row r="6" spans="1:3" ht="75" customHeight="1" thickBot="1">
      <c r="A6" s="252" t="s">
        <v>2217</v>
      </c>
      <c r="B6" s="253" t="s">
        <v>2218</v>
      </c>
      <c r="C6" s="251"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24A19C-FA49-482E-BE79-A56D1A0346F8}">
      <formula1>0</formula1>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D4363-4EA6-4DC0-BFC4-268D6AA07E6C}">
  <dimension ref="A1:P287"/>
  <sheetViews>
    <sheetView showGridLines="0" workbookViewId="0"/>
  </sheetViews>
  <sheetFormatPr defaultRowHeight="15"/>
  <cols>
    <col min="1" max="1" width="42.6640625" style="255" bestFit="1" customWidth="1" collapsed="1"/>
    <col min="2" max="2" width="19" style="255" bestFit="1" customWidth="1" collapsed="1"/>
    <col min="3" max="4" width="38.33203125" style="255" bestFit="1" customWidth="1" collapsed="1"/>
    <col min="5" max="5" width="32.33203125" style="255" bestFit="1" customWidth="1" collapsed="1"/>
    <col min="6" max="6" width="38" style="255" bestFit="1" customWidth="1" collapsed="1"/>
    <col min="7" max="7" width="42.6640625" style="255" bestFit="1" customWidth="1" collapsed="1"/>
    <col min="8" max="8" width="15.6640625" style="255" bestFit="1" customWidth="1" collapsed="1"/>
    <col min="9" max="9" width="42.6640625" style="255" bestFit="1" customWidth="1" collapsed="1"/>
    <col min="10" max="10" width="19" style="255" bestFit="1" customWidth="1" collapsed="1"/>
    <col min="11" max="12" width="38.33203125" style="255" bestFit="1" customWidth="1" collapsed="1"/>
    <col min="13" max="13" width="32.33203125" style="255" bestFit="1" customWidth="1" collapsed="1"/>
    <col min="14" max="14" width="38" style="255" bestFit="1" customWidth="1" collapsed="1"/>
    <col min="15" max="15" width="42.6640625" style="255" bestFit="1" customWidth="1" collapsed="1"/>
    <col min="16" max="16" width="15.6640625" style="255" bestFit="1" customWidth="1" collapsed="1"/>
    <col min="17" max="16384" width="9.33203125" style="255" collapsed="1"/>
  </cols>
  <sheetData>
    <row r="1" spans="1:16" ht="17.25">
      <c r="A1" s="254" t="s">
        <v>2220</v>
      </c>
    </row>
    <row r="3" spans="1:16" ht="17.25" customHeight="1">
      <c r="A3" s="428" t="s">
        <v>19</v>
      </c>
      <c r="B3" s="428"/>
      <c r="C3" s="428"/>
      <c r="D3" s="428"/>
      <c r="E3" s="428"/>
      <c r="F3" s="428"/>
      <c r="G3" s="428"/>
      <c r="H3" s="428"/>
      <c r="I3" s="429" t="s">
        <v>106</v>
      </c>
      <c r="J3" s="429"/>
      <c r="K3" s="429"/>
      <c r="L3" s="429"/>
      <c r="M3" s="429"/>
      <c r="N3" s="429"/>
      <c r="O3" s="429"/>
      <c r="P3" s="429"/>
    </row>
    <row r="4" spans="1:16" ht="17.25" customHeight="1">
      <c r="A4" s="428" t="s">
        <v>2178</v>
      </c>
      <c r="B4" s="428"/>
      <c r="C4" s="428"/>
      <c r="D4" s="428"/>
      <c r="E4" s="429" t="s">
        <v>2179</v>
      </c>
      <c r="F4" s="429"/>
      <c r="G4" s="429"/>
      <c r="H4" s="429"/>
      <c r="I4" s="428" t="s">
        <v>2178</v>
      </c>
      <c r="J4" s="428"/>
      <c r="K4" s="428"/>
      <c r="L4" s="428"/>
      <c r="M4" s="429" t="s">
        <v>2179</v>
      </c>
      <c r="N4" s="429"/>
      <c r="O4" s="429"/>
      <c r="P4" s="429"/>
    </row>
    <row r="5" spans="1:16">
      <c r="A5" s="430"/>
      <c r="B5" s="430"/>
      <c r="C5" s="431" t="s">
        <v>2180</v>
      </c>
      <c r="D5" s="431"/>
      <c r="E5" s="431"/>
      <c r="F5" s="431"/>
      <c r="G5" s="430"/>
      <c r="H5" s="430"/>
      <c r="I5" s="430"/>
      <c r="J5" s="430"/>
      <c r="K5" s="431" t="s">
        <v>2180</v>
      </c>
      <c r="L5" s="431"/>
      <c r="M5" s="431"/>
      <c r="N5" s="431"/>
      <c r="O5" s="430"/>
      <c r="P5" s="430"/>
    </row>
    <row r="6" spans="1:16" ht="23.25">
      <c r="A6" s="430"/>
      <c r="B6" s="430"/>
      <c r="C6" s="256" t="s">
        <v>2181</v>
      </c>
      <c r="D6" s="256" t="s">
        <v>2221</v>
      </c>
      <c r="E6" s="256" t="s">
        <v>2222</v>
      </c>
      <c r="F6" s="256" t="s">
        <v>2223</v>
      </c>
      <c r="G6" s="430"/>
      <c r="H6" s="430"/>
      <c r="I6" s="430"/>
      <c r="J6" s="430"/>
      <c r="K6" s="256" t="s">
        <v>2181</v>
      </c>
      <c r="L6" s="256" t="s">
        <v>2221</v>
      </c>
      <c r="M6" s="256" t="s">
        <v>2222</v>
      </c>
      <c r="N6" s="256" t="s">
        <v>2223</v>
      </c>
      <c r="O6" s="430"/>
      <c r="P6" s="430"/>
    </row>
    <row r="7" spans="1:16" ht="15.75" thickBot="1">
      <c r="A7" s="433" t="s">
        <v>2183</v>
      </c>
      <c r="B7" s="257" t="s">
        <v>1845</v>
      </c>
      <c r="C7" s="258"/>
      <c r="D7" s="259"/>
      <c r="E7" s="259"/>
      <c r="F7" s="259"/>
      <c r="G7" s="436" t="s">
        <v>2183</v>
      </c>
      <c r="H7" s="260" t="s">
        <v>1845</v>
      </c>
      <c r="I7" s="433" t="s">
        <v>2183</v>
      </c>
      <c r="J7" s="257" t="s">
        <v>1845</v>
      </c>
      <c r="K7" s="258"/>
      <c r="L7" s="259"/>
      <c r="M7" s="259"/>
      <c r="N7" s="259"/>
      <c r="O7" s="436" t="s">
        <v>2183</v>
      </c>
      <c r="P7" s="260" t="s">
        <v>1845</v>
      </c>
    </row>
    <row r="8" spans="1:16" ht="15.75" thickBot="1">
      <c r="A8" s="433"/>
      <c r="B8" s="257" t="s">
        <v>1847</v>
      </c>
      <c r="C8" s="258"/>
      <c r="D8" s="259"/>
      <c r="E8" s="259"/>
      <c r="F8" s="259"/>
      <c r="G8" s="436"/>
      <c r="H8" s="260" t="s">
        <v>1847</v>
      </c>
      <c r="I8" s="433"/>
      <c r="J8" s="257" t="s">
        <v>1847</v>
      </c>
      <c r="K8" s="258"/>
      <c r="L8" s="259"/>
      <c r="M8" s="259"/>
      <c r="N8" s="259"/>
      <c r="O8" s="436"/>
      <c r="P8" s="260" t="s">
        <v>1847</v>
      </c>
    </row>
    <row r="9" spans="1:16" ht="15.75" thickBot="1">
      <c r="A9" s="433"/>
      <c r="B9" s="257" t="s">
        <v>1848</v>
      </c>
      <c r="C9" s="258"/>
      <c r="D9" s="259"/>
      <c r="E9" s="259"/>
      <c r="F9" s="259"/>
      <c r="G9" s="436"/>
      <c r="H9" s="260" t="s">
        <v>1848</v>
      </c>
      <c r="I9" s="433"/>
      <c r="J9" s="257" t="s">
        <v>1848</v>
      </c>
      <c r="K9" s="258"/>
      <c r="L9" s="259"/>
      <c r="M9" s="259"/>
      <c r="N9" s="259"/>
      <c r="O9" s="436"/>
      <c r="P9" s="260" t="s">
        <v>1848</v>
      </c>
    </row>
    <row r="10" spans="1:16" ht="15.75" thickBot="1">
      <c r="A10" s="433"/>
      <c r="B10" s="257" t="s">
        <v>1849</v>
      </c>
      <c r="C10" s="258"/>
      <c r="D10" s="259"/>
      <c r="E10" s="259"/>
      <c r="F10" s="259"/>
      <c r="G10" s="436"/>
      <c r="H10" s="260" t="s">
        <v>1849</v>
      </c>
      <c r="I10" s="433"/>
      <c r="J10" s="257" t="s">
        <v>1849</v>
      </c>
      <c r="K10" s="258"/>
      <c r="L10" s="259"/>
      <c r="M10" s="259"/>
      <c r="N10" s="259"/>
      <c r="O10" s="436"/>
      <c r="P10" s="260" t="s">
        <v>1849</v>
      </c>
    </row>
    <row r="11" spans="1:16" ht="15.75" thickBot="1">
      <c r="A11" s="433"/>
      <c r="B11" s="257" t="s">
        <v>1850</v>
      </c>
      <c r="C11" s="258"/>
      <c r="D11" s="259"/>
      <c r="E11" s="259"/>
      <c r="F11" s="259"/>
      <c r="G11" s="436"/>
      <c r="H11" s="260" t="s">
        <v>1850</v>
      </c>
      <c r="I11" s="433"/>
      <c r="J11" s="257" t="s">
        <v>1850</v>
      </c>
      <c r="K11" s="258"/>
      <c r="L11" s="259"/>
      <c r="M11" s="259"/>
      <c r="N11" s="259"/>
      <c r="O11" s="436"/>
      <c r="P11" s="260" t="s">
        <v>1850</v>
      </c>
    </row>
    <row r="12" spans="1:16" ht="15.75" thickBot="1">
      <c r="A12" s="433"/>
      <c r="B12" s="257" t="s">
        <v>1851</v>
      </c>
      <c r="C12" s="258"/>
      <c r="D12" s="259"/>
      <c r="E12" s="259"/>
      <c r="F12" s="259"/>
      <c r="G12" s="436"/>
      <c r="H12" s="260" t="s">
        <v>1851</v>
      </c>
      <c r="I12" s="433"/>
      <c r="J12" s="257" t="s">
        <v>1851</v>
      </c>
      <c r="K12" s="258"/>
      <c r="L12" s="259"/>
      <c r="M12" s="259"/>
      <c r="N12" s="259"/>
      <c r="O12" s="436"/>
      <c r="P12" s="260" t="s">
        <v>1851</v>
      </c>
    </row>
    <row r="13" spans="1:16" ht="15.75" thickBot="1">
      <c r="A13" s="433"/>
      <c r="B13" s="257" t="s">
        <v>1852</v>
      </c>
      <c r="C13" s="258"/>
      <c r="D13" s="259"/>
      <c r="E13" s="259"/>
      <c r="F13" s="259"/>
      <c r="G13" s="436"/>
      <c r="H13" s="260" t="s">
        <v>1852</v>
      </c>
      <c r="I13" s="433"/>
      <c r="J13" s="257" t="s">
        <v>1852</v>
      </c>
      <c r="K13" s="258"/>
      <c r="L13" s="259"/>
      <c r="M13" s="259"/>
      <c r="N13" s="259"/>
      <c r="O13" s="436"/>
      <c r="P13" s="260" t="s">
        <v>1852</v>
      </c>
    </row>
    <row r="14" spans="1:16" ht="15.75" thickBot="1">
      <c r="A14" s="433"/>
      <c r="B14" s="257" t="s">
        <v>1853</v>
      </c>
      <c r="C14" s="258"/>
      <c r="D14" s="259"/>
      <c r="E14" s="259"/>
      <c r="F14" s="259"/>
      <c r="G14" s="436"/>
      <c r="H14" s="260" t="s">
        <v>1853</v>
      </c>
      <c r="I14" s="433"/>
      <c r="J14" s="257" t="s">
        <v>1853</v>
      </c>
      <c r="K14" s="258"/>
      <c r="L14" s="259"/>
      <c r="M14" s="259"/>
      <c r="N14" s="259"/>
      <c r="O14" s="436"/>
      <c r="P14" s="260" t="s">
        <v>1853</v>
      </c>
    </row>
    <row r="15" spans="1:16" ht="15.75" thickBot="1">
      <c r="A15" s="433"/>
      <c r="B15" s="257" t="s">
        <v>1854</v>
      </c>
      <c r="C15" s="258"/>
      <c r="D15" s="259"/>
      <c r="E15" s="259"/>
      <c r="F15" s="259"/>
      <c r="G15" s="436"/>
      <c r="H15" s="260" t="s">
        <v>1854</v>
      </c>
      <c r="I15" s="433"/>
      <c r="J15" s="257" t="s">
        <v>1854</v>
      </c>
      <c r="K15" s="258"/>
      <c r="L15" s="259"/>
      <c r="M15" s="259"/>
      <c r="N15" s="259"/>
      <c r="O15" s="436"/>
      <c r="P15" s="260" t="s">
        <v>1854</v>
      </c>
    </row>
    <row r="16" spans="1:16" ht="15.75" thickBot="1">
      <c r="A16" s="433"/>
      <c r="B16" s="257" t="s">
        <v>1855</v>
      </c>
      <c r="C16" s="258"/>
      <c r="D16" s="259"/>
      <c r="E16" s="259"/>
      <c r="F16" s="259"/>
      <c r="G16" s="436"/>
      <c r="H16" s="260" t="s">
        <v>1855</v>
      </c>
      <c r="I16" s="433"/>
      <c r="J16" s="257" t="s">
        <v>1855</v>
      </c>
      <c r="K16" s="258"/>
      <c r="L16" s="259"/>
      <c r="M16" s="259"/>
      <c r="N16" s="259"/>
      <c r="O16" s="436"/>
      <c r="P16" s="260" t="s">
        <v>1855</v>
      </c>
    </row>
    <row r="17" spans="1:16" ht="15.75" thickBot="1">
      <c r="A17" s="433"/>
      <c r="B17" s="257" t="s">
        <v>1856</v>
      </c>
      <c r="C17" s="258"/>
      <c r="D17" s="259"/>
      <c r="E17" s="259"/>
      <c r="F17" s="259"/>
      <c r="G17" s="436"/>
      <c r="H17" s="260" t="s">
        <v>1856</v>
      </c>
      <c r="I17" s="433"/>
      <c r="J17" s="257" t="s">
        <v>1856</v>
      </c>
      <c r="K17" s="258"/>
      <c r="L17" s="259"/>
      <c r="M17" s="259"/>
      <c r="N17" s="259"/>
      <c r="O17" s="436"/>
      <c r="P17" s="260" t="s">
        <v>1856</v>
      </c>
    </row>
    <row r="18" spans="1:16" ht="26.25" thickBot="1">
      <c r="A18" s="434"/>
      <c r="B18" s="257" t="s">
        <v>1857</v>
      </c>
      <c r="C18" s="258"/>
      <c r="D18" s="259"/>
      <c r="E18" s="259"/>
      <c r="F18" s="259"/>
      <c r="G18" s="437"/>
      <c r="H18" s="260" t="s">
        <v>1858</v>
      </c>
      <c r="I18" s="434"/>
      <c r="J18" s="257" t="s">
        <v>1857</v>
      </c>
      <c r="K18" s="258"/>
      <c r="L18" s="259"/>
      <c r="M18" s="259"/>
      <c r="N18" s="259"/>
      <c r="O18" s="437"/>
      <c r="P18" s="260" t="s">
        <v>1858</v>
      </c>
    </row>
    <row r="19" spans="1:16" ht="15.75" thickBot="1">
      <c r="A19" s="432" t="s">
        <v>2184</v>
      </c>
      <c r="B19" s="257" t="s">
        <v>1845</v>
      </c>
      <c r="C19" s="258"/>
      <c r="D19" s="259"/>
      <c r="E19" s="259"/>
      <c r="F19" s="259"/>
      <c r="G19" s="435" t="s">
        <v>2184</v>
      </c>
      <c r="H19" s="260" t="s">
        <v>1845</v>
      </c>
      <c r="I19" s="432" t="s">
        <v>2184</v>
      </c>
      <c r="J19" s="257" t="s">
        <v>1845</v>
      </c>
      <c r="K19" s="258"/>
      <c r="L19" s="259"/>
      <c r="M19" s="259"/>
      <c r="N19" s="259"/>
      <c r="O19" s="435" t="s">
        <v>2184</v>
      </c>
      <c r="P19" s="260" t="s">
        <v>1845</v>
      </c>
    </row>
    <row r="20" spans="1:16" ht="15.75" thickBot="1">
      <c r="A20" s="433"/>
      <c r="B20" s="257" t="s">
        <v>1847</v>
      </c>
      <c r="C20" s="258"/>
      <c r="D20" s="259"/>
      <c r="E20" s="259"/>
      <c r="F20" s="259"/>
      <c r="G20" s="436"/>
      <c r="H20" s="260" t="s">
        <v>1847</v>
      </c>
      <c r="I20" s="433"/>
      <c r="J20" s="257" t="s">
        <v>1847</v>
      </c>
      <c r="K20" s="258"/>
      <c r="L20" s="259"/>
      <c r="M20" s="259"/>
      <c r="N20" s="259"/>
      <c r="O20" s="436"/>
      <c r="P20" s="260" t="s">
        <v>1847</v>
      </c>
    </row>
    <row r="21" spans="1:16" ht="15.75" thickBot="1">
      <c r="A21" s="433"/>
      <c r="B21" s="257" t="s">
        <v>1848</v>
      </c>
      <c r="C21" s="258"/>
      <c r="D21" s="259"/>
      <c r="E21" s="259"/>
      <c r="F21" s="259"/>
      <c r="G21" s="436"/>
      <c r="H21" s="260" t="s">
        <v>1848</v>
      </c>
      <c r="I21" s="433"/>
      <c r="J21" s="257" t="s">
        <v>1848</v>
      </c>
      <c r="K21" s="258"/>
      <c r="L21" s="259"/>
      <c r="M21" s="259"/>
      <c r="N21" s="259"/>
      <c r="O21" s="436"/>
      <c r="P21" s="260" t="s">
        <v>1848</v>
      </c>
    </row>
    <row r="22" spans="1:16" ht="15.75" thickBot="1">
      <c r="A22" s="433"/>
      <c r="B22" s="257" t="s">
        <v>1849</v>
      </c>
      <c r="C22" s="258"/>
      <c r="D22" s="259"/>
      <c r="E22" s="259"/>
      <c r="F22" s="259"/>
      <c r="G22" s="436"/>
      <c r="H22" s="260" t="s">
        <v>1849</v>
      </c>
      <c r="I22" s="433"/>
      <c r="J22" s="257" t="s">
        <v>1849</v>
      </c>
      <c r="K22" s="258"/>
      <c r="L22" s="259"/>
      <c r="M22" s="259"/>
      <c r="N22" s="259"/>
      <c r="O22" s="436"/>
      <c r="P22" s="260" t="s">
        <v>1849</v>
      </c>
    </row>
    <row r="23" spans="1:16" ht="15.75" thickBot="1">
      <c r="A23" s="433"/>
      <c r="B23" s="257" t="s">
        <v>1850</v>
      </c>
      <c r="C23" s="258"/>
      <c r="D23" s="259"/>
      <c r="E23" s="259"/>
      <c r="F23" s="259"/>
      <c r="G23" s="436"/>
      <c r="H23" s="260" t="s">
        <v>1850</v>
      </c>
      <c r="I23" s="433"/>
      <c r="J23" s="257" t="s">
        <v>1850</v>
      </c>
      <c r="K23" s="258"/>
      <c r="L23" s="259"/>
      <c r="M23" s="259"/>
      <c r="N23" s="259"/>
      <c r="O23" s="436"/>
      <c r="P23" s="260" t="s">
        <v>1850</v>
      </c>
    </row>
    <row r="24" spans="1:16" ht="15.75" thickBot="1">
      <c r="A24" s="433"/>
      <c r="B24" s="257" t="s">
        <v>1851</v>
      </c>
      <c r="C24" s="258"/>
      <c r="D24" s="259"/>
      <c r="E24" s="259"/>
      <c r="F24" s="259"/>
      <c r="G24" s="436"/>
      <c r="H24" s="260" t="s">
        <v>1851</v>
      </c>
      <c r="I24" s="433"/>
      <c r="J24" s="257" t="s">
        <v>1851</v>
      </c>
      <c r="K24" s="258"/>
      <c r="L24" s="259"/>
      <c r="M24" s="259"/>
      <c r="N24" s="259"/>
      <c r="O24" s="436"/>
      <c r="P24" s="260" t="s">
        <v>1851</v>
      </c>
    </row>
    <row r="25" spans="1:16" ht="15.75" thickBot="1">
      <c r="A25" s="433"/>
      <c r="B25" s="257" t="s">
        <v>1852</v>
      </c>
      <c r="C25" s="258"/>
      <c r="D25" s="259"/>
      <c r="E25" s="259"/>
      <c r="F25" s="259"/>
      <c r="G25" s="436"/>
      <c r="H25" s="260" t="s">
        <v>1852</v>
      </c>
      <c r="I25" s="433"/>
      <c r="J25" s="257" t="s">
        <v>1852</v>
      </c>
      <c r="K25" s="258"/>
      <c r="L25" s="259"/>
      <c r="M25" s="259"/>
      <c r="N25" s="259"/>
      <c r="O25" s="436"/>
      <c r="P25" s="260" t="s">
        <v>1852</v>
      </c>
    </row>
    <row r="26" spans="1:16" ht="15.75" thickBot="1">
      <c r="A26" s="433"/>
      <c r="B26" s="257" t="s">
        <v>1853</v>
      </c>
      <c r="C26" s="258"/>
      <c r="D26" s="259"/>
      <c r="E26" s="259"/>
      <c r="F26" s="259"/>
      <c r="G26" s="436"/>
      <c r="H26" s="260" t="s">
        <v>1853</v>
      </c>
      <c r="I26" s="433"/>
      <c r="J26" s="257" t="s">
        <v>1853</v>
      </c>
      <c r="K26" s="258"/>
      <c r="L26" s="259"/>
      <c r="M26" s="259"/>
      <c r="N26" s="259"/>
      <c r="O26" s="436"/>
      <c r="P26" s="260" t="s">
        <v>1853</v>
      </c>
    </row>
    <row r="27" spans="1:16" ht="15.75" thickBot="1">
      <c r="A27" s="433"/>
      <c r="B27" s="257" t="s">
        <v>1854</v>
      </c>
      <c r="C27" s="258"/>
      <c r="D27" s="259"/>
      <c r="E27" s="259"/>
      <c r="F27" s="259"/>
      <c r="G27" s="436"/>
      <c r="H27" s="260" t="s">
        <v>1854</v>
      </c>
      <c r="I27" s="433"/>
      <c r="J27" s="257" t="s">
        <v>1854</v>
      </c>
      <c r="K27" s="258"/>
      <c r="L27" s="259"/>
      <c r="M27" s="259"/>
      <c r="N27" s="259"/>
      <c r="O27" s="436"/>
      <c r="P27" s="260" t="s">
        <v>1854</v>
      </c>
    </row>
    <row r="28" spans="1:16" ht="15.75" thickBot="1">
      <c r="A28" s="433"/>
      <c r="B28" s="257" t="s">
        <v>1855</v>
      </c>
      <c r="C28" s="258"/>
      <c r="D28" s="259"/>
      <c r="E28" s="259"/>
      <c r="F28" s="259"/>
      <c r="G28" s="436"/>
      <c r="H28" s="260" t="s">
        <v>1855</v>
      </c>
      <c r="I28" s="433"/>
      <c r="J28" s="257" t="s">
        <v>1855</v>
      </c>
      <c r="K28" s="258"/>
      <c r="L28" s="259"/>
      <c r="M28" s="259"/>
      <c r="N28" s="259"/>
      <c r="O28" s="436"/>
      <c r="P28" s="260" t="s">
        <v>1855</v>
      </c>
    </row>
    <row r="29" spans="1:16" ht="15.75" thickBot="1">
      <c r="A29" s="433"/>
      <c r="B29" s="257" t="s">
        <v>1856</v>
      </c>
      <c r="C29" s="258"/>
      <c r="D29" s="259"/>
      <c r="E29" s="259"/>
      <c r="F29" s="259"/>
      <c r="G29" s="436"/>
      <c r="H29" s="260" t="s">
        <v>1856</v>
      </c>
      <c r="I29" s="433"/>
      <c r="J29" s="257" t="s">
        <v>1856</v>
      </c>
      <c r="K29" s="258"/>
      <c r="L29" s="259"/>
      <c r="M29" s="259"/>
      <c r="N29" s="259"/>
      <c r="O29" s="436"/>
      <c r="P29" s="260" t="s">
        <v>1856</v>
      </c>
    </row>
    <row r="30" spans="1:16" ht="26.25" thickBot="1">
      <c r="A30" s="434"/>
      <c r="B30" s="257" t="s">
        <v>1857</v>
      </c>
      <c r="C30" s="258"/>
      <c r="D30" s="259"/>
      <c r="E30" s="259"/>
      <c r="F30" s="259"/>
      <c r="G30" s="437"/>
      <c r="H30" s="260" t="s">
        <v>1858</v>
      </c>
      <c r="I30" s="434"/>
      <c r="J30" s="257" t="s">
        <v>1857</v>
      </c>
      <c r="K30" s="258"/>
      <c r="L30" s="259"/>
      <c r="M30" s="259"/>
      <c r="N30" s="259"/>
      <c r="O30" s="437"/>
      <c r="P30" s="260" t="s">
        <v>1858</v>
      </c>
    </row>
    <row r="31" spans="1:16" ht="15.75" thickBot="1">
      <c r="A31" s="432" t="s">
        <v>2185</v>
      </c>
      <c r="B31" s="257" t="s">
        <v>1845</v>
      </c>
      <c r="C31" s="258"/>
      <c r="D31" s="259"/>
      <c r="E31" s="259"/>
      <c r="F31" s="259"/>
      <c r="G31" s="435" t="s">
        <v>2185</v>
      </c>
      <c r="H31" s="260" t="s">
        <v>1845</v>
      </c>
      <c r="I31" s="432" t="s">
        <v>2185</v>
      </c>
      <c r="J31" s="257" t="s">
        <v>1845</v>
      </c>
      <c r="K31" s="258"/>
      <c r="L31" s="259"/>
      <c r="M31" s="259"/>
      <c r="N31" s="259"/>
      <c r="O31" s="435" t="s">
        <v>2185</v>
      </c>
      <c r="P31" s="260" t="s">
        <v>1845</v>
      </c>
    </row>
    <row r="32" spans="1:16" ht="15.75" thickBot="1">
      <c r="A32" s="433"/>
      <c r="B32" s="257" t="s">
        <v>1847</v>
      </c>
      <c r="C32" s="258"/>
      <c r="D32" s="259"/>
      <c r="E32" s="259"/>
      <c r="F32" s="259"/>
      <c r="G32" s="436"/>
      <c r="H32" s="260" t="s">
        <v>1847</v>
      </c>
      <c r="I32" s="433"/>
      <c r="J32" s="257" t="s">
        <v>1847</v>
      </c>
      <c r="K32" s="258"/>
      <c r="L32" s="259"/>
      <c r="M32" s="259"/>
      <c r="N32" s="259"/>
      <c r="O32" s="436"/>
      <c r="P32" s="260" t="s">
        <v>1847</v>
      </c>
    </row>
    <row r="33" spans="1:16" ht="15.75" thickBot="1">
      <c r="A33" s="433"/>
      <c r="B33" s="257" t="s">
        <v>1848</v>
      </c>
      <c r="C33" s="258"/>
      <c r="D33" s="259"/>
      <c r="E33" s="259"/>
      <c r="F33" s="259"/>
      <c r="G33" s="436"/>
      <c r="H33" s="260" t="s">
        <v>1848</v>
      </c>
      <c r="I33" s="433"/>
      <c r="J33" s="257" t="s">
        <v>1848</v>
      </c>
      <c r="K33" s="258"/>
      <c r="L33" s="259"/>
      <c r="M33" s="259"/>
      <c r="N33" s="259"/>
      <c r="O33" s="436"/>
      <c r="P33" s="260" t="s">
        <v>1848</v>
      </c>
    </row>
    <row r="34" spans="1:16" ht="15.75" thickBot="1">
      <c r="A34" s="433"/>
      <c r="B34" s="257" t="s">
        <v>1849</v>
      </c>
      <c r="C34" s="258"/>
      <c r="D34" s="259"/>
      <c r="E34" s="259"/>
      <c r="F34" s="259"/>
      <c r="G34" s="436"/>
      <c r="H34" s="260" t="s">
        <v>1849</v>
      </c>
      <c r="I34" s="433"/>
      <c r="J34" s="257" t="s">
        <v>1849</v>
      </c>
      <c r="K34" s="258"/>
      <c r="L34" s="259"/>
      <c r="M34" s="259"/>
      <c r="N34" s="259"/>
      <c r="O34" s="436"/>
      <c r="P34" s="260" t="s">
        <v>1849</v>
      </c>
    </row>
    <row r="35" spans="1:16" ht="15.75" thickBot="1">
      <c r="A35" s="433"/>
      <c r="B35" s="257" t="s">
        <v>1850</v>
      </c>
      <c r="C35" s="258"/>
      <c r="D35" s="259"/>
      <c r="E35" s="259"/>
      <c r="F35" s="259"/>
      <c r="G35" s="436"/>
      <c r="H35" s="260" t="s">
        <v>1850</v>
      </c>
      <c r="I35" s="433"/>
      <c r="J35" s="257" t="s">
        <v>1850</v>
      </c>
      <c r="K35" s="258"/>
      <c r="L35" s="259"/>
      <c r="M35" s="259"/>
      <c r="N35" s="259"/>
      <c r="O35" s="436"/>
      <c r="P35" s="260" t="s">
        <v>1850</v>
      </c>
    </row>
    <row r="36" spans="1:16" ht="15.75" thickBot="1">
      <c r="A36" s="433"/>
      <c r="B36" s="257" t="s">
        <v>1851</v>
      </c>
      <c r="C36" s="258"/>
      <c r="D36" s="259"/>
      <c r="E36" s="259"/>
      <c r="F36" s="259"/>
      <c r="G36" s="436"/>
      <c r="H36" s="260" t="s">
        <v>1851</v>
      </c>
      <c r="I36" s="433"/>
      <c r="J36" s="257" t="s">
        <v>1851</v>
      </c>
      <c r="K36" s="258"/>
      <c r="L36" s="259"/>
      <c r="M36" s="259"/>
      <c r="N36" s="259"/>
      <c r="O36" s="436"/>
      <c r="P36" s="260" t="s">
        <v>1851</v>
      </c>
    </row>
    <row r="37" spans="1:16" ht="15.75" thickBot="1">
      <c r="A37" s="433"/>
      <c r="B37" s="257" t="s">
        <v>1852</v>
      </c>
      <c r="C37" s="258"/>
      <c r="D37" s="259"/>
      <c r="E37" s="259"/>
      <c r="F37" s="259"/>
      <c r="G37" s="436"/>
      <c r="H37" s="260" t="s">
        <v>1852</v>
      </c>
      <c r="I37" s="433"/>
      <c r="J37" s="257" t="s">
        <v>1852</v>
      </c>
      <c r="K37" s="258"/>
      <c r="L37" s="259"/>
      <c r="M37" s="259"/>
      <c r="N37" s="259"/>
      <c r="O37" s="436"/>
      <c r="P37" s="260" t="s">
        <v>1852</v>
      </c>
    </row>
    <row r="38" spans="1:16" ht="15.75" thickBot="1">
      <c r="A38" s="433"/>
      <c r="B38" s="257" t="s">
        <v>1853</v>
      </c>
      <c r="C38" s="258"/>
      <c r="D38" s="259"/>
      <c r="E38" s="259"/>
      <c r="F38" s="259"/>
      <c r="G38" s="436"/>
      <c r="H38" s="260" t="s">
        <v>1853</v>
      </c>
      <c r="I38" s="433"/>
      <c r="J38" s="257" t="s">
        <v>1853</v>
      </c>
      <c r="K38" s="258"/>
      <c r="L38" s="259"/>
      <c r="M38" s="259"/>
      <c r="N38" s="259"/>
      <c r="O38" s="436"/>
      <c r="P38" s="260" t="s">
        <v>1853</v>
      </c>
    </row>
    <row r="39" spans="1:16" ht="15.75" thickBot="1">
      <c r="A39" s="433"/>
      <c r="B39" s="257" t="s">
        <v>1854</v>
      </c>
      <c r="C39" s="258"/>
      <c r="D39" s="259"/>
      <c r="E39" s="259"/>
      <c r="F39" s="259"/>
      <c r="G39" s="436"/>
      <c r="H39" s="260" t="s">
        <v>1854</v>
      </c>
      <c r="I39" s="433"/>
      <c r="J39" s="257" t="s">
        <v>1854</v>
      </c>
      <c r="K39" s="258"/>
      <c r="L39" s="259"/>
      <c r="M39" s="259"/>
      <c r="N39" s="259"/>
      <c r="O39" s="436"/>
      <c r="P39" s="260" t="s">
        <v>1854</v>
      </c>
    </row>
    <row r="40" spans="1:16" ht="15.75" thickBot="1">
      <c r="A40" s="433"/>
      <c r="B40" s="257" t="s">
        <v>1855</v>
      </c>
      <c r="C40" s="258"/>
      <c r="D40" s="259"/>
      <c r="E40" s="259"/>
      <c r="F40" s="259"/>
      <c r="G40" s="436"/>
      <c r="H40" s="260" t="s">
        <v>1855</v>
      </c>
      <c r="I40" s="433"/>
      <c r="J40" s="257" t="s">
        <v>1855</v>
      </c>
      <c r="K40" s="258"/>
      <c r="L40" s="259"/>
      <c r="M40" s="259"/>
      <c r="N40" s="259"/>
      <c r="O40" s="436"/>
      <c r="P40" s="260" t="s">
        <v>1855</v>
      </c>
    </row>
    <row r="41" spans="1:16" ht="15.75" thickBot="1">
      <c r="A41" s="433"/>
      <c r="B41" s="257" t="s">
        <v>1856</v>
      </c>
      <c r="C41" s="258"/>
      <c r="D41" s="259"/>
      <c r="E41" s="259"/>
      <c r="F41" s="259"/>
      <c r="G41" s="436"/>
      <c r="H41" s="260" t="s">
        <v>1856</v>
      </c>
      <c r="I41" s="433"/>
      <c r="J41" s="257" t="s">
        <v>1856</v>
      </c>
      <c r="K41" s="258"/>
      <c r="L41" s="259"/>
      <c r="M41" s="259"/>
      <c r="N41" s="259"/>
      <c r="O41" s="436"/>
      <c r="P41" s="260" t="s">
        <v>1856</v>
      </c>
    </row>
    <row r="42" spans="1:16" ht="26.25" thickBot="1">
      <c r="A42" s="434"/>
      <c r="B42" s="257" t="s">
        <v>1857</v>
      </c>
      <c r="C42" s="258"/>
      <c r="D42" s="259"/>
      <c r="E42" s="259"/>
      <c r="F42" s="259"/>
      <c r="G42" s="437"/>
      <c r="H42" s="260" t="s">
        <v>1858</v>
      </c>
      <c r="I42" s="434"/>
      <c r="J42" s="257" t="s">
        <v>1857</v>
      </c>
      <c r="K42" s="258"/>
      <c r="L42" s="259"/>
      <c r="M42" s="259"/>
      <c r="N42" s="259"/>
      <c r="O42" s="437"/>
      <c r="P42" s="260" t="s">
        <v>1858</v>
      </c>
    </row>
    <row r="43" spans="1:16" ht="15.75" thickBot="1">
      <c r="A43" s="432" t="s">
        <v>2186</v>
      </c>
      <c r="B43" s="257" t="s">
        <v>1845</v>
      </c>
      <c r="C43" s="258"/>
      <c r="D43" s="259"/>
      <c r="E43" s="259"/>
      <c r="F43" s="259"/>
      <c r="G43" s="435" t="s">
        <v>2186</v>
      </c>
      <c r="H43" s="260" t="s">
        <v>1845</v>
      </c>
      <c r="I43" s="432" t="s">
        <v>2186</v>
      </c>
      <c r="J43" s="257" t="s">
        <v>1845</v>
      </c>
      <c r="K43" s="258"/>
      <c r="L43" s="259"/>
      <c r="M43" s="259"/>
      <c r="N43" s="259"/>
      <c r="O43" s="435" t="s">
        <v>2186</v>
      </c>
      <c r="P43" s="260" t="s">
        <v>1845</v>
      </c>
    </row>
    <row r="44" spans="1:16" ht="15.75" thickBot="1">
      <c r="A44" s="433"/>
      <c r="B44" s="257" t="s">
        <v>1847</v>
      </c>
      <c r="C44" s="258"/>
      <c r="D44" s="259"/>
      <c r="E44" s="259"/>
      <c r="F44" s="259"/>
      <c r="G44" s="436"/>
      <c r="H44" s="260" t="s">
        <v>1847</v>
      </c>
      <c r="I44" s="433"/>
      <c r="J44" s="257" t="s">
        <v>1847</v>
      </c>
      <c r="K44" s="258"/>
      <c r="L44" s="259"/>
      <c r="M44" s="259"/>
      <c r="N44" s="259"/>
      <c r="O44" s="436"/>
      <c r="P44" s="260" t="s">
        <v>1847</v>
      </c>
    </row>
    <row r="45" spans="1:16" ht="15.75" thickBot="1">
      <c r="A45" s="433"/>
      <c r="B45" s="257" t="s">
        <v>1848</v>
      </c>
      <c r="C45" s="258"/>
      <c r="D45" s="259"/>
      <c r="E45" s="259"/>
      <c r="F45" s="259"/>
      <c r="G45" s="436"/>
      <c r="H45" s="260" t="s">
        <v>1848</v>
      </c>
      <c r="I45" s="433"/>
      <c r="J45" s="257" t="s">
        <v>1848</v>
      </c>
      <c r="K45" s="258"/>
      <c r="L45" s="259"/>
      <c r="M45" s="259"/>
      <c r="N45" s="259"/>
      <c r="O45" s="436"/>
      <c r="P45" s="260" t="s">
        <v>1848</v>
      </c>
    </row>
    <row r="46" spans="1:16" ht="15.75" thickBot="1">
      <c r="A46" s="433"/>
      <c r="B46" s="257" t="s">
        <v>1849</v>
      </c>
      <c r="C46" s="258"/>
      <c r="D46" s="259"/>
      <c r="E46" s="259"/>
      <c r="F46" s="259"/>
      <c r="G46" s="436"/>
      <c r="H46" s="260" t="s">
        <v>1849</v>
      </c>
      <c r="I46" s="433"/>
      <c r="J46" s="257" t="s">
        <v>1849</v>
      </c>
      <c r="K46" s="258"/>
      <c r="L46" s="259"/>
      <c r="M46" s="259"/>
      <c r="N46" s="259"/>
      <c r="O46" s="436"/>
      <c r="P46" s="260" t="s">
        <v>1849</v>
      </c>
    </row>
    <row r="47" spans="1:16" ht="15.75" thickBot="1">
      <c r="A47" s="433"/>
      <c r="B47" s="257" t="s">
        <v>1850</v>
      </c>
      <c r="C47" s="258"/>
      <c r="D47" s="259"/>
      <c r="E47" s="259"/>
      <c r="F47" s="259"/>
      <c r="G47" s="436"/>
      <c r="H47" s="260" t="s">
        <v>1850</v>
      </c>
      <c r="I47" s="433"/>
      <c r="J47" s="257" t="s">
        <v>1850</v>
      </c>
      <c r="K47" s="258"/>
      <c r="L47" s="259"/>
      <c r="M47" s="259"/>
      <c r="N47" s="259"/>
      <c r="O47" s="436"/>
      <c r="P47" s="260" t="s">
        <v>1850</v>
      </c>
    </row>
    <row r="48" spans="1:16" ht="15.75" thickBot="1">
      <c r="A48" s="433"/>
      <c r="B48" s="257" t="s">
        <v>1851</v>
      </c>
      <c r="C48" s="258"/>
      <c r="D48" s="259"/>
      <c r="E48" s="259"/>
      <c r="F48" s="259"/>
      <c r="G48" s="436"/>
      <c r="H48" s="260" t="s">
        <v>1851</v>
      </c>
      <c r="I48" s="433"/>
      <c r="J48" s="257" t="s">
        <v>1851</v>
      </c>
      <c r="K48" s="258"/>
      <c r="L48" s="259"/>
      <c r="M48" s="259"/>
      <c r="N48" s="259"/>
      <c r="O48" s="436"/>
      <c r="P48" s="260" t="s">
        <v>1851</v>
      </c>
    </row>
    <row r="49" spans="1:16" ht="15.75" thickBot="1">
      <c r="A49" s="433"/>
      <c r="B49" s="257" t="s">
        <v>1852</v>
      </c>
      <c r="C49" s="258"/>
      <c r="D49" s="259"/>
      <c r="E49" s="259"/>
      <c r="F49" s="259"/>
      <c r="G49" s="436"/>
      <c r="H49" s="260" t="s">
        <v>1852</v>
      </c>
      <c r="I49" s="433"/>
      <c r="J49" s="257" t="s">
        <v>1852</v>
      </c>
      <c r="K49" s="258"/>
      <c r="L49" s="259"/>
      <c r="M49" s="259"/>
      <c r="N49" s="259"/>
      <c r="O49" s="436"/>
      <c r="P49" s="260" t="s">
        <v>1852</v>
      </c>
    </row>
    <row r="50" spans="1:16" ht="15.75" thickBot="1">
      <c r="A50" s="433"/>
      <c r="B50" s="257" t="s">
        <v>1853</v>
      </c>
      <c r="C50" s="258"/>
      <c r="D50" s="259"/>
      <c r="E50" s="259"/>
      <c r="F50" s="259"/>
      <c r="G50" s="436"/>
      <c r="H50" s="260" t="s">
        <v>1853</v>
      </c>
      <c r="I50" s="433"/>
      <c r="J50" s="257" t="s">
        <v>1853</v>
      </c>
      <c r="K50" s="258"/>
      <c r="L50" s="259"/>
      <c r="M50" s="259"/>
      <c r="N50" s="259"/>
      <c r="O50" s="436"/>
      <c r="P50" s="260" t="s">
        <v>1853</v>
      </c>
    </row>
    <row r="51" spans="1:16" ht="15.75" thickBot="1">
      <c r="A51" s="433"/>
      <c r="B51" s="257" t="s">
        <v>1854</v>
      </c>
      <c r="C51" s="258"/>
      <c r="D51" s="259"/>
      <c r="E51" s="259"/>
      <c r="F51" s="259"/>
      <c r="G51" s="436"/>
      <c r="H51" s="260" t="s">
        <v>1854</v>
      </c>
      <c r="I51" s="433"/>
      <c r="J51" s="257" t="s">
        <v>1854</v>
      </c>
      <c r="K51" s="258"/>
      <c r="L51" s="259"/>
      <c r="M51" s="259"/>
      <c r="N51" s="259"/>
      <c r="O51" s="436"/>
      <c r="P51" s="260" t="s">
        <v>1854</v>
      </c>
    </row>
    <row r="52" spans="1:16" ht="15.75" thickBot="1">
      <c r="A52" s="433"/>
      <c r="B52" s="257" t="s">
        <v>1855</v>
      </c>
      <c r="C52" s="258"/>
      <c r="D52" s="259"/>
      <c r="E52" s="259"/>
      <c r="F52" s="259"/>
      <c r="G52" s="436"/>
      <c r="H52" s="260" t="s">
        <v>1855</v>
      </c>
      <c r="I52" s="433"/>
      <c r="J52" s="257" t="s">
        <v>1855</v>
      </c>
      <c r="K52" s="258"/>
      <c r="L52" s="259"/>
      <c r="M52" s="259"/>
      <c r="N52" s="259"/>
      <c r="O52" s="436"/>
      <c r="P52" s="260" t="s">
        <v>1855</v>
      </c>
    </row>
    <row r="53" spans="1:16" ht="15.75" thickBot="1">
      <c r="A53" s="433"/>
      <c r="B53" s="257" t="s">
        <v>1856</v>
      </c>
      <c r="C53" s="258"/>
      <c r="D53" s="259"/>
      <c r="E53" s="259"/>
      <c r="F53" s="259"/>
      <c r="G53" s="436"/>
      <c r="H53" s="260" t="s">
        <v>1856</v>
      </c>
      <c r="I53" s="433"/>
      <c r="J53" s="257" t="s">
        <v>1856</v>
      </c>
      <c r="K53" s="258"/>
      <c r="L53" s="259"/>
      <c r="M53" s="259"/>
      <c r="N53" s="259"/>
      <c r="O53" s="436"/>
      <c r="P53" s="260" t="s">
        <v>1856</v>
      </c>
    </row>
    <row r="54" spans="1:16" ht="26.25" thickBot="1">
      <c r="A54" s="434"/>
      <c r="B54" s="257" t="s">
        <v>1857</v>
      </c>
      <c r="C54" s="258"/>
      <c r="D54" s="259"/>
      <c r="E54" s="259"/>
      <c r="F54" s="259"/>
      <c r="G54" s="437"/>
      <c r="H54" s="260" t="s">
        <v>1858</v>
      </c>
      <c r="I54" s="434"/>
      <c r="J54" s="257" t="s">
        <v>1857</v>
      </c>
      <c r="K54" s="258"/>
      <c r="L54" s="259"/>
      <c r="M54" s="259"/>
      <c r="N54" s="259"/>
      <c r="O54" s="437"/>
      <c r="P54" s="260" t="s">
        <v>1858</v>
      </c>
    </row>
    <row r="55" spans="1:16" ht="15.75" thickBot="1">
      <c r="A55" s="432" t="s">
        <v>2187</v>
      </c>
      <c r="B55" s="257" t="s">
        <v>1845</v>
      </c>
      <c r="C55" s="258"/>
      <c r="D55" s="259"/>
      <c r="E55" s="259"/>
      <c r="F55" s="259"/>
      <c r="G55" s="435" t="s">
        <v>2187</v>
      </c>
      <c r="H55" s="260" t="s">
        <v>1845</v>
      </c>
      <c r="I55" s="432" t="s">
        <v>2187</v>
      </c>
      <c r="J55" s="257" t="s">
        <v>1845</v>
      </c>
      <c r="K55" s="258"/>
      <c r="L55" s="259"/>
      <c r="M55" s="259"/>
      <c r="N55" s="259"/>
      <c r="O55" s="435" t="s">
        <v>2187</v>
      </c>
      <c r="P55" s="260" t="s">
        <v>1845</v>
      </c>
    </row>
    <row r="56" spans="1:16" ht="15.75" thickBot="1">
      <c r="A56" s="433"/>
      <c r="B56" s="257" t="s">
        <v>1847</v>
      </c>
      <c r="C56" s="258"/>
      <c r="D56" s="259"/>
      <c r="E56" s="259"/>
      <c r="F56" s="259"/>
      <c r="G56" s="436"/>
      <c r="H56" s="260" t="s">
        <v>1847</v>
      </c>
      <c r="I56" s="433"/>
      <c r="J56" s="257" t="s">
        <v>1847</v>
      </c>
      <c r="K56" s="258"/>
      <c r="L56" s="259"/>
      <c r="M56" s="259"/>
      <c r="N56" s="259"/>
      <c r="O56" s="436"/>
      <c r="P56" s="260" t="s">
        <v>1847</v>
      </c>
    </row>
    <row r="57" spans="1:16" ht="15.75" thickBot="1">
      <c r="A57" s="433"/>
      <c r="B57" s="257" t="s">
        <v>1848</v>
      </c>
      <c r="C57" s="258"/>
      <c r="D57" s="259"/>
      <c r="E57" s="259"/>
      <c r="F57" s="259"/>
      <c r="G57" s="436"/>
      <c r="H57" s="260" t="s">
        <v>1848</v>
      </c>
      <c r="I57" s="433"/>
      <c r="J57" s="257" t="s">
        <v>1848</v>
      </c>
      <c r="K57" s="258"/>
      <c r="L57" s="259"/>
      <c r="M57" s="259"/>
      <c r="N57" s="259"/>
      <c r="O57" s="436"/>
      <c r="P57" s="260" t="s">
        <v>1848</v>
      </c>
    </row>
    <row r="58" spans="1:16" ht="15.75" thickBot="1">
      <c r="A58" s="433"/>
      <c r="B58" s="257" t="s">
        <v>1849</v>
      </c>
      <c r="C58" s="258"/>
      <c r="D58" s="259"/>
      <c r="E58" s="259"/>
      <c r="F58" s="259"/>
      <c r="G58" s="436"/>
      <c r="H58" s="260" t="s">
        <v>1849</v>
      </c>
      <c r="I58" s="433"/>
      <c r="J58" s="257" t="s">
        <v>1849</v>
      </c>
      <c r="K58" s="258"/>
      <c r="L58" s="259"/>
      <c r="M58" s="259"/>
      <c r="N58" s="259"/>
      <c r="O58" s="436"/>
      <c r="P58" s="260" t="s">
        <v>1849</v>
      </c>
    </row>
    <row r="59" spans="1:16" ht="15.75" thickBot="1">
      <c r="A59" s="433"/>
      <c r="B59" s="257" t="s">
        <v>1850</v>
      </c>
      <c r="C59" s="258"/>
      <c r="D59" s="259"/>
      <c r="E59" s="259"/>
      <c r="F59" s="259"/>
      <c r="G59" s="436"/>
      <c r="H59" s="260" t="s">
        <v>1850</v>
      </c>
      <c r="I59" s="433"/>
      <c r="J59" s="257" t="s">
        <v>1850</v>
      </c>
      <c r="K59" s="258"/>
      <c r="L59" s="259"/>
      <c r="M59" s="259"/>
      <c r="N59" s="259"/>
      <c r="O59" s="436"/>
      <c r="P59" s="260" t="s">
        <v>1850</v>
      </c>
    </row>
    <row r="60" spans="1:16" ht="15.75" thickBot="1">
      <c r="A60" s="433"/>
      <c r="B60" s="257" t="s">
        <v>1851</v>
      </c>
      <c r="C60" s="258"/>
      <c r="D60" s="259"/>
      <c r="E60" s="259"/>
      <c r="F60" s="259"/>
      <c r="G60" s="436"/>
      <c r="H60" s="260" t="s">
        <v>1851</v>
      </c>
      <c r="I60" s="433"/>
      <c r="J60" s="257" t="s">
        <v>1851</v>
      </c>
      <c r="K60" s="258"/>
      <c r="L60" s="259"/>
      <c r="M60" s="259"/>
      <c r="N60" s="259"/>
      <c r="O60" s="436"/>
      <c r="P60" s="260" t="s">
        <v>1851</v>
      </c>
    </row>
    <row r="61" spans="1:16" ht="15.75" thickBot="1">
      <c r="A61" s="433"/>
      <c r="B61" s="257" t="s">
        <v>1852</v>
      </c>
      <c r="C61" s="258"/>
      <c r="D61" s="259"/>
      <c r="E61" s="259"/>
      <c r="F61" s="259"/>
      <c r="G61" s="436"/>
      <c r="H61" s="260" t="s">
        <v>1852</v>
      </c>
      <c r="I61" s="433"/>
      <c r="J61" s="257" t="s">
        <v>1852</v>
      </c>
      <c r="K61" s="258"/>
      <c r="L61" s="259"/>
      <c r="M61" s="259"/>
      <c r="N61" s="259"/>
      <c r="O61" s="436"/>
      <c r="P61" s="260" t="s">
        <v>1852</v>
      </c>
    </row>
    <row r="62" spans="1:16" ht="15.75" thickBot="1">
      <c r="A62" s="433"/>
      <c r="B62" s="257" t="s">
        <v>1853</v>
      </c>
      <c r="C62" s="258"/>
      <c r="D62" s="259"/>
      <c r="E62" s="259"/>
      <c r="F62" s="259"/>
      <c r="G62" s="436"/>
      <c r="H62" s="260" t="s">
        <v>1853</v>
      </c>
      <c r="I62" s="433"/>
      <c r="J62" s="257" t="s">
        <v>1853</v>
      </c>
      <c r="K62" s="258"/>
      <c r="L62" s="259"/>
      <c r="M62" s="259"/>
      <c r="N62" s="259"/>
      <c r="O62" s="436"/>
      <c r="P62" s="260" t="s">
        <v>1853</v>
      </c>
    </row>
    <row r="63" spans="1:16" ht="15.75" thickBot="1">
      <c r="A63" s="433"/>
      <c r="B63" s="257" t="s">
        <v>1854</v>
      </c>
      <c r="C63" s="258"/>
      <c r="D63" s="259"/>
      <c r="E63" s="259"/>
      <c r="F63" s="259"/>
      <c r="G63" s="436"/>
      <c r="H63" s="260" t="s">
        <v>1854</v>
      </c>
      <c r="I63" s="433"/>
      <c r="J63" s="257" t="s">
        <v>1854</v>
      </c>
      <c r="K63" s="258"/>
      <c r="L63" s="259"/>
      <c r="M63" s="259"/>
      <c r="N63" s="259"/>
      <c r="O63" s="436"/>
      <c r="P63" s="260" t="s">
        <v>1854</v>
      </c>
    </row>
    <row r="64" spans="1:16" ht="15.75" thickBot="1">
      <c r="A64" s="433"/>
      <c r="B64" s="257" t="s">
        <v>1855</v>
      </c>
      <c r="C64" s="258"/>
      <c r="D64" s="259"/>
      <c r="E64" s="259"/>
      <c r="F64" s="259"/>
      <c r="G64" s="436"/>
      <c r="H64" s="260" t="s">
        <v>1855</v>
      </c>
      <c r="I64" s="433"/>
      <c r="J64" s="257" t="s">
        <v>1855</v>
      </c>
      <c r="K64" s="258"/>
      <c r="L64" s="259"/>
      <c r="M64" s="259"/>
      <c r="N64" s="259"/>
      <c r="O64" s="436"/>
      <c r="P64" s="260" t="s">
        <v>1855</v>
      </c>
    </row>
    <row r="65" spans="1:16" ht="15.75" thickBot="1">
      <c r="A65" s="433"/>
      <c r="B65" s="257" t="s">
        <v>1856</v>
      </c>
      <c r="C65" s="258"/>
      <c r="D65" s="259"/>
      <c r="E65" s="259"/>
      <c r="F65" s="259"/>
      <c r="G65" s="436"/>
      <c r="H65" s="260" t="s">
        <v>1856</v>
      </c>
      <c r="I65" s="433"/>
      <c r="J65" s="257" t="s">
        <v>1856</v>
      </c>
      <c r="K65" s="258"/>
      <c r="L65" s="259"/>
      <c r="M65" s="259"/>
      <c r="N65" s="259"/>
      <c r="O65" s="436"/>
      <c r="P65" s="260" t="s">
        <v>1856</v>
      </c>
    </row>
    <row r="66" spans="1:16" ht="26.25" thickBot="1">
      <c r="A66" s="434"/>
      <c r="B66" s="257" t="s">
        <v>1857</v>
      </c>
      <c r="C66" s="258"/>
      <c r="D66" s="259"/>
      <c r="E66" s="259"/>
      <c r="F66" s="259"/>
      <c r="G66" s="437"/>
      <c r="H66" s="260" t="s">
        <v>1858</v>
      </c>
      <c r="I66" s="434"/>
      <c r="J66" s="257" t="s">
        <v>1857</v>
      </c>
      <c r="K66" s="258"/>
      <c r="L66" s="259"/>
      <c r="M66" s="259"/>
      <c r="N66" s="259"/>
      <c r="O66" s="437"/>
      <c r="P66" s="260" t="s">
        <v>1858</v>
      </c>
    </row>
    <row r="67" spans="1:16" ht="15.75" thickBot="1">
      <c r="A67" s="432" t="s">
        <v>2188</v>
      </c>
      <c r="B67" s="257" t="s">
        <v>1845</v>
      </c>
      <c r="C67" s="258"/>
      <c r="D67" s="259"/>
      <c r="E67" s="259"/>
      <c r="F67" s="259"/>
      <c r="G67" s="435" t="s">
        <v>2188</v>
      </c>
      <c r="H67" s="260" t="s">
        <v>1845</v>
      </c>
      <c r="I67" s="432" t="s">
        <v>2188</v>
      </c>
      <c r="J67" s="257" t="s">
        <v>1845</v>
      </c>
      <c r="K67" s="258"/>
      <c r="L67" s="259"/>
      <c r="M67" s="259"/>
      <c r="N67" s="259"/>
      <c r="O67" s="435" t="s">
        <v>2188</v>
      </c>
      <c r="P67" s="260" t="s">
        <v>1845</v>
      </c>
    </row>
    <row r="68" spans="1:16" ht="15.75" thickBot="1">
      <c r="A68" s="433"/>
      <c r="B68" s="257" t="s">
        <v>1847</v>
      </c>
      <c r="C68" s="258"/>
      <c r="D68" s="259"/>
      <c r="E68" s="259"/>
      <c r="F68" s="259"/>
      <c r="G68" s="436"/>
      <c r="H68" s="260" t="s">
        <v>1847</v>
      </c>
      <c r="I68" s="433"/>
      <c r="J68" s="257" t="s">
        <v>1847</v>
      </c>
      <c r="K68" s="258"/>
      <c r="L68" s="259"/>
      <c r="M68" s="259"/>
      <c r="N68" s="259"/>
      <c r="O68" s="436"/>
      <c r="P68" s="260" t="s">
        <v>1847</v>
      </c>
    </row>
    <row r="69" spans="1:16" ht="15.75" thickBot="1">
      <c r="A69" s="433"/>
      <c r="B69" s="257" t="s">
        <v>1848</v>
      </c>
      <c r="C69" s="258"/>
      <c r="D69" s="259"/>
      <c r="E69" s="259"/>
      <c r="F69" s="259"/>
      <c r="G69" s="436"/>
      <c r="H69" s="260" t="s">
        <v>1848</v>
      </c>
      <c r="I69" s="433"/>
      <c r="J69" s="257" t="s">
        <v>1848</v>
      </c>
      <c r="K69" s="258"/>
      <c r="L69" s="259"/>
      <c r="M69" s="259"/>
      <c r="N69" s="259"/>
      <c r="O69" s="436"/>
      <c r="P69" s="260" t="s">
        <v>1848</v>
      </c>
    </row>
    <row r="70" spans="1:16" ht="15.75" thickBot="1">
      <c r="A70" s="433"/>
      <c r="B70" s="257" t="s">
        <v>1849</v>
      </c>
      <c r="C70" s="258"/>
      <c r="D70" s="259"/>
      <c r="E70" s="259"/>
      <c r="F70" s="259"/>
      <c r="G70" s="436"/>
      <c r="H70" s="260" t="s">
        <v>1849</v>
      </c>
      <c r="I70" s="433"/>
      <c r="J70" s="257" t="s">
        <v>1849</v>
      </c>
      <c r="K70" s="258"/>
      <c r="L70" s="259"/>
      <c r="M70" s="259"/>
      <c r="N70" s="259"/>
      <c r="O70" s="436"/>
      <c r="P70" s="260" t="s">
        <v>1849</v>
      </c>
    </row>
    <row r="71" spans="1:16" ht="15.75" thickBot="1">
      <c r="A71" s="433"/>
      <c r="B71" s="257" t="s">
        <v>1850</v>
      </c>
      <c r="C71" s="258"/>
      <c r="D71" s="259"/>
      <c r="E71" s="259"/>
      <c r="F71" s="259"/>
      <c r="G71" s="436"/>
      <c r="H71" s="260" t="s">
        <v>1850</v>
      </c>
      <c r="I71" s="433"/>
      <c r="J71" s="257" t="s">
        <v>1850</v>
      </c>
      <c r="K71" s="258"/>
      <c r="L71" s="259"/>
      <c r="M71" s="259"/>
      <c r="N71" s="259"/>
      <c r="O71" s="436"/>
      <c r="P71" s="260" t="s">
        <v>1850</v>
      </c>
    </row>
    <row r="72" spans="1:16" ht="15.75" thickBot="1">
      <c r="A72" s="433"/>
      <c r="B72" s="257" t="s">
        <v>1851</v>
      </c>
      <c r="C72" s="258"/>
      <c r="D72" s="259"/>
      <c r="E72" s="259"/>
      <c r="F72" s="259"/>
      <c r="G72" s="436"/>
      <c r="H72" s="260" t="s">
        <v>1851</v>
      </c>
      <c r="I72" s="433"/>
      <c r="J72" s="257" t="s">
        <v>1851</v>
      </c>
      <c r="K72" s="258"/>
      <c r="L72" s="259"/>
      <c r="M72" s="259"/>
      <c r="N72" s="259"/>
      <c r="O72" s="436"/>
      <c r="P72" s="260" t="s">
        <v>1851</v>
      </c>
    </row>
    <row r="73" spans="1:16" ht="15.75" thickBot="1">
      <c r="A73" s="433"/>
      <c r="B73" s="257" t="s">
        <v>1852</v>
      </c>
      <c r="C73" s="258"/>
      <c r="D73" s="259"/>
      <c r="E73" s="259"/>
      <c r="F73" s="259"/>
      <c r="G73" s="436"/>
      <c r="H73" s="260" t="s">
        <v>1852</v>
      </c>
      <c r="I73" s="433"/>
      <c r="J73" s="257" t="s">
        <v>1852</v>
      </c>
      <c r="K73" s="258"/>
      <c r="L73" s="259"/>
      <c r="M73" s="259"/>
      <c r="N73" s="259"/>
      <c r="O73" s="436"/>
      <c r="P73" s="260" t="s">
        <v>1852</v>
      </c>
    </row>
    <row r="74" spans="1:16" ht="15.75" thickBot="1">
      <c r="A74" s="433"/>
      <c r="B74" s="257" t="s">
        <v>1853</v>
      </c>
      <c r="C74" s="258"/>
      <c r="D74" s="259"/>
      <c r="E74" s="259"/>
      <c r="F74" s="259"/>
      <c r="G74" s="436"/>
      <c r="H74" s="260" t="s">
        <v>1853</v>
      </c>
      <c r="I74" s="433"/>
      <c r="J74" s="257" t="s">
        <v>1853</v>
      </c>
      <c r="K74" s="258"/>
      <c r="L74" s="259"/>
      <c r="M74" s="259"/>
      <c r="N74" s="259"/>
      <c r="O74" s="436"/>
      <c r="P74" s="260" t="s">
        <v>1853</v>
      </c>
    </row>
    <row r="75" spans="1:16" ht="15.75" thickBot="1">
      <c r="A75" s="433"/>
      <c r="B75" s="257" t="s">
        <v>1854</v>
      </c>
      <c r="C75" s="258"/>
      <c r="D75" s="259"/>
      <c r="E75" s="259"/>
      <c r="F75" s="259"/>
      <c r="G75" s="436"/>
      <c r="H75" s="260" t="s">
        <v>1854</v>
      </c>
      <c r="I75" s="433"/>
      <c r="J75" s="257" t="s">
        <v>1854</v>
      </c>
      <c r="K75" s="258"/>
      <c r="L75" s="259"/>
      <c r="M75" s="259"/>
      <c r="N75" s="259"/>
      <c r="O75" s="436"/>
      <c r="P75" s="260" t="s">
        <v>1854</v>
      </c>
    </row>
    <row r="76" spans="1:16" ht="15.75" thickBot="1">
      <c r="A76" s="433"/>
      <c r="B76" s="257" t="s">
        <v>1855</v>
      </c>
      <c r="C76" s="258"/>
      <c r="D76" s="259"/>
      <c r="E76" s="259"/>
      <c r="F76" s="259"/>
      <c r="G76" s="436"/>
      <c r="H76" s="260" t="s">
        <v>1855</v>
      </c>
      <c r="I76" s="433"/>
      <c r="J76" s="257" t="s">
        <v>1855</v>
      </c>
      <c r="K76" s="258"/>
      <c r="L76" s="259"/>
      <c r="M76" s="259"/>
      <c r="N76" s="259"/>
      <c r="O76" s="436"/>
      <c r="P76" s="260" t="s">
        <v>1855</v>
      </c>
    </row>
    <row r="77" spans="1:16" ht="15.75" thickBot="1">
      <c r="A77" s="433"/>
      <c r="B77" s="257" t="s">
        <v>1856</v>
      </c>
      <c r="C77" s="258"/>
      <c r="D77" s="259"/>
      <c r="E77" s="259"/>
      <c r="F77" s="259"/>
      <c r="G77" s="436"/>
      <c r="H77" s="260" t="s">
        <v>1856</v>
      </c>
      <c r="I77" s="433"/>
      <c r="J77" s="257" t="s">
        <v>1856</v>
      </c>
      <c r="K77" s="258"/>
      <c r="L77" s="259"/>
      <c r="M77" s="259"/>
      <c r="N77" s="259"/>
      <c r="O77" s="436"/>
      <c r="P77" s="260" t="s">
        <v>1856</v>
      </c>
    </row>
    <row r="78" spans="1:16" ht="26.25" thickBot="1">
      <c r="A78" s="434"/>
      <c r="B78" s="257" t="s">
        <v>1857</v>
      </c>
      <c r="C78" s="258"/>
      <c r="D78" s="259"/>
      <c r="E78" s="259"/>
      <c r="F78" s="259"/>
      <c r="G78" s="437"/>
      <c r="H78" s="260" t="s">
        <v>1858</v>
      </c>
      <c r="I78" s="434"/>
      <c r="J78" s="257" t="s">
        <v>1857</v>
      </c>
      <c r="K78" s="258"/>
      <c r="L78" s="259"/>
      <c r="M78" s="259"/>
      <c r="N78" s="259"/>
      <c r="O78" s="437"/>
      <c r="P78" s="260" t="s">
        <v>1858</v>
      </c>
    </row>
    <row r="79" spans="1:16" ht="15.75" thickBot="1">
      <c r="A79" s="432" t="s">
        <v>2189</v>
      </c>
      <c r="B79" s="257" t="s">
        <v>1845</v>
      </c>
      <c r="C79" s="258"/>
      <c r="D79" s="259"/>
      <c r="E79" s="259"/>
      <c r="F79" s="259"/>
      <c r="G79" s="435" t="s">
        <v>2189</v>
      </c>
      <c r="H79" s="260" t="s">
        <v>1845</v>
      </c>
      <c r="I79" s="432" t="s">
        <v>2189</v>
      </c>
      <c r="J79" s="257" t="s">
        <v>1845</v>
      </c>
      <c r="K79" s="258"/>
      <c r="L79" s="259"/>
      <c r="M79" s="259"/>
      <c r="N79" s="259"/>
      <c r="O79" s="435" t="s">
        <v>2189</v>
      </c>
      <c r="P79" s="260" t="s">
        <v>1845</v>
      </c>
    </row>
    <row r="80" spans="1:16" ht="15.75" thickBot="1">
      <c r="A80" s="433"/>
      <c r="B80" s="257" t="s">
        <v>1847</v>
      </c>
      <c r="C80" s="258"/>
      <c r="D80" s="259"/>
      <c r="E80" s="259"/>
      <c r="F80" s="259"/>
      <c r="G80" s="436"/>
      <c r="H80" s="260" t="s">
        <v>1847</v>
      </c>
      <c r="I80" s="433"/>
      <c r="J80" s="257" t="s">
        <v>1847</v>
      </c>
      <c r="K80" s="258"/>
      <c r="L80" s="259"/>
      <c r="M80" s="259"/>
      <c r="N80" s="259"/>
      <c r="O80" s="436"/>
      <c r="P80" s="260" t="s">
        <v>1847</v>
      </c>
    </row>
    <row r="81" spans="1:16" ht="15.75" thickBot="1">
      <c r="A81" s="433"/>
      <c r="B81" s="257" t="s">
        <v>1848</v>
      </c>
      <c r="C81" s="258"/>
      <c r="D81" s="259"/>
      <c r="E81" s="259"/>
      <c r="F81" s="259"/>
      <c r="G81" s="436"/>
      <c r="H81" s="260" t="s">
        <v>1848</v>
      </c>
      <c r="I81" s="433"/>
      <c r="J81" s="257" t="s">
        <v>1848</v>
      </c>
      <c r="K81" s="258"/>
      <c r="L81" s="259"/>
      <c r="M81" s="259"/>
      <c r="N81" s="259"/>
      <c r="O81" s="436"/>
      <c r="P81" s="260" t="s">
        <v>1848</v>
      </c>
    </row>
    <row r="82" spans="1:16" ht="15.75" thickBot="1">
      <c r="A82" s="433"/>
      <c r="B82" s="257" t="s">
        <v>1849</v>
      </c>
      <c r="C82" s="258"/>
      <c r="D82" s="259"/>
      <c r="E82" s="259"/>
      <c r="F82" s="259"/>
      <c r="G82" s="436"/>
      <c r="H82" s="260" t="s">
        <v>1849</v>
      </c>
      <c r="I82" s="433"/>
      <c r="J82" s="257" t="s">
        <v>1849</v>
      </c>
      <c r="K82" s="258"/>
      <c r="L82" s="259"/>
      <c r="M82" s="259"/>
      <c r="N82" s="259"/>
      <c r="O82" s="436"/>
      <c r="P82" s="260" t="s">
        <v>1849</v>
      </c>
    </row>
    <row r="83" spans="1:16" ht="15.75" thickBot="1">
      <c r="A83" s="433"/>
      <c r="B83" s="257" t="s">
        <v>1850</v>
      </c>
      <c r="C83" s="258"/>
      <c r="D83" s="259"/>
      <c r="E83" s="259"/>
      <c r="F83" s="259"/>
      <c r="G83" s="436"/>
      <c r="H83" s="260" t="s">
        <v>1850</v>
      </c>
      <c r="I83" s="433"/>
      <c r="J83" s="257" t="s">
        <v>1850</v>
      </c>
      <c r="K83" s="258"/>
      <c r="L83" s="259"/>
      <c r="M83" s="259"/>
      <c r="N83" s="259"/>
      <c r="O83" s="436"/>
      <c r="P83" s="260" t="s">
        <v>1850</v>
      </c>
    </row>
    <row r="84" spans="1:16" ht="15.75" thickBot="1">
      <c r="A84" s="433"/>
      <c r="B84" s="257" t="s">
        <v>1851</v>
      </c>
      <c r="C84" s="258"/>
      <c r="D84" s="259"/>
      <c r="E84" s="259"/>
      <c r="F84" s="259"/>
      <c r="G84" s="436"/>
      <c r="H84" s="260" t="s">
        <v>1851</v>
      </c>
      <c r="I84" s="433"/>
      <c r="J84" s="257" t="s">
        <v>1851</v>
      </c>
      <c r="K84" s="258"/>
      <c r="L84" s="259"/>
      <c r="M84" s="259"/>
      <c r="N84" s="259"/>
      <c r="O84" s="436"/>
      <c r="P84" s="260" t="s">
        <v>1851</v>
      </c>
    </row>
    <row r="85" spans="1:16" ht="15.75" thickBot="1">
      <c r="A85" s="433"/>
      <c r="B85" s="257" t="s">
        <v>1852</v>
      </c>
      <c r="C85" s="258"/>
      <c r="D85" s="259"/>
      <c r="E85" s="259"/>
      <c r="F85" s="259"/>
      <c r="G85" s="436"/>
      <c r="H85" s="260" t="s">
        <v>1852</v>
      </c>
      <c r="I85" s="433"/>
      <c r="J85" s="257" t="s">
        <v>1852</v>
      </c>
      <c r="K85" s="258"/>
      <c r="L85" s="259"/>
      <c r="M85" s="259"/>
      <c r="N85" s="259"/>
      <c r="O85" s="436"/>
      <c r="P85" s="260" t="s">
        <v>1852</v>
      </c>
    </row>
    <row r="86" spans="1:16" ht="15.75" thickBot="1">
      <c r="A86" s="433"/>
      <c r="B86" s="257" t="s">
        <v>1853</v>
      </c>
      <c r="C86" s="258"/>
      <c r="D86" s="259"/>
      <c r="E86" s="259"/>
      <c r="F86" s="259"/>
      <c r="G86" s="436"/>
      <c r="H86" s="260" t="s">
        <v>1853</v>
      </c>
      <c r="I86" s="433"/>
      <c r="J86" s="257" t="s">
        <v>1853</v>
      </c>
      <c r="K86" s="258"/>
      <c r="L86" s="259"/>
      <c r="M86" s="259"/>
      <c r="N86" s="259"/>
      <c r="O86" s="436"/>
      <c r="P86" s="260" t="s">
        <v>1853</v>
      </c>
    </row>
    <row r="87" spans="1:16" ht="15.75" thickBot="1">
      <c r="A87" s="433"/>
      <c r="B87" s="257" t="s">
        <v>1854</v>
      </c>
      <c r="C87" s="258"/>
      <c r="D87" s="259"/>
      <c r="E87" s="259"/>
      <c r="F87" s="259"/>
      <c r="G87" s="436"/>
      <c r="H87" s="260" t="s">
        <v>1854</v>
      </c>
      <c r="I87" s="433"/>
      <c r="J87" s="257" t="s">
        <v>1854</v>
      </c>
      <c r="K87" s="258"/>
      <c r="L87" s="259"/>
      <c r="M87" s="259"/>
      <c r="N87" s="259"/>
      <c r="O87" s="436"/>
      <c r="P87" s="260" t="s">
        <v>1854</v>
      </c>
    </row>
    <row r="88" spans="1:16" ht="15.75" thickBot="1">
      <c r="A88" s="433"/>
      <c r="B88" s="257" t="s">
        <v>1855</v>
      </c>
      <c r="C88" s="258"/>
      <c r="D88" s="259"/>
      <c r="E88" s="259"/>
      <c r="F88" s="259"/>
      <c r="G88" s="436"/>
      <c r="H88" s="260" t="s">
        <v>1855</v>
      </c>
      <c r="I88" s="433"/>
      <c r="J88" s="257" t="s">
        <v>1855</v>
      </c>
      <c r="K88" s="258"/>
      <c r="L88" s="259"/>
      <c r="M88" s="259"/>
      <c r="N88" s="259"/>
      <c r="O88" s="436"/>
      <c r="P88" s="260" t="s">
        <v>1855</v>
      </c>
    </row>
    <row r="89" spans="1:16" ht="15.75" thickBot="1">
      <c r="A89" s="433"/>
      <c r="B89" s="257" t="s">
        <v>1856</v>
      </c>
      <c r="C89" s="258"/>
      <c r="D89" s="259"/>
      <c r="E89" s="259"/>
      <c r="F89" s="259"/>
      <c r="G89" s="436"/>
      <c r="H89" s="260" t="s">
        <v>1856</v>
      </c>
      <c r="I89" s="433"/>
      <c r="J89" s="257" t="s">
        <v>1856</v>
      </c>
      <c r="K89" s="258"/>
      <c r="L89" s="259"/>
      <c r="M89" s="259"/>
      <c r="N89" s="259"/>
      <c r="O89" s="436"/>
      <c r="P89" s="260" t="s">
        <v>1856</v>
      </c>
    </row>
    <row r="90" spans="1:16" ht="26.25" thickBot="1">
      <c r="A90" s="434"/>
      <c r="B90" s="257" t="s">
        <v>1857</v>
      </c>
      <c r="C90" s="258"/>
      <c r="D90" s="259"/>
      <c r="E90" s="259"/>
      <c r="F90" s="259"/>
      <c r="G90" s="437"/>
      <c r="H90" s="260" t="s">
        <v>1858</v>
      </c>
      <c r="I90" s="434"/>
      <c r="J90" s="257" t="s">
        <v>1857</v>
      </c>
      <c r="K90" s="258"/>
      <c r="L90" s="259"/>
      <c r="M90" s="259"/>
      <c r="N90" s="259"/>
      <c r="O90" s="437"/>
      <c r="P90" s="260" t="s">
        <v>1858</v>
      </c>
    </row>
    <row r="91" spans="1:16" ht="15.75" thickBot="1">
      <c r="A91" s="432" t="s">
        <v>2190</v>
      </c>
      <c r="B91" s="257" t="s">
        <v>1845</v>
      </c>
      <c r="C91" s="258"/>
      <c r="D91" s="259"/>
      <c r="E91" s="259"/>
      <c r="F91" s="259"/>
      <c r="G91" s="435" t="s">
        <v>2190</v>
      </c>
      <c r="H91" s="260" t="s">
        <v>1845</v>
      </c>
      <c r="I91" s="432" t="s">
        <v>2190</v>
      </c>
      <c r="J91" s="257" t="s">
        <v>1845</v>
      </c>
      <c r="K91" s="258"/>
      <c r="L91" s="259"/>
      <c r="M91" s="259"/>
      <c r="N91" s="259"/>
      <c r="O91" s="435" t="s">
        <v>2190</v>
      </c>
      <c r="P91" s="260" t="s">
        <v>1845</v>
      </c>
    </row>
    <row r="92" spans="1:16" ht="15.75" thickBot="1">
      <c r="A92" s="433"/>
      <c r="B92" s="257" t="s">
        <v>1847</v>
      </c>
      <c r="C92" s="258"/>
      <c r="D92" s="259"/>
      <c r="E92" s="259"/>
      <c r="F92" s="259"/>
      <c r="G92" s="436"/>
      <c r="H92" s="260" t="s">
        <v>1847</v>
      </c>
      <c r="I92" s="433"/>
      <c r="J92" s="257" t="s">
        <v>1847</v>
      </c>
      <c r="K92" s="258"/>
      <c r="L92" s="259"/>
      <c r="M92" s="259"/>
      <c r="N92" s="259"/>
      <c r="O92" s="436"/>
      <c r="P92" s="260" t="s">
        <v>1847</v>
      </c>
    </row>
    <row r="93" spans="1:16" ht="15.75" thickBot="1">
      <c r="A93" s="433"/>
      <c r="B93" s="257" t="s">
        <v>1848</v>
      </c>
      <c r="C93" s="258"/>
      <c r="D93" s="259"/>
      <c r="E93" s="259"/>
      <c r="F93" s="259"/>
      <c r="G93" s="436"/>
      <c r="H93" s="260" t="s">
        <v>1848</v>
      </c>
      <c r="I93" s="433"/>
      <c r="J93" s="257" t="s">
        <v>1848</v>
      </c>
      <c r="K93" s="258"/>
      <c r="L93" s="259"/>
      <c r="M93" s="259"/>
      <c r="N93" s="259"/>
      <c r="O93" s="436"/>
      <c r="P93" s="260" t="s">
        <v>1848</v>
      </c>
    </row>
    <row r="94" spans="1:16" ht="15.75" thickBot="1">
      <c r="A94" s="433"/>
      <c r="B94" s="257" t="s">
        <v>1849</v>
      </c>
      <c r="C94" s="258"/>
      <c r="D94" s="259"/>
      <c r="E94" s="259"/>
      <c r="F94" s="259"/>
      <c r="G94" s="436"/>
      <c r="H94" s="260" t="s">
        <v>1849</v>
      </c>
      <c r="I94" s="433"/>
      <c r="J94" s="257" t="s">
        <v>1849</v>
      </c>
      <c r="K94" s="258"/>
      <c r="L94" s="259"/>
      <c r="M94" s="259"/>
      <c r="N94" s="259"/>
      <c r="O94" s="436"/>
      <c r="P94" s="260" t="s">
        <v>1849</v>
      </c>
    </row>
    <row r="95" spans="1:16" ht="15.75" thickBot="1">
      <c r="A95" s="433"/>
      <c r="B95" s="257" t="s">
        <v>1850</v>
      </c>
      <c r="C95" s="258"/>
      <c r="D95" s="259"/>
      <c r="E95" s="259"/>
      <c r="F95" s="259"/>
      <c r="G95" s="436"/>
      <c r="H95" s="260" t="s">
        <v>1850</v>
      </c>
      <c r="I95" s="433"/>
      <c r="J95" s="257" t="s">
        <v>1850</v>
      </c>
      <c r="K95" s="258"/>
      <c r="L95" s="259"/>
      <c r="M95" s="259"/>
      <c r="N95" s="259"/>
      <c r="O95" s="436"/>
      <c r="P95" s="260" t="s">
        <v>1850</v>
      </c>
    </row>
    <row r="96" spans="1:16" ht="15.75" thickBot="1">
      <c r="A96" s="433"/>
      <c r="B96" s="257" t="s">
        <v>1851</v>
      </c>
      <c r="C96" s="258"/>
      <c r="D96" s="259"/>
      <c r="E96" s="259"/>
      <c r="F96" s="259"/>
      <c r="G96" s="436"/>
      <c r="H96" s="260" t="s">
        <v>1851</v>
      </c>
      <c r="I96" s="433"/>
      <c r="J96" s="257" t="s">
        <v>1851</v>
      </c>
      <c r="K96" s="258"/>
      <c r="L96" s="259"/>
      <c r="M96" s="259"/>
      <c r="N96" s="259"/>
      <c r="O96" s="436"/>
      <c r="P96" s="260" t="s">
        <v>1851</v>
      </c>
    </row>
    <row r="97" spans="1:16" ht="15.75" thickBot="1">
      <c r="A97" s="433"/>
      <c r="B97" s="257" t="s">
        <v>1852</v>
      </c>
      <c r="C97" s="258"/>
      <c r="D97" s="259"/>
      <c r="E97" s="259"/>
      <c r="F97" s="259"/>
      <c r="G97" s="436"/>
      <c r="H97" s="260" t="s">
        <v>1852</v>
      </c>
      <c r="I97" s="433"/>
      <c r="J97" s="257" t="s">
        <v>1852</v>
      </c>
      <c r="K97" s="258"/>
      <c r="L97" s="259"/>
      <c r="M97" s="259"/>
      <c r="N97" s="259"/>
      <c r="O97" s="436"/>
      <c r="P97" s="260" t="s">
        <v>1852</v>
      </c>
    </row>
    <row r="98" spans="1:16" ht="15.75" thickBot="1">
      <c r="A98" s="433"/>
      <c r="B98" s="257" t="s">
        <v>1853</v>
      </c>
      <c r="C98" s="258"/>
      <c r="D98" s="259"/>
      <c r="E98" s="259"/>
      <c r="F98" s="259"/>
      <c r="G98" s="436"/>
      <c r="H98" s="260" t="s">
        <v>1853</v>
      </c>
      <c r="I98" s="433"/>
      <c r="J98" s="257" t="s">
        <v>1853</v>
      </c>
      <c r="K98" s="258"/>
      <c r="L98" s="259"/>
      <c r="M98" s="259"/>
      <c r="N98" s="259"/>
      <c r="O98" s="436"/>
      <c r="P98" s="260" t="s">
        <v>1853</v>
      </c>
    </row>
    <row r="99" spans="1:16" ht="15.75" thickBot="1">
      <c r="A99" s="433"/>
      <c r="B99" s="257" t="s">
        <v>1854</v>
      </c>
      <c r="C99" s="258"/>
      <c r="D99" s="259"/>
      <c r="E99" s="259"/>
      <c r="F99" s="259"/>
      <c r="G99" s="436"/>
      <c r="H99" s="260" t="s">
        <v>1854</v>
      </c>
      <c r="I99" s="433"/>
      <c r="J99" s="257" t="s">
        <v>1854</v>
      </c>
      <c r="K99" s="258"/>
      <c r="L99" s="259"/>
      <c r="M99" s="259"/>
      <c r="N99" s="259"/>
      <c r="O99" s="436"/>
      <c r="P99" s="260" t="s">
        <v>1854</v>
      </c>
    </row>
    <row r="100" spans="1:16" ht="15.75" thickBot="1">
      <c r="A100" s="433"/>
      <c r="B100" s="257" t="s">
        <v>1855</v>
      </c>
      <c r="C100" s="258"/>
      <c r="D100" s="259"/>
      <c r="E100" s="259"/>
      <c r="F100" s="259"/>
      <c r="G100" s="436"/>
      <c r="H100" s="260" t="s">
        <v>1855</v>
      </c>
      <c r="I100" s="433"/>
      <c r="J100" s="257" t="s">
        <v>1855</v>
      </c>
      <c r="K100" s="258"/>
      <c r="L100" s="259"/>
      <c r="M100" s="259"/>
      <c r="N100" s="259"/>
      <c r="O100" s="436"/>
      <c r="P100" s="260" t="s">
        <v>1855</v>
      </c>
    </row>
    <row r="101" spans="1:16" ht="15.75" thickBot="1">
      <c r="A101" s="433"/>
      <c r="B101" s="257" t="s">
        <v>1856</v>
      </c>
      <c r="C101" s="258"/>
      <c r="D101" s="259"/>
      <c r="E101" s="259"/>
      <c r="F101" s="259"/>
      <c r="G101" s="436"/>
      <c r="H101" s="260" t="s">
        <v>1856</v>
      </c>
      <c r="I101" s="433"/>
      <c r="J101" s="257" t="s">
        <v>1856</v>
      </c>
      <c r="K101" s="258"/>
      <c r="L101" s="259"/>
      <c r="M101" s="259"/>
      <c r="N101" s="259"/>
      <c r="O101" s="436"/>
      <c r="P101" s="260" t="s">
        <v>1856</v>
      </c>
    </row>
    <row r="102" spans="1:16" ht="26.25" thickBot="1">
      <c r="A102" s="434"/>
      <c r="B102" s="257" t="s">
        <v>1857</v>
      </c>
      <c r="C102" s="258"/>
      <c r="D102" s="259"/>
      <c r="E102" s="259"/>
      <c r="F102" s="259"/>
      <c r="G102" s="437"/>
      <c r="H102" s="260" t="s">
        <v>1858</v>
      </c>
      <c r="I102" s="434"/>
      <c r="J102" s="257" t="s">
        <v>1857</v>
      </c>
      <c r="K102" s="258"/>
      <c r="L102" s="259"/>
      <c r="M102" s="259"/>
      <c r="N102" s="259"/>
      <c r="O102" s="437"/>
      <c r="P102" s="260" t="s">
        <v>1858</v>
      </c>
    </row>
    <row r="103" spans="1:16" ht="15.75" thickBot="1">
      <c r="A103" s="432" t="s">
        <v>2191</v>
      </c>
      <c r="B103" s="257" t="s">
        <v>1845</v>
      </c>
      <c r="C103" s="258"/>
      <c r="D103" s="259"/>
      <c r="E103" s="259"/>
      <c r="F103" s="259"/>
      <c r="G103" s="435" t="s">
        <v>2191</v>
      </c>
      <c r="H103" s="260" t="s">
        <v>1845</v>
      </c>
      <c r="I103" s="432" t="s">
        <v>2191</v>
      </c>
      <c r="J103" s="257" t="s">
        <v>1845</v>
      </c>
      <c r="K103" s="258"/>
      <c r="L103" s="259"/>
      <c r="M103" s="259"/>
      <c r="N103" s="259"/>
      <c r="O103" s="435" t="s">
        <v>2191</v>
      </c>
      <c r="P103" s="260" t="s">
        <v>1845</v>
      </c>
    </row>
    <row r="104" spans="1:16" ht="15.75" thickBot="1">
      <c r="A104" s="433"/>
      <c r="B104" s="257" t="s">
        <v>1847</v>
      </c>
      <c r="C104" s="258"/>
      <c r="D104" s="259"/>
      <c r="E104" s="259"/>
      <c r="F104" s="259"/>
      <c r="G104" s="436"/>
      <c r="H104" s="260" t="s">
        <v>1847</v>
      </c>
      <c r="I104" s="433"/>
      <c r="J104" s="257" t="s">
        <v>1847</v>
      </c>
      <c r="K104" s="258"/>
      <c r="L104" s="259"/>
      <c r="M104" s="259"/>
      <c r="N104" s="259"/>
      <c r="O104" s="436"/>
      <c r="P104" s="260" t="s">
        <v>1847</v>
      </c>
    </row>
    <row r="105" spans="1:16" ht="15.75" thickBot="1">
      <c r="A105" s="433"/>
      <c r="B105" s="257" t="s">
        <v>1848</v>
      </c>
      <c r="C105" s="258"/>
      <c r="D105" s="259"/>
      <c r="E105" s="259"/>
      <c r="F105" s="259"/>
      <c r="G105" s="436"/>
      <c r="H105" s="260" t="s">
        <v>1848</v>
      </c>
      <c r="I105" s="433"/>
      <c r="J105" s="257" t="s">
        <v>1848</v>
      </c>
      <c r="K105" s="258"/>
      <c r="L105" s="259"/>
      <c r="M105" s="259"/>
      <c r="N105" s="259"/>
      <c r="O105" s="436"/>
      <c r="P105" s="260" t="s">
        <v>1848</v>
      </c>
    </row>
    <row r="106" spans="1:16" ht="15.75" thickBot="1">
      <c r="A106" s="433"/>
      <c r="B106" s="257" t="s">
        <v>1849</v>
      </c>
      <c r="C106" s="258"/>
      <c r="D106" s="259"/>
      <c r="E106" s="259"/>
      <c r="F106" s="259"/>
      <c r="G106" s="436"/>
      <c r="H106" s="260" t="s">
        <v>1849</v>
      </c>
      <c r="I106" s="433"/>
      <c r="J106" s="257" t="s">
        <v>1849</v>
      </c>
      <c r="K106" s="258"/>
      <c r="L106" s="259"/>
      <c r="M106" s="259"/>
      <c r="N106" s="259"/>
      <c r="O106" s="436"/>
      <c r="P106" s="260" t="s">
        <v>1849</v>
      </c>
    </row>
    <row r="107" spans="1:16" ht="15.75" thickBot="1">
      <c r="A107" s="433"/>
      <c r="B107" s="257" t="s">
        <v>1850</v>
      </c>
      <c r="C107" s="258"/>
      <c r="D107" s="259"/>
      <c r="E107" s="259"/>
      <c r="F107" s="259"/>
      <c r="G107" s="436"/>
      <c r="H107" s="260" t="s">
        <v>1850</v>
      </c>
      <c r="I107" s="433"/>
      <c r="J107" s="257" t="s">
        <v>1850</v>
      </c>
      <c r="K107" s="258"/>
      <c r="L107" s="259"/>
      <c r="M107" s="259"/>
      <c r="N107" s="259"/>
      <c r="O107" s="436"/>
      <c r="P107" s="260" t="s">
        <v>1850</v>
      </c>
    </row>
    <row r="108" spans="1:16" ht="15.75" thickBot="1">
      <c r="A108" s="433"/>
      <c r="B108" s="257" t="s">
        <v>1851</v>
      </c>
      <c r="C108" s="258"/>
      <c r="D108" s="259"/>
      <c r="E108" s="259"/>
      <c r="F108" s="259"/>
      <c r="G108" s="436"/>
      <c r="H108" s="260" t="s">
        <v>1851</v>
      </c>
      <c r="I108" s="433"/>
      <c r="J108" s="257" t="s">
        <v>1851</v>
      </c>
      <c r="K108" s="258"/>
      <c r="L108" s="259"/>
      <c r="M108" s="259"/>
      <c r="N108" s="259"/>
      <c r="O108" s="436"/>
      <c r="P108" s="260" t="s">
        <v>1851</v>
      </c>
    </row>
    <row r="109" spans="1:16" ht="15.75" thickBot="1">
      <c r="A109" s="433"/>
      <c r="B109" s="257" t="s">
        <v>1852</v>
      </c>
      <c r="C109" s="258"/>
      <c r="D109" s="259"/>
      <c r="E109" s="259"/>
      <c r="F109" s="259"/>
      <c r="G109" s="436"/>
      <c r="H109" s="260" t="s">
        <v>1852</v>
      </c>
      <c r="I109" s="433"/>
      <c r="J109" s="257" t="s">
        <v>1852</v>
      </c>
      <c r="K109" s="258"/>
      <c r="L109" s="259"/>
      <c r="M109" s="259"/>
      <c r="N109" s="259"/>
      <c r="O109" s="436"/>
      <c r="P109" s="260" t="s">
        <v>1852</v>
      </c>
    </row>
    <row r="110" spans="1:16" ht="15.75" thickBot="1">
      <c r="A110" s="433"/>
      <c r="B110" s="257" t="s">
        <v>1853</v>
      </c>
      <c r="C110" s="258"/>
      <c r="D110" s="259"/>
      <c r="E110" s="259"/>
      <c r="F110" s="259"/>
      <c r="G110" s="436"/>
      <c r="H110" s="260" t="s">
        <v>1853</v>
      </c>
      <c r="I110" s="433"/>
      <c r="J110" s="257" t="s">
        <v>1853</v>
      </c>
      <c r="K110" s="258"/>
      <c r="L110" s="259"/>
      <c r="M110" s="259"/>
      <c r="N110" s="259"/>
      <c r="O110" s="436"/>
      <c r="P110" s="260" t="s">
        <v>1853</v>
      </c>
    </row>
    <row r="111" spans="1:16" ht="15.75" thickBot="1">
      <c r="A111" s="433"/>
      <c r="B111" s="257" t="s">
        <v>1854</v>
      </c>
      <c r="C111" s="258"/>
      <c r="D111" s="259"/>
      <c r="E111" s="259"/>
      <c r="F111" s="259"/>
      <c r="G111" s="436"/>
      <c r="H111" s="260" t="s">
        <v>1854</v>
      </c>
      <c r="I111" s="433"/>
      <c r="J111" s="257" t="s">
        <v>1854</v>
      </c>
      <c r="K111" s="258"/>
      <c r="L111" s="259"/>
      <c r="M111" s="259"/>
      <c r="N111" s="259"/>
      <c r="O111" s="436"/>
      <c r="P111" s="260" t="s">
        <v>1854</v>
      </c>
    </row>
    <row r="112" spans="1:16" ht="15.75" thickBot="1">
      <c r="A112" s="433"/>
      <c r="B112" s="257" t="s">
        <v>1855</v>
      </c>
      <c r="C112" s="258"/>
      <c r="D112" s="259"/>
      <c r="E112" s="259"/>
      <c r="F112" s="259"/>
      <c r="G112" s="436"/>
      <c r="H112" s="260" t="s">
        <v>1855</v>
      </c>
      <c r="I112" s="433"/>
      <c r="J112" s="257" t="s">
        <v>1855</v>
      </c>
      <c r="K112" s="258"/>
      <c r="L112" s="259"/>
      <c r="M112" s="259"/>
      <c r="N112" s="259"/>
      <c r="O112" s="436"/>
      <c r="P112" s="260" t="s">
        <v>1855</v>
      </c>
    </row>
    <row r="113" spans="1:16" ht="15.75" thickBot="1">
      <c r="A113" s="433"/>
      <c r="B113" s="257" t="s">
        <v>1856</v>
      </c>
      <c r="C113" s="258"/>
      <c r="D113" s="259"/>
      <c r="E113" s="259"/>
      <c r="F113" s="259"/>
      <c r="G113" s="436"/>
      <c r="H113" s="260" t="s">
        <v>1856</v>
      </c>
      <c r="I113" s="433"/>
      <c r="J113" s="257" t="s">
        <v>1856</v>
      </c>
      <c r="K113" s="258"/>
      <c r="L113" s="259"/>
      <c r="M113" s="259"/>
      <c r="N113" s="259"/>
      <c r="O113" s="436"/>
      <c r="P113" s="260" t="s">
        <v>1856</v>
      </c>
    </row>
    <row r="114" spans="1:16" ht="26.25" thickBot="1">
      <c r="A114" s="434"/>
      <c r="B114" s="257" t="s">
        <v>1857</v>
      </c>
      <c r="C114" s="258"/>
      <c r="D114" s="259"/>
      <c r="E114" s="259"/>
      <c r="F114" s="259"/>
      <c r="G114" s="437"/>
      <c r="H114" s="260" t="s">
        <v>1858</v>
      </c>
      <c r="I114" s="434"/>
      <c r="J114" s="257" t="s">
        <v>1857</v>
      </c>
      <c r="K114" s="258"/>
      <c r="L114" s="259"/>
      <c r="M114" s="259"/>
      <c r="N114" s="259"/>
      <c r="O114" s="437"/>
      <c r="P114" s="260" t="s">
        <v>1858</v>
      </c>
    </row>
    <row r="115" spans="1:16" ht="15.75" thickBot="1">
      <c r="A115" s="432" t="s">
        <v>2192</v>
      </c>
      <c r="B115" s="257" t="s">
        <v>1845</v>
      </c>
      <c r="C115" s="258"/>
      <c r="D115" s="259"/>
      <c r="E115" s="259"/>
      <c r="F115" s="259"/>
      <c r="G115" s="435" t="s">
        <v>2192</v>
      </c>
      <c r="H115" s="260" t="s">
        <v>1845</v>
      </c>
      <c r="I115" s="432" t="s">
        <v>2192</v>
      </c>
      <c r="J115" s="257" t="s">
        <v>1845</v>
      </c>
      <c r="K115" s="258"/>
      <c r="L115" s="259"/>
      <c r="M115" s="259"/>
      <c r="N115" s="259"/>
      <c r="O115" s="435" t="s">
        <v>2192</v>
      </c>
      <c r="P115" s="260" t="s">
        <v>1845</v>
      </c>
    </row>
    <row r="116" spans="1:16" ht="15.75" thickBot="1">
      <c r="A116" s="433"/>
      <c r="B116" s="257" t="s">
        <v>1847</v>
      </c>
      <c r="C116" s="258"/>
      <c r="D116" s="259"/>
      <c r="E116" s="259"/>
      <c r="F116" s="259"/>
      <c r="G116" s="436"/>
      <c r="H116" s="260" t="s">
        <v>1847</v>
      </c>
      <c r="I116" s="433"/>
      <c r="J116" s="257" t="s">
        <v>1847</v>
      </c>
      <c r="K116" s="258"/>
      <c r="L116" s="259"/>
      <c r="M116" s="259"/>
      <c r="N116" s="259"/>
      <c r="O116" s="436"/>
      <c r="P116" s="260" t="s">
        <v>1847</v>
      </c>
    </row>
    <row r="117" spans="1:16" ht="15.75" thickBot="1">
      <c r="A117" s="433"/>
      <c r="B117" s="257" t="s">
        <v>1848</v>
      </c>
      <c r="C117" s="258"/>
      <c r="D117" s="259"/>
      <c r="E117" s="259"/>
      <c r="F117" s="259"/>
      <c r="G117" s="436"/>
      <c r="H117" s="260" t="s">
        <v>1848</v>
      </c>
      <c r="I117" s="433"/>
      <c r="J117" s="257" t="s">
        <v>1848</v>
      </c>
      <c r="K117" s="258"/>
      <c r="L117" s="259"/>
      <c r="M117" s="259"/>
      <c r="N117" s="259"/>
      <c r="O117" s="436"/>
      <c r="P117" s="260" t="s">
        <v>1848</v>
      </c>
    </row>
    <row r="118" spans="1:16" ht="15.75" thickBot="1">
      <c r="A118" s="433"/>
      <c r="B118" s="257" t="s">
        <v>1849</v>
      </c>
      <c r="C118" s="258"/>
      <c r="D118" s="259"/>
      <c r="E118" s="259"/>
      <c r="F118" s="259"/>
      <c r="G118" s="436"/>
      <c r="H118" s="260" t="s">
        <v>1849</v>
      </c>
      <c r="I118" s="433"/>
      <c r="J118" s="257" t="s">
        <v>1849</v>
      </c>
      <c r="K118" s="258"/>
      <c r="L118" s="259"/>
      <c r="M118" s="259"/>
      <c r="N118" s="259"/>
      <c r="O118" s="436"/>
      <c r="P118" s="260" t="s">
        <v>1849</v>
      </c>
    </row>
    <row r="119" spans="1:16" ht="15.75" thickBot="1">
      <c r="A119" s="433"/>
      <c r="B119" s="257" t="s">
        <v>1850</v>
      </c>
      <c r="C119" s="258"/>
      <c r="D119" s="259"/>
      <c r="E119" s="259"/>
      <c r="F119" s="259"/>
      <c r="G119" s="436"/>
      <c r="H119" s="260" t="s">
        <v>1850</v>
      </c>
      <c r="I119" s="433"/>
      <c r="J119" s="257" t="s">
        <v>1850</v>
      </c>
      <c r="K119" s="258"/>
      <c r="L119" s="259"/>
      <c r="M119" s="259"/>
      <c r="N119" s="259"/>
      <c r="O119" s="436"/>
      <c r="P119" s="260" t="s">
        <v>1850</v>
      </c>
    </row>
    <row r="120" spans="1:16" ht="15.75" thickBot="1">
      <c r="A120" s="433"/>
      <c r="B120" s="257" t="s">
        <v>1851</v>
      </c>
      <c r="C120" s="258"/>
      <c r="D120" s="259"/>
      <c r="E120" s="259"/>
      <c r="F120" s="259"/>
      <c r="G120" s="436"/>
      <c r="H120" s="260" t="s">
        <v>1851</v>
      </c>
      <c r="I120" s="433"/>
      <c r="J120" s="257" t="s">
        <v>1851</v>
      </c>
      <c r="K120" s="258"/>
      <c r="L120" s="259"/>
      <c r="M120" s="259"/>
      <c r="N120" s="259"/>
      <c r="O120" s="436"/>
      <c r="P120" s="260" t="s">
        <v>1851</v>
      </c>
    </row>
    <row r="121" spans="1:16" ht="15.75" thickBot="1">
      <c r="A121" s="433"/>
      <c r="B121" s="257" t="s">
        <v>1852</v>
      </c>
      <c r="C121" s="258"/>
      <c r="D121" s="259"/>
      <c r="E121" s="259"/>
      <c r="F121" s="259"/>
      <c r="G121" s="436"/>
      <c r="H121" s="260" t="s">
        <v>1852</v>
      </c>
      <c r="I121" s="433"/>
      <c r="J121" s="257" t="s">
        <v>1852</v>
      </c>
      <c r="K121" s="258"/>
      <c r="L121" s="259"/>
      <c r="M121" s="259"/>
      <c r="N121" s="259"/>
      <c r="O121" s="436"/>
      <c r="P121" s="260" t="s">
        <v>1852</v>
      </c>
    </row>
    <row r="122" spans="1:16" ht="15.75" thickBot="1">
      <c r="A122" s="433"/>
      <c r="B122" s="257" t="s">
        <v>1853</v>
      </c>
      <c r="C122" s="258"/>
      <c r="D122" s="259"/>
      <c r="E122" s="259"/>
      <c r="F122" s="259"/>
      <c r="G122" s="436"/>
      <c r="H122" s="260" t="s">
        <v>1853</v>
      </c>
      <c r="I122" s="433"/>
      <c r="J122" s="257" t="s">
        <v>1853</v>
      </c>
      <c r="K122" s="258"/>
      <c r="L122" s="259"/>
      <c r="M122" s="259"/>
      <c r="N122" s="259"/>
      <c r="O122" s="436"/>
      <c r="P122" s="260" t="s">
        <v>1853</v>
      </c>
    </row>
    <row r="123" spans="1:16" ht="15.75" thickBot="1">
      <c r="A123" s="433"/>
      <c r="B123" s="257" t="s">
        <v>1854</v>
      </c>
      <c r="C123" s="258"/>
      <c r="D123" s="259"/>
      <c r="E123" s="259"/>
      <c r="F123" s="259"/>
      <c r="G123" s="436"/>
      <c r="H123" s="260" t="s">
        <v>1854</v>
      </c>
      <c r="I123" s="433"/>
      <c r="J123" s="257" t="s">
        <v>1854</v>
      </c>
      <c r="K123" s="258"/>
      <c r="L123" s="259"/>
      <c r="M123" s="259"/>
      <c r="N123" s="259"/>
      <c r="O123" s="436"/>
      <c r="P123" s="260" t="s">
        <v>1854</v>
      </c>
    </row>
    <row r="124" spans="1:16" ht="15.75" thickBot="1">
      <c r="A124" s="433"/>
      <c r="B124" s="257" t="s">
        <v>1855</v>
      </c>
      <c r="C124" s="258"/>
      <c r="D124" s="259"/>
      <c r="E124" s="259"/>
      <c r="F124" s="259"/>
      <c r="G124" s="436"/>
      <c r="H124" s="260" t="s">
        <v>1855</v>
      </c>
      <c r="I124" s="433"/>
      <c r="J124" s="257" t="s">
        <v>1855</v>
      </c>
      <c r="K124" s="258"/>
      <c r="L124" s="259"/>
      <c r="M124" s="259"/>
      <c r="N124" s="259"/>
      <c r="O124" s="436"/>
      <c r="P124" s="260" t="s">
        <v>1855</v>
      </c>
    </row>
    <row r="125" spans="1:16" ht="15.75" thickBot="1">
      <c r="A125" s="433"/>
      <c r="B125" s="257" t="s">
        <v>1856</v>
      </c>
      <c r="C125" s="258"/>
      <c r="D125" s="259"/>
      <c r="E125" s="259"/>
      <c r="F125" s="259"/>
      <c r="G125" s="436"/>
      <c r="H125" s="260" t="s">
        <v>1856</v>
      </c>
      <c r="I125" s="433"/>
      <c r="J125" s="257" t="s">
        <v>1856</v>
      </c>
      <c r="K125" s="258"/>
      <c r="L125" s="259"/>
      <c r="M125" s="259"/>
      <c r="N125" s="259"/>
      <c r="O125" s="436"/>
      <c r="P125" s="260" t="s">
        <v>1856</v>
      </c>
    </row>
    <row r="126" spans="1:16" ht="26.25" thickBot="1">
      <c r="A126" s="434"/>
      <c r="B126" s="257" t="s">
        <v>1857</v>
      </c>
      <c r="C126" s="258"/>
      <c r="D126" s="259"/>
      <c r="E126" s="259"/>
      <c r="F126" s="259"/>
      <c r="G126" s="437"/>
      <c r="H126" s="260" t="s">
        <v>1858</v>
      </c>
      <c r="I126" s="434"/>
      <c r="J126" s="257" t="s">
        <v>1857</v>
      </c>
      <c r="K126" s="258"/>
      <c r="L126" s="259"/>
      <c r="M126" s="259"/>
      <c r="N126" s="259"/>
      <c r="O126" s="437"/>
      <c r="P126" s="260" t="s">
        <v>1858</v>
      </c>
    </row>
    <row r="127" spans="1:16" ht="15.75" thickBot="1">
      <c r="A127" s="432" t="s">
        <v>2193</v>
      </c>
      <c r="B127" s="257" t="s">
        <v>1845</v>
      </c>
      <c r="C127" s="258"/>
      <c r="D127" s="259"/>
      <c r="E127" s="259"/>
      <c r="F127" s="259"/>
      <c r="G127" s="435" t="s">
        <v>2193</v>
      </c>
      <c r="H127" s="260" t="s">
        <v>1845</v>
      </c>
      <c r="I127" s="432" t="s">
        <v>2193</v>
      </c>
      <c r="J127" s="257" t="s">
        <v>1845</v>
      </c>
      <c r="K127" s="258"/>
      <c r="L127" s="259"/>
      <c r="M127" s="259"/>
      <c r="N127" s="259"/>
      <c r="O127" s="435" t="s">
        <v>2193</v>
      </c>
      <c r="P127" s="260" t="s">
        <v>1845</v>
      </c>
    </row>
    <row r="128" spans="1:16" ht="15.75" thickBot="1">
      <c r="A128" s="433"/>
      <c r="B128" s="257" t="s">
        <v>1847</v>
      </c>
      <c r="C128" s="258"/>
      <c r="D128" s="259"/>
      <c r="E128" s="259"/>
      <c r="F128" s="259"/>
      <c r="G128" s="436"/>
      <c r="H128" s="260" t="s">
        <v>1847</v>
      </c>
      <c r="I128" s="433"/>
      <c r="J128" s="257" t="s">
        <v>1847</v>
      </c>
      <c r="K128" s="258"/>
      <c r="L128" s="259"/>
      <c r="M128" s="259"/>
      <c r="N128" s="259"/>
      <c r="O128" s="436"/>
      <c r="P128" s="260" t="s">
        <v>1847</v>
      </c>
    </row>
    <row r="129" spans="1:16" ht="15.75" thickBot="1">
      <c r="A129" s="433"/>
      <c r="B129" s="257" t="s">
        <v>1848</v>
      </c>
      <c r="C129" s="258"/>
      <c r="D129" s="259"/>
      <c r="E129" s="259"/>
      <c r="F129" s="259"/>
      <c r="G129" s="436"/>
      <c r="H129" s="260" t="s">
        <v>1848</v>
      </c>
      <c r="I129" s="433"/>
      <c r="J129" s="257" t="s">
        <v>1848</v>
      </c>
      <c r="K129" s="258"/>
      <c r="L129" s="259"/>
      <c r="M129" s="259"/>
      <c r="N129" s="259"/>
      <c r="O129" s="436"/>
      <c r="P129" s="260" t="s">
        <v>1848</v>
      </c>
    </row>
    <row r="130" spans="1:16" ht="15.75" thickBot="1">
      <c r="A130" s="433"/>
      <c r="B130" s="257" t="s">
        <v>1849</v>
      </c>
      <c r="C130" s="258"/>
      <c r="D130" s="259"/>
      <c r="E130" s="259"/>
      <c r="F130" s="259"/>
      <c r="G130" s="436"/>
      <c r="H130" s="260" t="s">
        <v>1849</v>
      </c>
      <c r="I130" s="433"/>
      <c r="J130" s="257" t="s">
        <v>1849</v>
      </c>
      <c r="K130" s="258"/>
      <c r="L130" s="259"/>
      <c r="M130" s="259"/>
      <c r="N130" s="259"/>
      <c r="O130" s="436"/>
      <c r="P130" s="260" t="s">
        <v>1849</v>
      </c>
    </row>
    <row r="131" spans="1:16" ht="15.75" thickBot="1">
      <c r="A131" s="433"/>
      <c r="B131" s="257" t="s">
        <v>1850</v>
      </c>
      <c r="C131" s="258"/>
      <c r="D131" s="259"/>
      <c r="E131" s="259"/>
      <c r="F131" s="259"/>
      <c r="G131" s="436"/>
      <c r="H131" s="260" t="s">
        <v>1850</v>
      </c>
      <c r="I131" s="433"/>
      <c r="J131" s="257" t="s">
        <v>1850</v>
      </c>
      <c r="K131" s="258"/>
      <c r="L131" s="259"/>
      <c r="M131" s="259"/>
      <c r="N131" s="259"/>
      <c r="O131" s="436"/>
      <c r="P131" s="260" t="s">
        <v>1850</v>
      </c>
    </row>
    <row r="132" spans="1:16" ht="15.75" thickBot="1">
      <c r="A132" s="433"/>
      <c r="B132" s="257" t="s">
        <v>1851</v>
      </c>
      <c r="C132" s="258"/>
      <c r="D132" s="259"/>
      <c r="E132" s="259"/>
      <c r="F132" s="259"/>
      <c r="G132" s="436"/>
      <c r="H132" s="260" t="s">
        <v>1851</v>
      </c>
      <c r="I132" s="433"/>
      <c r="J132" s="257" t="s">
        <v>1851</v>
      </c>
      <c r="K132" s="258"/>
      <c r="L132" s="259"/>
      <c r="M132" s="259"/>
      <c r="N132" s="259"/>
      <c r="O132" s="436"/>
      <c r="P132" s="260" t="s">
        <v>1851</v>
      </c>
    </row>
    <row r="133" spans="1:16" ht="15.75" thickBot="1">
      <c r="A133" s="433"/>
      <c r="B133" s="257" t="s">
        <v>1852</v>
      </c>
      <c r="C133" s="258"/>
      <c r="D133" s="259"/>
      <c r="E133" s="259"/>
      <c r="F133" s="259"/>
      <c r="G133" s="436"/>
      <c r="H133" s="260" t="s">
        <v>1852</v>
      </c>
      <c r="I133" s="433"/>
      <c r="J133" s="257" t="s">
        <v>1852</v>
      </c>
      <c r="K133" s="258"/>
      <c r="L133" s="259"/>
      <c r="M133" s="259"/>
      <c r="N133" s="259"/>
      <c r="O133" s="436"/>
      <c r="P133" s="260" t="s">
        <v>1852</v>
      </c>
    </row>
    <row r="134" spans="1:16" ht="15.75" thickBot="1">
      <c r="A134" s="433"/>
      <c r="B134" s="257" t="s">
        <v>1853</v>
      </c>
      <c r="C134" s="258"/>
      <c r="D134" s="259"/>
      <c r="E134" s="259"/>
      <c r="F134" s="259"/>
      <c r="G134" s="436"/>
      <c r="H134" s="260" t="s">
        <v>1853</v>
      </c>
      <c r="I134" s="433"/>
      <c r="J134" s="257" t="s">
        <v>1853</v>
      </c>
      <c r="K134" s="258"/>
      <c r="L134" s="259"/>
      <c r="M134" s="259"/>
      <c r="N134" s="259"/>
      <c r="O134" s="436"/>
      <c r="P134" s="260" t="s">
        <v>1853</v>
      </c>
    </row>
    <row r="135" spans="1:16" ht="15.75" thickBot="1">
      <c r="A135" s="433"/>
      <c r="B135" s="257" t="s">
        <v>1854</v>
      </c>
      <c r="C135" s="258"/>
      <c r="D135" s="259"/>
      <c r="E135" s="259"/>
      <c r="F135" s="259"/>
      <c r="G135" s="436"/>
      <c r="H135" s="260" t="s">
        <v>1854</v>
      </c>
      <c r="I135" s="433"/>
      <c r="J135" s="257" t="s">
        <v>1854</v>
      </c>
      <c r="K135" s="258"/>
      <c r="L135" s="259"/>
      <c r="M135" s="259"/>
      <c r="N135" s="259"/>
      <c r="O135" s="436"/>
      <c r="P135" s="260" t="s">
        <v>1854</v>
      </c>
    </row>
    <row r="136" spans="1:16" ht="15.75" thickBot="1">
      <c r="A136" s="433"/>
      <c r="B136" s="257" t="s">
        <v>1855</v>
      </c>
      <c r="C136" s="258"/>
      <c r="D136" s="259"/>
      <c r="E136" s="259"/>
      <c r="F136" s="259"/>
      <c r="G136" s="436"/>
      <c r="H136" s="260" t="s">
        <v>1855</v>
      </c>
      <c r="I136" s="433"/>
      <c r="J136" s="257" t="s">
        <v>1855</v>
      </c>
      <c r="K136" s="258"/>
      <c r="L136" s="259"/>
      <c r="M136" s="259"/>
      <c r="N136" s="259"/>
      <c r="O136" s="436"/>
      <c r="P136" s="260" t="s">
        <v>1855</v>
      </c>
    </row>
    <row r="137" spans="1:16" ht="15.75" thickBot="1">
      <c r="A137" s="433"/>
      <c r="B137" s="257" t="s">
        <v>1856</v>
      </c>
      <c r="C137" s="258"/>
      <c r="D137" s="259"/>
      <c r="E137" s="259"/>
      <c r="F137" s="259"/>
      <c r="G137" s="436"/>
      <c r="H137" s="260" t="s">
        <v>1856</v>
      </c>
      <c r="I137" s="433"/>
      <c r="J137" s="257" t="s">
        <v>1856</v>
      </c>
      <c r="K137" s="258"/>
      <c r="L137" s="259"/>
      <c r="M137" s="259"/>
      <c r="N137" s="259"/>
      <c r="O137" s="436"/>
      <c r="P137" s="260" t="s">
        <v>1856</v>
      </c>
    </row>
    <row r="138" spans="1:16" ht="26.25" thickBot="1">
      <c r="A138" s="434"/>
      <c r="B138" s="257" t="s">
        <v>1857</v>
      </c>
      <c r="C138" s="258"/>
      <c r="D138" s="259"/>
      <c r="E138" s="259"/>
      <c r="F138" s="259"/>
      <c r="G138" s="437"/>
      <c r="H138" s="260" t="s">
        <v>1858</v>
      </c>
      <c r="I138" s="434"/>
      <c r="J138" s="257" t="s">
        <v>1857</v>
      </c>
      <c r="K138" s="258"/>
      <c r="L138" s="259"/>
      <c r="M138" s="259"/>
      <c r="N138" s="259"/>
      <c r="O138" s="437"/>
      <c r="P138" s="260" t="s">
        <v>1858</v>
      </c>
    </row>
    <row r="139" spans="1:16" ht="15.75" thickBot="1">
      <c r="A139" s="432" t="s">
        <v>2194</v>
      </c>
      <c r="B139" s="257" t="s">
        <v>1845</v>
      </c>
      <c r="C139" s="258"/>
      <c r="D139" s="259"/>
      <c r="E139" s="259"/>
      <c r="F139" s="259"/>
      <c r="G139" s="435" t="s">
        <v>2194</v>
      </c>
      <c r="H139" s="260" t="s">
        <v>1845</v>
      </c>
      <c r="I139" s="432" t="s">
        <v>2194</v>
      </c>
      <c r="J139" s="257" t="s">
        <v>1845</v>
      </c>
      <c r="K139" s="258"/>
      <c r="L139" s="259"/>
      <c r="M139" s="259"/>
      <c r="N139" s="259"/>
      <c r="O139" s="435" t="s">
        <v>2194</v>
      </c>
      <c r="P139" s="260" t="s">
        <v>1845</v>
      </c>
    </row>
    <row r="140" spans="1:16" ht="15.75" thickBot="1">
      <c r="A140" s="433"/>
      <c r="B140" s="257" t="s">
        <v>1847</v>
      </c>
      <c r="C140" s="258"/>
      <c r="D140" s="259"/>
      <c r="E140" s="259"/>
      <c r="F140" s="259"/>
      <c r="G140" s="436"/>
      <c r="H140" s="260" t="s">
        <v>1847</v>
      </c>
      <c r="I140" s="433"/>
      <c r="J140" s="257" t="s">
        <v>1847</v>
      </c>
      <c r="K140" s="258"/>
      <c r="L140" s="259"/>
      <c r="M140" s="259"/>
      <c r="N140" s="259"/>
      <c r="O140" s="436"/>
      <c r="P140" s="260" t="s">
        <v>1847</v>
      </c>
    </row>
    <row r="141" spans="1:16" ht="15.75" thickBot="1">
      <c r="A141" s="433"/>
      <c r="B141" s="257" t="s">
        <v>1848</v>
      </c>
      <c r="C141" s="258"/>
      <c r="D141" s="259"/>
      <c r="E141" s="259"/>
      <c r="F141" s="259"/>
      <c r="G141" s="436"/>
      <c r="H141" s="260" t="s">
        <v>1848</v>
      </c>
      <c r="I141" s="433"/>
      <c r="J141" s="257" t="s">
        <v>1848</v>
      </c>
      <c r="K141" s="258"/>
      <c r="L141" s="259"/>
      <c r="M141" s="259"/>
      <c r="N141" s="259"/>
      <c r="O141" s="436"/>
      <c r="P141" s="260" t="s">
        <v>1848</v>
      </c>
    </row>
    <row r="142" spans="1:16" ht="15.75" thickBot="1">
      <c r="A142" s="433"/>
      <c r="B142" s="257" t="s">
        <v>1849</v>
      </c>
      <c r="C142" s="258"/>
      <c r="D142" s="259"/>
      <c r="E142" s="259"/>
      <c r="F142" s="259"/>
      <c r="G142" s="436"/>
      <c r="H142" s="260" t="s">
        <v>1849</v>
      </c>
      <c r="I142" s="433"/>
      <c r="J142" s="257" t="s">
        <v>1849</v>
      </c>
      <c r="K142" s="258"/>
      <c r="L142" s="259"/>
      <c r="M142" s="259"/>
      <c r="N142" s="259"/>
      <c r="O142" s="436"/>
      <c r="P142" s="260" t="s">
        <v>1849</v>
      </c>
    </row>
    <row r="143" spans="1:16" ht="15.75" thickBot="1">
      <c r="A143" s="433"/>
      <c r="B143" s="257" t="s">
        <v>1850</v>
      </c>
      <c r="C143" s="258"/>
      <c r="D143" s="259"/>
      <c r="E143" s="259"/>
      <c r="F143" s="259"/>
      <c r="G143" s="436"/>
      <c r="H143" s="260" t="s">
        <v>1850</v>
      </c>
      <c r="I143" s="433"/>
      <c r="J143" s="257" t="s">
        <v>1850</v>
      </c>
      <c r="K143" s="258"/>
      <c r="L143" s="259"/>
      <c r="M143" s="259"/>
      <c r="N143" s="259"/>
      <c r="O143" s="436"/>
      <c r="P143" s="260" t="s">
        <v>1850</v>
      </c>
    </row>
    <row r="144" spans="1:16" ht="15.75" thickBot="1">
      <c r="A144" s="433"/>
      <c r="B144" s="257" t="s">
        <v>1851</v>
      </c>
      <c r="C144" s="258"/>
      <c r="D144" s="259"/>
      <c r="E144" s="259"/>
      <c r="F144" s="259"/>
      <c r="G144" s="436"/>
      <c r="H144" s="260" t="s">
        <v>1851</v>
      </c>
      <c r="I144" s="433"/>
      <c r="J144" s="257" t="s">
        <v>1851</v>
      </c>
      <c r="K144" s="258"/>
      <c r="L144" s="259"/>
      <c r="M144" s="259"/>
      <c r="N144" s="259"/>
      <c r="O144" s="436"/>
      <c r="P144" s="260" t="s">
        <v>1851</v>
      </c>
    </row>
    <row r="145" spans="1:16" ht="15.75" thickBot="1">
      <c r="A145" s="433"/>
      <c r="B145" s="257" t="s">
        <v>1852</v>
      </c>
      <c r="C145" s="258"/>
      <c r="D145" s="259"/>
      <c r="E145" s="259"/>
      <c r="F145" s="259"/>
      <c r="G145" s="436"/>
      <c r="H145" s="260" t="s">
        <v>1852</v>
      </c>
      <c r="I145" s="433"/>
      <c r="J145" s="257" t="s">
        <v>1852</v>
      </c>
      <c r="K145" s="258"/>
      <c r="L145" s="259"/>
      <c r="M145" s="259"/>
      <c r="N145" s="259"/>
      <c r="O145" s="436"/>
      <c r="P145" s="260" t="s">
        <v>1852</v>
      </c>
    </row>
    <row r="146" spans="1:16" ht="15.75" thickBot="1">
      <c r="A146" s="433"/>
      <c r="B146" s="257" t="s">
        <v>1853</v>
      </c>
      <c r="C146" s="258"/>
      <c r="D146" s="259"/>
      <c r="E146" s="259"/>
      <c r="F146" s="259"/>
      <c r="G146" s="436"/>
      <c r="H146" s="260" t="s">
        <v>1853</v>
      </c>
      <c r="I146" s="433"/>
      <c r="J146" s="257" t="s">
        <v>1853</v>
      </c>
      <c r="K146" s="258"/>
      <c r="L146" s="259"/>
      <c r="M146" s="259"/>
      <c r="N146" s="259"/>
      <c r="O146" s="436"/>
      <c r="P146" s="260" t="s">
        <v>1853</v>
      </c>
    </row>
    <row r="147" spans="1:16" ht="15.75" thickBot="1">
      <c r="A147" s="433"/>
      <c r="B147" s="257" t="s">
        <v>1854</v>
      </c>
      <c r="C147" s="258"/>
      <c r="D147" s="259"/>
      <c r="E147" s="259"/>
      <c r="F147" s="259"/>
      <c r="G147" s="436"/>
      <c r="H147" s="260" t="s">
        <v>1854</v>
      </c>
      <c r="I147" s="433"/>
      <c r="J147" s="257" t="s">
        <v>1854</v>
      </c>
      <c r="K147" s="258"/>
      <c r="L147" s="259"/>
      <c r="M147" s="259"/>
      <c r="N147" s="259"/>
      <c r="O147" s="436"/>
      <c r="P147" s="260" t="s">
        <v>1854</v>
      </c>
    </row>
    <row r="148" spans="1:16" ht="15.75" thickBot="1">
      <c r="A148" s="433"/>
      <c r="B148" s="257" t="s">
        <v>1855</v>
      </c>
      <c r="C148" s="258"/>
      <c r="D148" s="259"/>
      <c r="E148" s="259"/>
      <c r="F148" s="259"/>
      <c r="G148" s="436"/>
      <c r="H148" s="260" t="s">
        <v>1855</v>
      </c>
      <c r="I148" s="433"/>
      <c r="J148" s="257" t="s">
        <v>1855</v>
      </c>
      <c r="K148" s="258"/>
      <c r="L148" s="259"/>
      <c r="M148" s="259"/>
      <c r="N148" s="259"/>
      <c r="O148" s="436"/>
      <c r="P148" s="260" t="s">
        <v>1855</v>
      </c>
    </row>
    <row r="149" spans="1:16" ht="15.75" thickBot="1">
      <c r="A149" s="433"/>
      <c r="B149" s="257" t="s">
        <v>1856</v>
      </c>
      <c r="C149" s="258"/>
      <c r="D149" s="259"/>
      <c r="E149" s="259"/>
      <c r="F149" s="259"/>
      <c r="G149" s="436"/>
      <c r="H149" s="260" t="s">
        <v>1856</v>
      </c>
      <c r="I149" s="433"/>
      <c r="J149" s="257" t="s">
        <v>1856</v>
      </c>
      <c r="K149" s="258"/>
      <c r="L149" s="259"/>
      <c r="M149" s="259"/>
      <c r="N149" s="259"/>
      <c r="O149" s="436"/>
      <c r="P149" s="260" t="s">
        <v>1856</v>
      </c>
    </row>
    <row r="150" spans="1:16" ht="26.25" thickBot="1">
      <c r="A150" s="434"/>
      <c r="B150" s="257" t="s">
        <v>1857</v>
      </c>
      <c r="C150" s="258"/>
      <c r="D150" s="259"/>
      <c r="E150" s="259"/>
      <c r="F150" s="259"/>
      <c r="G150" s="437"/>
      <c r="H150" s="260" t="s">
        <v>1858</v>
      </c>
      <c r="I150" s="434"/>
      <c r="J150" s="257" t="s">
        <v>1857</v>
      </c>
      <c r="K150" s="258"/>
      <c r="L150" s="259"/>
      <c r="M150" s="259"/>
      <c r="N150" s="259"/>
      <c r="O150" s="437"/>
      <c r="P150" s="260" t="s">
        <v>1858</v>
      </c>
    </row>
    <row r="151" spans="1:16" ht="15.75" thickBot="1">
      <c r="A151" s="432" t="s">
        <v>2195</v>
      </c>
      <c r="B151" s="257" t="s">
        <v>1845</v>
      </c>
      <c r="C151" s="258"/>
      <c r="D151" s="259"/>
      <c r="E151" s="259"/>
      <c r="F151" s="259"/>
      <c r="G151" s="435" t="s">
        <v>2195</v>
      </c>
      <c r="H151" s="260" t="s">
        <v>1845</v>
      </c>
      <c r="I151" s="432" t="s">
        <v>2195</v>
      </c>
      <c r="J151" s="257" t="s">
        <v>1845</v>
      </c>
      <c r="K151" s="258"/>
      <c r="L151" s="259"/>
      <c r="M151" s="259"/>
      <c r="N151" s="259"/>
      <c r="O151" s="435" t="s">
        <v>2195</v>
      </c>
      <c r="P151" s="260" t="s">
        <v>1845</v>
      </c>
    </row>
    <row r="152" spans="1:16" ht="15.75" thickBot="1">
      <c r="A152" s="433"/>
      <c r="B152" s="257" t="s">
        <v>1847</v>
      </c>
      <c r="C152" s="258"/>
      <c r="D152" s="259"/>
      <c r="E152" s="259"/>
      <c r="F152" s="259"/>
      <c r="G152" s="436"/>
      <c r="H152" s="260" t="s">
        <v>1847</v>
      </c>
      <c r="I152" s="433"/>
      <c r="J152" s="257" t="s">
        <v>1847</v>
      </c>
      <c r="K152" s="258"/>
      <c r="L152" s="259"/>
      <c r="M152" s="259"/>
      <c r="N152" s="259"/>
      <c r="O152" s="436"/>
      <c r="P152" s="260" t="s">
        <v>1847</v>
      </c>
    </row>
    <row r="153" spans="1:16" ht="15.75" thickBot="1">
      <c r="A153" s="433"/>
      <c r="B153" s="257" t="s">
        <v>1848</v>
      </c>
      <c r="C153" s="258"/>
      <c r="D153" s="259"/>
      <c r="E153" s="259"/>
      <c r="F153" s="259"/>
      <c r="G153" s="436"/>
      <c r="H153" s="260" t="s">
        <v>1848</v>
      </c>
      <c r="I153" s="433"/>
      <c r="J153" s="257" t="s">
        <v>1848</v>
      </c>
      <c r="K153" s="258"/>
      <c r="L153" s="259"/>
      <c r="M153" s="259"/>
      <c r="N153" s="259"/>
      <c r="O153" s="436"/>
      <c r="P153" s="260" t="s">
        <v>1848</v>
      </c>
    </row>
    <row r="154" spans="1:16" ht="15.75" thickBot="1">
      <c r="A154" s="433"/>
      <c r="B154" s="257" t="s">
        <v>1849</v>
      </c>
      <c r="C154" s="258"/>
      <c r="D154" s="259"/>
      <c r="E154" s="259"/>
      <c r="F154" s="259"/>
      <c r="G154" s="436"/>
      <c r="H154" s="260" t="s">
        <v>1849</v>
      </c>
      <c r="I154" s="433"/>
      <c r="J154" s="257" t="s">
        <v>1849</v>
      </c>
      <c r="K154" s="258"/>
      <c r="L154" s="259"/>
      <c r="M154" s="259"/>
      <c r="N154" s="259"/>
      <c r="O154" s="436"/>
      <c r="P154" s="260" t="s">
        <v>1849</v>
      </c>
    </row>
    <row r="155" spans="1:16" ht="15.75" thickBot="1">
      <c r="A155" s="433"/>
      <c r="B155" s="257" t="s">
        <v>1850</v>
      </c>
      <c r="C155" s="258"/>
      <c r="D155" s="259"/>
      <c r="E155" s="259"/>
      <c r="F155" s="259"/>
      <c r="G155" s="436"/>
      <c r="H155" s="260" t="s">
        <v>1850</v>
      </c>
      <c r="I155" s="433"/>
      <c r="J155" s="257" t="s">
        <v>1850</v>
      </c>
      <c r="K155" s="258"/>
      <c r="L155" s="259"/>
      <c r="M155" s="259"/>
      <c r="N155" s="259"/>
      <c r="O155" s="436"/>
      <c r="P155" s="260" t="s">
        <v>1850</v>
      </c>
    </row>
    <row r="156" spans="1:16" ht="15.75" thickBot="1">
      <c r="A156" s="433"/>
      <c r="B156" s="257" t="s">
        <v>1851</v>
      </c>
      <c r="C156" s="258"/>
      <c r="D156" s="259"/>
      <c r="E156" s="259"/>
      <c r="F156" s="259"/>
      <c r="G156" s="436"/>
      <c r="H156" s="260" t="s">
        <v>1851</v>
      </c>
      <c r="I156" s="433"/>
      <c r="J156" s="257" t="s">
        <v>1851</v>
      </c>
      <c r="K156" s="258"/>
      <c r="L156" s="259"/>
      <c r="M156" s="259"/>
      <c r="N156" s="259"/>
      <c r="O156" s="436"/>
      <c r="P156" s="260" t="s">
        <v>1851</v>
      </c>
    </row>
    <row r="157" spans="1:16" ht="15.75" thickBot="1">
      <c r="A157" s="433"/>
      <c r="B157" s="257" t="s">
        <v>1852</v>
      </c>
      <c r="C157" s="258"/>
      <c r="D157" s="259"/>
      <c r="E157" s="259"/>
      <c r="F157" s="259"/>
      <c r="G157" s="436"/>
      <c r="H157" s="260" t="s">
        <v>1852</v>
      </c>
      <c r="I157" s="433"/>
      <c r="J157" s="257" t="s">
        <v>1852</v>
      </c>
      <c r="K157" s="258"/>
      <c r="L157" s="259"/>
      <c r="M157" s="259"/>
      <c r="N157" s="259"/>
      <c r="O157" s="436"/>
      <c r="P157" s="260" t="s">
        <v>1852</v>
      </c>
    </row>
    <row r="158" spans="1:16" ht="15.75" thickBot="1">
      <c r="A158" s="433"/>
      <c r="B158" s="257" t="s">
        <v>1853</v>
      </c>
      <c r="C158" s="258"/>
      <c r="D158" s="259"/>
      <c r="E158" s="259"/>
      <c r="F158" s="259"/>
      <c r="G158" s="436"/>
      <c r="H158" s="260" t="s">
        <v>1853</v>
      </c>
      <c r="I158" s="433"/>
      <c r="J158" s="257" t="s">
        <v>1853</v>
      </c>
      <c r="K158" s="258"/>
      <c r="L158" s="259"/>
      <c r="M158" s="259"/>
      <c r="N158" s="259"/>
      <c r="O158" s="436"/>
      <c r="P158" s="260" t="s">
        <v>1853</v>
      </c>
    </row>
    <row r="159" spans="1:16" ht="15.75" thickBot="1">
      <c r="A159" s="433"/>
      <c r="B159" s="257" t="s">
        <v>1854</v>
      </c>
      <c r="C159" s="258"/>
      <c r="D159" s="259"/>
      <c r="E159" s="259"/>
      <c r="F159" s="259"/>
      <c r="G159" s="436"/>
      <c r="H159" s="260" t="s">
        <v>1854</v>
      </c>
      <c r="I159" s="433"/>
      <c r="J159" s="257" t="s">
        <v>1854</v>
      </c>
      <c r="K159" s="258"/>
      <c r="L159" s="259"/>
      <c r="M159" s="259"/>
      <c r="N159" s="259"/>
      <c r="O159" s="436"/>
      <c r="P159" s="260" t="s">
        <v>1854</v>
      </c>
    </row>
    <row r="160" spans="1:16" ht="15.75" thickBot="1">
      <c r="A160" s="433"/>
      <c r="B160" s="257" t="s">
        <v>1855</v>
      </c>
      <c r="C160" s="258"/>
      <c r="D160" s="259"/>
      <c r="E160" s="259"/>
      <c r="F160" s="259"/>
      <c r="G160" s="436"/>
      <c r="H160" s="260" t="s">
        <v>1855</v>
      </c>
      <c r="I160" s="433"/>
      <c r="J160" s="257" t="s">
        <v>1855</v>
      </c>
      <c r="K160" s="258"/>
      <c r="L160" s="259"/>
      <c r="M160" s="259"/>
      <c r="N160" s="259"/>
      <c r="O160" s="436"/>
      <c r="P160" s="260" t="s">
        <v>1855</v>
      </c>
    </row>
    <row r="161" spans="1:16" ht="15.75" thickBot="1">
      <c r="A161" s="433"/>
      <c r="B161" s="257" t="s">
        <v>1856</v>
      </c>
      <c r="C161" s="258"/>
      <c r="D161" s="259"/>
      <c r="E161" s="259"/>
      <c r="F161" s="259"/>
      <c r="G161" s="436"/>
      <c r="H161" s="260" t="s">
        <v>1856</v>
      </c>
      <c r="I161" s="433"/>
      <c r="J161" s="257" t="s">
        <v>1856</v>
      </c>
      <c r="K161" s="258"/>
      <c r="L161" s="259"/>
      <c r="M161" s="259"/>
      <c r="N161" s="259"/>
      <c r="O161" s="436"/>
      <c r="P161" s="260" t="s">
        <v>1856</v>
      </c>
    </row>
    <row r="162" spans="1:16" ht="26.25" thickBot="1">
      <c r="A162" s="434"/>
      <c r="B162" s="257" t="s">
        <v>1857</v>
      </c>
      <c r="C162" s="258"/>
      <c r="D162" s="259"/>
      <c r="E162" s="259"/>
      <c r="F162" s="259"/>
      <c r="G162" s="437"/>
      <c r="H162" s="260" t="s">
        <v>1858</v>
      </c>
      <c r="I162" s="434"/>
      <c r="J162" s="257" t="s">
        <v>1857</v>
      </c>
      <c r="K162" s="258"/>
      <c r="L162" s="259"/>
      <c r="M162" s="259"/>
      <c r="N162" s="259"/>
      <c r="O162" s="437"/>
      <c r="P162" s="260" t="s">
        <v>1858</v>
      </c>
    </row>
    <row r="163" spans="1:16" ht="15.75" thickBot="1">
      <c r="A163" s="432" t="s">
        <v>2196</v>
      </c>
      <c r="B163" s="257" t="s">
        <v>1845</v>
      </c>
      <c r="C163" s="258"/>
      <c r="D163" s="259"/>
      <c r="E163" s="259"/>
      <c r="F163" s="259"/>
      <c r="G163" s="435" t="s">
        <v>2196</v>
      </c>
      <c r="H163" s="260" t="s">
        <v>1845</v>
      </c>
      <c r="I163" s="432" t="s">
        <v>2196</v>
      </c>
      <c r="J163" s="257" t="s">
        <v>1845</v>
      </c>
      <c r="K163" s="258"/>
      <c r="L163" s="259"/>
      <c r="M163" s="259"/>
      <c r="N163" s="259"/>
      <c r="O163" s="435" t="s">
        <v>2196</v>
      </c>
      <c r="P163" s="260" t="s">
        <v>1845</v>
      </c>
    </row>
    <row r="164" spans="1:16" ht="15.75" thickBot="1">
      <c r="A164" s="433"/>
      <c r="B164" s="257" t="s">
        <v>1847</v>
      </c>
      <c r="C164" s="258"/>
      <c r="D164" s="259"/>
      <c r="E164" s="259"/>
      <c r="F164" s="259"/>
      <c r="G164" s="436"/>
      <c r="H164" s="260" t="s">
        <v>1847</v>
      </c>
      <c r="I164" s="433"/>
      <c r="J164" s="257" t="s">
        <v>1847</v>
      </c>
      <c r="K164" s="258"/>
      <c r="L164" s="259"/>
      <c r="M164" s="259"/>
      <c r="N164" s="259"/>
      <c r="O164" s="436"/>
      <c r="P164" s="260" t="s">
        <v>1847</v>
      </c>
    </row>
    <row r="165" spans="1:16" ht="15.75" thickBot="1">
      <c r="A165" s="433"/>
      <c r="B165" s="257" t="s">
        <v>1848</v>
      </c>
      <c r="C165" s="258"/>
      <c r="D165" s="259"/>
      <c r="E165" s="259"/>
      <c r="F165" s="259"/>
      <c r="G165" s="436"/>
      <c r="H165" s="260" t="s">
        <v>1848</v>
      </c>
      <c r="I165" s="433"/>
      <c r="J165" s="257" t="s">
        <v>1848</v>
      </c>
      <c r="K165" s="258"/>
      <c r="L165" s="259"/>
      <c r="M165" s="259"/>
      <c r="N165" s="259"/>
      <c r="O165" s="436"/>
      <c r="P165" s="260" t="s">
        <v>1848</v>
      </c>
    </row>
    <row r="166" spans="1:16" ht="15.75" thickBot="1">
      <c r="A166" s="433"/>
      <c r="B166" s="257" t="s">
        <v>1849</v>
      </c>
      <c r="C166" s="258"/>
      <c r="D166" s="259"/>
      <c r="E166" s="259"/>
      <c r="F166" s="259"/>
      <c r="G166" s="436"/>
      <c r="H166" s="260" t="s">
        <v>1849</v>
      </c>
      <c r="I166" s="433"/>
      <c r="J166" s="257" t="s">
        <v>1849</v>
      </c>
      <c r="K166" s="258"/>
      <c r="L166" s="259"/>
      <c r="M166" s="259"/>
      <c r="N166" s="259"/>
      <c r="O166" s="436"/>
      <c r="P166" s="260" t="s">
        <v>1849</v>
      </c>
    </row>
    <row r="167" spans="1:16" ht="15.75" thickBot="1">
      <c r="A167" s="433"/>
      <c r="B167" s="257" t="s">
        <v>1850</v>
      </c>
      <c r="C167" s="258"/>
      <c r="D167" s="259"/>
      <c r="E167" s="259"/>
      <c r="F167" s="259"/>
      <c r="G167" s="436"/>
      <c r="H167" s="260" t="s">
        <v>1850</v>
      </c>
      <c r="I167" s="433"/>
      <c r="J167" s="257" t="s">
        <v>1850</v>
      </c>
      <c r="K167" s="258"/>
      <c r="L167" s="259"/>
      <c r="M167" s="259"/>
      <c r="N167" s="259"/>
      <c r="O167" s="436"/>
      <c r="P167" s="260" t="s">
        <v>1850</v>
      </c>
    </row>
    <row r="168" spans="1:16" ht="15.75" thickBot="1">
      <c r="A168" s="433"/>
      <c r="B168" s="257" t="s">
        <v>1851</v>
      </c>
      <c r="C168" s="258"/>
      <c r="D168" s="259"/>
      <c r="E168" s="259"/>
      <c r="F168" s="259"/>
      <c r="G168" s="436"/>
      <c r="H168" s="260" t="s">
        <v>1851</v>
      </c>
      <c r="I168" s="433"/>
      <c r="J168" s="257" t="s">
        <v>1851</v>
      </c>
      <c r="K168" s="258"/>
      <c r="L168" s="259"/>
      <c r="M168" s="259"/>
      <c r="N168" s="259"/>
      <c r="O168" s="436"/>
      <c r="P168" s="260" t="s">
        <v>1851</v>
      </c>
    </row>
    <row r="169" spans="1:16" ht="15.75" thickBot="1">
      <c r="A169" s="433"/>
      <c r="B169" s="257" t="s">
        <v>1852</v>
      </c>
      <c r="C169" s="258"/>
      <c r="D169" s="259"/>
      <c r="E169" s="259"/>
      <c r="F169" s="259"/>
      <c r="G169" s="436"/>
      <c r="H169" s="260" t="s">
        <v>1852</v>
      </c>
      <c r="I169" s="433"/>
      <c r="J169" s="257" t="s">
        <v>1852</v>
      </c>
      <c r="K169" s="258"/>
      <c r="L169" s="259"/>
      <c r="M169" s="259"/>
      <c r="N169" s="259"/>
      <c r="O169" s="436"/>
      <c r="P169" s="260" t="s">
        <v>1852</v>
      </c>
    </row>
    <row r="170" spans="1:16" ht="15.75" thickBot="1">
      <c r="A170" s="433"/>
      <c r="B170" s="257" t="s">
        <v>1853</v>
      </c>
      <c r="C170" s="258"/>
      <c r="D170" s="259"/>
      <c r="E170" s="259"/>
      <c r="F170" s="259"/>
      <c r="G170" s="436"/>
      <c r="H170" s="260" t="s">
        <v>1853</v>
      </c>
      <c r="I170" s="433"/>
      <c r="J170" s="257" t="s">
        <v>1853</v>
      </c>
      <c r="K170" s="258"/>
      <c r="L170" s="259"/>
      <c r="M170" s="259"/>
      <c r="N170" s="259"/>
      <c r="O170" s="436"/>
      <c r="P170" s="260" t="s">
        <v>1853</v>
      </c>
    </row>
    <row r="171" spans="1:16" ht="15.75" thickBot="1">
      <c r="A171" s="433"/>
      <c r="B171" s="257" t="s">
        <v>1854</v>
      </c>
      <c r="C171" s="258"/>
      <c r="D171" s="259"/>
      <c r="E171" s="259"/>
      <c r="F171" s="259"/>
      <c r="G171" s="436"/>
      <c r="H171" s="260" t="s">
        <v>1854</v>
      </c>
      <c r="I171" s="433"/>
      <c r="J171" s="257" t="s">
        <v>1854</v>
      </c>
      <c r="K171" s="258"/>
      <c r="L171" s="259"/>
      <c r="M171" s="259"/>
      <c r="N171" s="259"/>
      <c r="O171" s="436"/>
      <c r="P171" s="260" t="s">
        <v>1854</v>
      </c>
    </row>
    <row r="172" spans="1:16" ht="15.75" thickBot="1">
      <c r="A172" s="433"/>
      <c r="B172" s="257" t="s">
        <v>1855</v>
      </c>
      <c r="C172" s="258"/>
      <c r="D172" s="259"/>
      <c r="E172" s="259"/>
      <c r="F172" s="259"/>
      <c r="G172" s="436"/>
      <c r="H172" s="260" t="s">
        <v>1855</v>
      </c>
      <c r="I172" s="433"/>
      <c r="J172" s="257" t="s">
        <v>1855</v>
      </c>
      <c r="K172" s="258"/>
      <c r="L172" s="259"/>
      <c r="M172" s="259"/>
      <c r="N172" s="259"/>
      <c r="O172" s="436"/>
      <c r="P172" s="260" t="s">
        <v>1855</v>
      </c>
    </row>
    <row r="173" spans="1:16" ht="15.75" thickBot="1">
      <c r="A173" s="433"/>
      <c r="B173" s="257" t="s">
        <v>1856</v>
      </c>
      <c r="C173" s="258"/>
      <c r="D173" s="259"/>
      <c r="E173" s="259"/>
      <c r="F173" s="259"/>
      <c r="G173" s="436"/>
      <c r="H173" s="260" t="s">
        <v>1856</v>
      </c>
      <c r="I173" s="433"/>
      <c r="J173" s="257" t="s">
        <v>1856</v>
      </c>
      <c r="K173" s="258"/>
      <c r="L173" s="259"/>
      <c r="M173" s="259"/>
      <c r="N173" s="259"/>
      <c r="O173" s="436"/>
      <c r="P173" s="260" t="s">
        <v>1856</v>
      </c>
    </row>
    <row r="174" spans="1:16" ht="26.25" thickBot="1">
      <c r="A174" s="434"/>
      <c r="B174" s="257" t="s">
        <v>1857</v>
      </c>
      <c r="C174" s="258"/>
      <c r="D174" s="259"/>
      <c r="E174" s="259"/>
      <c r="F174" s="259"/>
      <c r="G174" s="437"/>
      <c r="H174" s="260" t="s">
        <v>1858</v>
      </c>
      <c r="I174" s="434"/>
      <c r="J174" s="257" t="s">
        <v>1857</v>
      </c>
      <c r="K174" s="258"/>
      <c r="L174" s="259"/>
      <c r="M174" s="259"/>
      <c r="N174" s="259"/>
      <c r="O174" s="437"/>
      <c r="P174" s="260" t="s">
        <v>1858</v>
      </c>
    </row>
    <row r="175" spans="1:16" ht="15.75" thickBot="1">
      <c r="A175" s="432" t="s">
        <v>2197</v>
      </c>
      <c r="B175" s="257" t="s">
        <v>1845</v>
      </c>
      <c r="C175" s="258"/>
      <c r="D175" s="259"/>
      <c r="E175" s="259"/>
      <c r="F175" s="259"/>
      <c r="G175" s="435" t="s">
        <v>2197</v>
      </c>
      <c r="H175" s="260" t="s">
        <v>1845</v>
      </c>
      <c r="I175" s="432" t="s">
        <v>2197</v>
      </c>
      <c r="J175" s="257" t="s">
        <v>1845</v>
      </c>
      <c r="K175" s="258"/>
      <c r="L175" s="259"/>
      <c r="M175" s="259"/>
      <c r="N175" s="259"/>
      <c r="O175" s="435" t="s">
        <v>2197</v>
      </c>
      <c r="P175" s="260" t="s">
        <v>1845</v>
      </c>
    </row>
    <row r="176" spans="1:16" ht="15.75" thickBot="1">
      <c r="A176" s="433"/>
      <c r="B176" s="257" t="s">
        <v>1847</v>
      </c>
      <c r="C176" s="258"/>
      <c r="D176" s="259"/>
      <c r="E176" s="259"/>
      <c r="F176" s="259"/>
      <c r="G176" s="436"/>
      <c r="H176" s="260" t="s">
        <v>1847</v>
      </c>
      <c r="I176" s="433"/>
      <c r="J176" s="257" t="s">
        <v>1847</v>
      </c>
      <c r="K176" s="258"/>
      <c r="L176" s="259"/>
      <c r="M176" s="259"/>
      <c r="N176" s="259"/>
      <c r="O176" s="436"/>
      <c r="P176" s="260" t="s">
        <v>1847</v>
      </c>
    </row>
    <row r="177" spans="1:16" ht="15.75" thickBot="1">
      <c r="A177" s="433"/>
      <c r="B177" s="257" t="s">
        <v>1848</v>
      </c>
      <c r="C177" s="258"/>
      <c r="D177" s="259"/>
      <c r="E177" s="259"/>
      <c r="F177" s="259"/>
      <c r="G177" s="436"/>
      <c r="H177" s="260" t="s">
        <v>1848</v>
      </c>
      <c r="I177" s="433"/>
      <c r="J177" s="257" t="s">
        <v>1848</v>
      </c>
      <c r="K177" s="258"/>
      <c r="L177" s="259"/>
      <c r="M177" s="259"/>
      <c r="N177" s="259"/>
      <c r="O177" s="436"/>
      <c r="P177" s="260" t="s">
        <v>1848</v>
      </c>
    </row>
    <row r="178" spans="1:16" ht="15.75" thickBot="1">
      <c r="A178" s="433"/>
      <c r="B178" s="257" t="s">
        <v>1849</v>
      </c>
      <c r="C178" s="258"/>
      <c r="D178" s="259"/>
      <c r="E178" s="259"/>
      <c r="F178" s="259"/>
      <c r="G178" s="436"/>
      <c r="H178" s="260" t="s">
        <v>1849</v>
      </c>
      <c r="I178" s="433"/>
      <c r="J178" s="257" t="s">
        <v>1849</v>
      </c>
      <c r="K178" s="258"/>
      <c r="L178" s="259"/>
      <c r="M178" s="259"/>
      <c r="N178" s="259"/>
      <c r="O178" s="436"/>
      <c r="P178" s="260" t="s">
        <v>1849</v>
      </c>
    </row>
    <row r="179" spans="1:16" ht="15.75" thickBot="1">
      <c r="A179" s="433"/>
      <c r="B179" s="257" t="s">
        <v>1850</v>
      </c>
      <c r="C179" s="258"/>
      <c r="D179" s="259"/>
      <c r="E179" s="259"/>
      <c r="F179" s="259"/>
      <c r="G179" s="436"/>
      <c r="H179" s="260" t="s">
        <v>1850</v>
      </c>
      <c r="I179" s="433"/>
      <c r="J179" s="257" t="s">
        <v>1850</v>
      </c>
      <c r="K179" s="258"/>
      <c r="L179" s="259"/>
      <c r="M179" s="259"/>
      <c r="N179" s="259"/>
      <c r="O179" s="436"/>
      <c r="P179" s="260" t="s">
        <v>1850</v>
      </c>
    </row>
    <row r="180" spans="1:16" ht="15.75" thickBot="1">
      <c r="A180" s="433"/>
      <c r="B180" s="257" t="s">
        <v>1851</v>
      </c>
      <c r="C180" s="258"/>
      <c r="D180" s="259"/>
      <c r="E180" s="259"/>
      <c r="F180" s="259"/>
      <c r="G180" s="436"/>
      <c r="H180" s="260" t="s">
        <v>1851</v>
      </c>
      <c r="I180" s="433"/>
      <c r="J180" s="257" t="s">
        <v>1851</v>
      </c>
      <c r="K180" s="258"/>
      <c r="L180" s="259"/>
      <c r="M180" s="259"/>
      <c r="N180" s="259"/>
      <c r="O180" s="436"/>
      <c r="P180" s="260" t="s">
        <v>1851</v>
      </c>
    </row>
    <row r="181" spans="1:16" ht="15.75" thickBot="1">
      <c r="A181" s="433"/>
      <c r="B181" s="257" t="s">
        <v>1852</v>
      </c>
      <c r="C181" s="258"/>
      <c r="D181" s="259"/>
      <c r="E181" s="259"/>
      <c r="F181" s="259"/>
      <c r="G181" s="436"/>
      <c r="H181" s="260" t="s">
        <v>1852</v>
      </c>
      <c r="I181" s="433"/>
      <c r="J181" s="257" t="s">
        <v>1852</v>
      </c>
      <c r="K181" s="258"/>
      <c r="L181" s="259"/>
      <c r="M181" s="259"/>
      <c r="N181" s="259"/>
      <c r="O181" s="436"/>
      <c r="P181" s="260" t="s">
        <v>1852</v>
      </c>
    </row>
    <row r="182" spans="1:16" ht="15.75" thickBot="1">
      <c r="A182" s="433"/>
      <c r="B182" s="257" t="s">
        <v>1853</v>
      </c>
      <c r="C182" s="258"/>
      <c r="D182" s="259"/>
      <c r="E182" s="259"/>
      <c r="F182" s="259"/>
      <c r="G182" s="436"/>
      <c r="H182" s="260" t="s">
        <v>1853</v>
      </c>
      <c r="I182" s="433"/>
      <c r="J182" s="257" t="s">
        <v>1853</v>
      </c>
      <c r="K182" s="258"/>
      <c r="L182" s="259"/>
      <c r="M182" s="259"/>
      <c r="N182" s="259"/>
      <c r="O182" s="436"/>
      <c r="P182" s="260" t="s">
        <v>1853</v>
      </c>
    </row>
    <row r="183" spans="1:16" ht="15.75" thickBot="1">
      <c r="A183" s="433"/>
      <c r="B183" s="257" t="s">
        <v>1854</v>
      </c>
      <c r="C183" s="258"/>
      <c r="D183" s="259"/>
      <c r="E183" s="259"/>
      <c r="F183" s="259"/>
      <c r="G183" s="436"/>
      <c r="H183" s="260" t="s">
        <v>1854</v>
      </c>
      <c r="I183" s="433"/>
      <c r="J183" s="257" t="s">
        <v>1854</v>
      </c>
      <c r="K183" s="258"/>
      <c r="L183" s="259"/>
      <c r="M183" s="259"/>
      <c r="N183" s="259"/>
      <c r="O183" s="436"/>
      <c r="P183" s="260" t="s">
        <v>1854</v>
      </c>
    </row>
    <row r="184" spans="1:16" ht="15.75" thickBot="1">
      <c r="A184" s="433"/>
      <c r="B184" s="257" t="s">
        <v>1855</v>
      </c>
      <c r="C184" s="258"/>
      <c r="D184" s="259"/>
      <c r="E184" s="259"/>
      <c r="F184" s="259"/>
      <c r="G184" s="436"/>
      <c r="H184" s="260" t="s">
        <v>1855</v>
      </c>
      <c r="I184" s="433"/>
      <c r="J184" s="257" t="s">
        <v>1855</v>
      </c>
      <c r="K184" s="258"/>
      <c r="L184" s="259"/>
      <c r="M184" s="259"/>
      <c r="N184" s="259"/>
      <c r="O184" s="436"/>
      <c r="P184" s="260" t="s">
        <v>1855</v>
      </c>
    </row>
    <row r="185" spans="1:16" ht="15.75" thickBot="1">
      <c r="A185" s="433"/>
      <c r="B185" s="257" t="s">
        <v>1856</v>
      </c>
      <c r="C185" s="258"/>
      <c r="D185" s="259"/>
      <c r="E185" s="259"/>
      <c r="F185" s="259"/>
      <c r="G185" s="436"/>
      <c r="H185" s="260" t="s">
        <v>1856</v>
      </c>
      <c r="I185" s="433"/>
      <c r="J185" s="257" t="s">
        <v>1856</v>
      </c>
      <c r="K185" s="258"/>
      <c r="L185" s="259"/>
      <c r="M185" s="259"/>
      <c r="N185" s="259"/>
      <c r="O185" s="436"/>
      <c r="P185" s="260" t="s">
        <v>1856</v>
      </c>
    </row>
    <row r="186" spans="1:16" ht="26.25" thickBot="1">
      <c r="A186" s="434"/>
      <c r="B186" s="257" t="s">
        <v>1857</v>
      </c>
      <c r="C186" s="258"/>
      <c r="D186" s="259"/>
      <c r="E186" s="259"/>
      <c r="F186" s="259"/>
      <c r="G186" s="437"/>
      <c r="H186" s="260" t="s">
        <v>1858</v>
      </c>
      <c r="I186" s="434"/>
      <c r="J186" s="257" t="s">
        <v>1857</v>
      </c>
      <c r="K186" s="258"/>
      <c r="L186" s="259"/>
      <c r="M186" s="259"/>
      <c r="N186" s="259"/>
      <c r="O186" s="437"/>
      <c r="P186" s="260" t="s">
        <v>1858</v>
      </c>
    </row>
    <row r="187" spans="1:16" ht="15.75" thickBot="1">
      <c r="A187" s="432" t="s">
        <v>2198</v>
      </c>
      <c r="B187" s="257" t="s">
        <v>1845</v>
      </c>
      <c r="C187" s="258"/>
      <c r="D187" s="259"/>
      <c r="E187" s="259"/>
      <c r="F187" s="259"/>
      <c r="G187" s="435" t="s">
        <v>2198</v>
      </c>
      <c r="H187" s="260" t="s">
        <v>1845</v>
      </c>
      <c r="I187" s="432" t="s">
        <v>2198</v>
      </c>
      <c r="J187" s="257" t="s">
        <v>1845</v>
      </c>
      <c r="K187" s="258"/>
      <c r="L187" s="259"/>
      <c r="M187" s="259"/>
      <c r="N187" s="259"/>
      <c r="O187" s="435" t="s">
        <v>2198</v>
      </c>
      <c r="P187" s="260" t="s">
        <v>1845</v>
      </c>
    </row>
    <row r="188" spans="1:16" ht="15.75" thickBot="1">
      <c r="A188" s="433"/>
      <c r="B188" s="257" t="s">
        <v>1847</v>
      </c>
      <c r="C188" s="258"/>
      <c r="D188" s="259"/>
      <c r="E188" s="259"/>
      <c r="F188" s="259"/>
      <c r="G188" s="436"/>
      <c r="H188" s="260" t="s">
        <v>1847</v>
      </c>
      <c r="I188" s="433"/>
      <c r="J188" s="257" t="s">
        <v>1847</v>
      </c>
      <c r="K188" s="258"/>
      <c r="L188" s="259"/>
      <c r="M188" s="259"/>
      <c r="N188" s="259"/>
      <c r="O188" s="436"/>
      <c r="P188" s="260" t="s">
        <v>1847</v>
      </c>
    </row>
    <row r="189" spans="1:16" ht="15.75" thickBot="1">
      <c r="A189" s="433"/>
      <c r="B189" s="257" t="s">
        <v>1848</v>
      </c>
      <c r="C189" s="258"/>
      <c r="D189" s="259"/>
      <c r="E189" s="259"/>
      <c r="F189" s="259"/>
      <c r="G189" s="436"/>
      <c r="H189" s="260" t="s">
        <v>1848</v>
      </c>
      <c r="I189" s="433"/>
      <c r="J189" s="257" t="s">
        <v>1848</v>
      </c>
      <c r="K189" s="258"/>
      <c r="L189" s="259"/>
      <c r="M189" s="259"/>
      <c r="N189" s="259"/>
      <c r="O189" s="436"/>
      <c r="P189" s="260" t="s">
        <v>1848</v>
      </c>
    </row>
    <row r="190" spans="1:16" ht="15.75" thickBot="1">
      <c r="A190" s="433"/>
      <c r="B190" s="257" t="s">
        <v>1849</v>
      </c>
      <c r="C190" s="258"/>
      <c r="D190" s="259"/>
      <c r="E190" s="259"/>
      <c r="F190" s="259"/>
      <c r="G190" s="436"/>
      <c r="H190" s="260" t="s">
        <v>1849</v>
      </c>
      <c r="I190" s="433"/>
      <c r="J190" s="257" t="s">
        <v>1849</v>
      </c>
      <c r="K190" s="258"/>
      <c r="L190" s="259"/>
      <c r="M190" s="259"/>
      <c r="N190" s="259"/>
      <c r="O190" s="436"/>
      <c r="P190" s="260" t="s">
        <v>1849</v>
      </c>
    </row>
    <row r="191" spans="1:16" ht="15.75" thickBot="1">
      <c r="A191" s="433"/>
      <c r="B191" s="257" t="s">
        <v>1850</v>
      </c>
      <c r="C191" s="258"/>
      <c r="D191" s="259"/>
      <c r="E191" s="259"/>
      <c r="F191" s="259"/>
      <c r="G191" s="436"/>
      <c r="H191" s="260" t="s">
        <v>1850</v>
      </c>
      <c r="I191" s="433"/>
      <c r="J191" s="257" t="s">
        <v>1850</v>
      </c>
      <c r="K191" s="258"/>
      <c r="L191" s="259"/>
      <c r="M191" s="259"/>
      <c r="N191" s="259"/>
      <c r="O191" s="436"/>
      <c r="P191" s="260" t="s">
        <v>1850</v>
      </c>
    </row>
    <row r="192" spans="1:16" ht="15.75" thickBot="1">
      <c r="A192" s="433"/>
      <c r="B192" s="257" t="s">
        <v>1851</v>
      </c>
      <c r="C192" s="258"/>
      <c r="D192" s="259"/>
      <c r="E192" s="259"/>
      <c r="F192" s="259"/>
      <c r="G192" s="436"/>
      <c r="H192" s="260" t="s">
        <v>1851</v>
      </c>
      <c r="I192" s="433"/>
      <c r="J192" s="257" t="s">
        <v>1851</v>
      </c>
      <c r="K192" s="258"/>
      <c r="L192" s="259"/>
      <c r="M192" s="259"/>
      <c r="N192" s="259"/>
      <c r="O192" s="436"/>
      <c r="P192" s="260" t="s">
        <v>1851</v>
      </c>
    </row>
    <row r="193" spans="1:16" ht="15.75" thickBot="1">
      <c r="A193" s="433"/>
      <c r="B193" s="257" t="s">
        <v>1852</v>
      </c>
      <c r="C193" s="258"/>
      <c r="D193" s="259"/>
      <c r="E193" s="259"/>
      <c r="F193" s="259"/>
      <c r="G193" s="436"/>
      <c r="H193" s="260" t="s">
        <v>1852</v>
      </c>
      <c r="I193" s="433"/>
      <c r="J193" s="257" t="s">
        <v>1852</v>
      </c>
      <c r="K193" s="258"/>
      <c r="L193" s="259"/>
      <c r="M193" s="259"/>
      <c r="N193" s="259"/>
      <c r="O193" s="436"/>
      <c r="P193" s="260" t="s">
        <v>1852</v>
      </c>
    </row>
    <row r="194" spans="1:16" ht="15.75" thickBot="1">
      <c r="A194" s="433"/>
      <c r="B194" s="257" t="s">
        <v>1853</v>
      </c>
      <c r="C194" s="258"/>
      <c r="D194" s="259"/>
      <c r="E194" s="259"/>
      <c r="F194" s="259"/>
      <c r="G194" s="436"/>
      <c r="H194" s="260" t="s">
        <v>1853</v>
      </c>
      <c r="I194" s="433"/>
      <c r="J194" s="257" t="s">
        <v>1853</v>
      </c>
      <c r="K194" s="258"/>
      <c r="L194" s="259"/>
      <c r="M194" s="259"/>
      <c r="N194" s="259"/>
      <c r="O194" s="436"/>
      <c r="P194" s="260" t="s">
        <v>1853</v>
      </c>
    </row>
    <row r="195" spans="1:16" ht="15.75" thickBot="1">
      <c r="A195" s="433"/>
      <c r="B195" s="257" t="s">
        <v>1854</v>
      </c>
      <c r="C195" s="258"/>
      <c r="D195" s="259"/>
      <c r="E195" s="259"/>
      <c r="F195" s="259"/>
      <c r="G195" s="436"/>
      <c r="H195" s="260" t="s">
        <v>1854</v>
      </c>
      <c r="I195" s="433"/>
      <c r="J195" s="257" t="s">
        <v>1854</v>
      </c>
      <c r="K195" s="258"/>
      <c r="L195" s="259"/>
      <c r="M195" s="259"/>
      <c r="N195" s="259"/>
      <c r="O195" s="436"/>
      <c r="P195" s="260" t="s">
        <v>1854</v>
      </c>
    </row>
    <row r="196" spans="1:16" ht="15.75" thickBot="1">
      <c r="A196" s="433"/>
      <c r="B196" s="257" t="s">
        <v>1855</v>
      </c>
      <c r="C196" s="258"/>
      <c r="D196" s="259"/>
      <c r="E196" s="259"/>
      <c r="F196" s="259"/>
      <c r="G196" s="436"/>
      <c r="H196" s="260" t="s">
        <v>1855</v>
      </c>
      <c r="I196" s="433"/>
      <c r="J196" s="257" t="s">
        <v>1855</v>
      </c>
      <c r="K196" s="258"/>
      <c r="L196" s="259"/>
      <c r="M196" s="259"/>
      <c r="N196" s="259"/>
      <c r="O196" s="436"/>
      <c r="P196" s="260" t="s">
        <v>1855</v>
      </c>
    </row>
    <row r="197" spans="1:16" ht="15.75" thickBot="1">
      <c r="A197" s="433"/>
      <c r="B197" s="257" t="s">
        <v>1856</v>
      </c>
      <c r="C197" s="258"/>
      <c r="D197" s="259"/>
      <c r="E197" s="259"/>
      <c r="F197" s="259"/>
      <c r="G197" s="436"/>
      <c r="H197" s="260" t="s">
        <v>1856</v>
      </c>
      <c r="I197" s="433"/>
      <c r="J197" s="257" t="s">
        <v>1856</v>
      </c>
      <c r="K197" s="258"/>
      <c r="L197" s="259"/>
      <c r="M197" s="259"/>
      <c r="N197" s="259"/>
      <c r="O197" s="436"/>
      <c r="P197" s="260" t="s">
        <v>1856</v>
      </c>
    </row>
    <row r="198" spans="1:16" ht="26.25" thickBot="1">
      <c r="A198" s="434"/>
      <c r="B198" s="257" t="s">
        <v>1857</v>
      </c>
      <c r="C198" s="258"/>
      <c r="D198" s="259"/>
      <c r="E198" s="259"/>
      <c r="F198" s="259"/>
      <c r="G198" s="437"/>
      <c r="H198" s="260" t="s">
        <v>1858</v>
      </c>
      <c r="I198" s="434"/>
      <c r="J198" s="257" t="s">
        <v>1857</v>
      </c>
      <c r="K198" s="258"/>
      <c r="L198" s="259"/>
      <c r="M198" s="259"/>
      <c r="N198" s="259"/>
      <c r="O198" s="437"/>
      <c r="P198" s="260" t="s">
        <v>1858</v>
      </c>
    </row>
    <row r="199" spans="1:16" ht="15.75" thickBot="1">
      <c r="A199" s="432" t="s">
        <v>2199</v>
      </c>
      <c r="B199" s="257" t="s">
        <v>1845</v>
      </c>
      <c r="C199" s="258"/>
      <c r="D199" s="259"/>
      <c r="E199" s="259"/>
      <c r="F199" s="259"/>
      <c r="G199" s="435" t="s">
        <v>2199</v>
      </c>
      <c r="H199" s="260" t="s">
        <v>1845</v>
      </c>
      <c r="I199" s="432" t="s">
        <v>2199</v>
      </c>
      <c r="J199" s="257" t="s">
        <v>1845</v>
      </c>
      <c r="K199" s="258"/>
      <c r="L199" s="259"/>
      <c r="M199" s="259"/>
      <c r="N199" s="259"/>
      <c r="O199" s="435" t="s">
        <v>2199</v>
      </c>
      <c r="P199" s="260" t="s">
        <v>1845</v>
      </c>
    </row>
    <row r="200" spans="1:16" ht="15.75" thickBot="1">
      <c r="A200" s="433"/>
      <c r="B200" s="257" t="s">
        <v>1847</v>
      </c>
      <c r="C200" s="258"/>
      <c r="D200" s="259"/>
      <c r="E200" s="259"/>
      <c r="F200" s="259"/>
      <c r="G200" s="436"/>
      <c r="H200" s="260" t="s">
        <v>1847</v>
      </c>
      <c r="I200" s="433"/>
      <c r="J200" s="257" t="s">
        <v>1847</v>
      </c>
      <c r="K200" s="258"/>
      <c r="L200" s="259"/>
      <c r="M200" s="259"/>
      <c r="N200" s="259"/>
      <c r="O200" s="436"/>
      <c r="P200" s="260" t="s">
        <v>1847</v>
      </c>
    </row>
    <row r="201" spans="1:16" ht="15.75" thickBot="1">
      <c r="A201" s="433"/>
      <c r="B201" s="257" t="s">
        <v>1848</v>
      </c>
      <c r="C201" s="258"/>
      <c r="D201" s="259"/>
      <c r="E201" s="259"/>
      <c r="F201" s="259"/>
      <c r="G201" s="436"/>
      <c r="H201" s="260" t="s">
        <v>1848</v>
      </c>
      <c r="I201" s="433"/>
      <c r="J201" s="257" t="s">
        <v>1848</v>
      </c>
      <c r="K201" s="258"/>
      <c r="L201" s="259"/>
      <c r="M201" s="259"/>
      <c r="N201" s="259"/>
      <c r="O201" s="436"/>
      <c r="P201" s="260" t="s">
        <v>1848</v>
      </c>
    </row>
    <row r="202" spans="1:16" ht="15.75" thickBot="1">
      <c r="A202" s="433"/>
      <c r="B202" s="257" t="s">
        <v>1849</v>
      </c>
      <c r="C202" s="258"/>
      <c r="D202" s="259"/>
      <c r="E202" s="259"/>
      <c r="F202" s="259"/>
      <c r="G202" s="436"/>
      <c r="H202" s="260" t="s">
        <v>1849</v>
      </c>
      <c r="I202" s="433"/>
      <c r="J202" s="257" t="s">
        <v>1849</v>
      </c>
      <c r="K202" s="258"/>
      <c r="L202" s="259"/>
      <c r="M202" s="259"/>
      <c r="N202" s="259"/>
      <c r="O202" s="436"/>
      <c r="P202" s="260" t="s">
        <v>1849</v>
      </c>
    </row>
    <row r="203" spans="1:16" ht="15.75" thickBot="1">
      <c r="A203" s="433"/>
      <c r="B203" s="257" t="s">
        <v>1850</v>
      </c>
      <c r="C203" s="258"/>
      <c r="D203" s="259"/>
      <c r="E203" s="259"/>
      <c r="F203" s="259"/>
      <c r="G203" s="436"/>
      <c r="H203" s="260" t="s">
        <v>1850</v>
      </c>
      <c r="I203" s="433"/>
      <c r="J203" s="257" t="s">
        <v>1850</v>
      </c>
      <c r="K203" s="258"/>
      <c r="L203" s="259"/>
      <c r="M203" s="259"/>
      <c r="N203" s="259"/>
      <c r="O203" s="436"/>
      <c r="P203" s="260" t="s">
        <v>1850</v>
      </c>
    </row>
    <row r="204" spans="1:16" ht="15.75" thickBot="1">
      <c r="A204" s="433"/>
      <c r="B204" s="257" t="s">
        <v>1851</v>
      </c>
      <c r="C204" s="258"/>
      <c r="D204" s="259"/>
      <c r="E204" s="259"/>
      <c r="F204" s="259"/>
      <c r="G204" s="436"/>
      <c r="H204" s="260" t="s">
        <v>1851</v>
      </c>
      <c r="I204" s="433"/>
      <c r="J204" s="257" t="s">
        <v>1851</v>
      </c>
      <c r="K204" s="258"/>
      <c r="L204" s="259"/>
      <c r="M204" s="259"/>
      <c r="N204" s="259"/>
      <c r="O204" s="436"/>
      <c r="P204" s="260" t="s">
        <v>1851</v>
      </c>
    </row>
    <row r="205" spans="1:16" ht="15.75" thickBot="1">
      <c r="A205" s="433"/>
      <c r="B205" s="257" t="s">
        <v>1852</v>
      </c>
      <c r="C205" s="258"/>
      <c r="D205" s="259"/>
      <c r="E205" s="259"/>
      <c r="F205" s="259"/>
      <c r="G205" s="436"/>
      <c r="H205" s="260" t="s">
        <v>1852</v>
      </c>
      <c r="I205" s="433"/>
      <c r="J205" s="257" t="s">
        <v>1852</v>
      </c>
      <c r="K205" s="258"/>
      <c r="L205" s="259"/>
      <c r="M205" s="259"/>
      <c r="N205" s="259"/>
      <c r="O205" s="436"/>
      <c r="P205" s="260" t="s">
        <v>1852</v>
      </c>
    </row>
    <row r="206" spans="1:16" ht="15.75" thickBot="1">
      <c r="A206" s="433"/>
      <c r="B206" s="257" t="s">
        <v>1853</v>
      </c>
      <c r="C206" s="258"/>
      <c r="D206" s="259"/>
      <c r="E206" s="259"/>
      <c r="F206" s="259"/>
      <c r="G206" s="436"/>
      <c r="H206" s="260" t="s">
        <v>1853</v>
      </c>
      <c r="I206" s="433"/>
      <c r="J206" s="257" t="s">
        <v>1853</v>
      </c>
      <c r="K206" s="258"/>
      <c r="L206" s="259"/>
      <c r="M206" s="259"/>
      <c r="N206" s="259"/>
      <c r="O206" s="436"/>
      <c r="P206" s="260" t="s">
        <v>1853</v>
      </c>
    </row>
    <row r="207" spans="1:16" ht="15.75" thickBot="1">
      <c r="A207" s="433"/>
      <c r="B207" s="257" t="s">
        <v>1854</v>
      </c>
      <c r="C207" s="258"/>
      <c r="D207" s="259"/>
      <c r="E207" s="259"/>
      <c r="F207" s="259"/>
      <c r="G207" s="436"/>
      <c r="H207" s="260" t="s">
        <v>1854</v>
      </c>
      <c r="I207" s="433"/>
      <c r="J207" s="257" t="s">
        <v>1854</v>
      </c>
      <c r="K207" s="258"/>
      <c r="L207" s="259"/>
      <c r="M207" s="259"/>
      <c r="N207" s="259"/>
      <c r="O207" s="436"/>
      <c r="P207" s="260" t="s">
        <v>1854</v>
      </c>
    </row>
    <row r="208" spans="1:16" ht="15.75" thickBot="1">
      <c r="A208" s="433"/>
      <c r="B208" s="257" t="s">
        <v>1855</v>
      </c>
      <c r="C208" s="258"/>
      <c r="D208" s="259"/>
      <c r="E208" s="259"/>
      <c r="F208" s="259"/>
      <c r="G208" s="436"/>
      <c r="H208" s="260" t="s">
        <v>1855</v>
      </c>
      <c r="I208" s="433"/>
      <c r="J208" s="257" t="s">
        <v>1855</v>
      </c>
      <c r="K208" s="258"/>
      <c r="L208" s="259"/>
      <c r="M208" s="259"/>
      <c r="N208" s="259"/>
      <c r="O208" s="436"/>
      <c r="P208" s="260" t="s">
        <v>1855</v>
      </c>
    </row>
    <row r="209" spans="1:16" ht="15.75" thickBot="1">
      <c r="A209" s="433"/>
      <c r="B209" s="257" t="s">
        <v>1856</v>
      </c>
      <c r="C209" s="258"/>
      <c r="D209" s="259"/>
      <c r="E209" s="259"/>
      <c r="F209" s="259"/>
      <c r="G209" s="436"/>
      <c r="H209" s="260" t="s">
        <v>1856</v>
      </c>
      <c r="I209" s="433"/>
      <c r="J209" s="257" t="s">
        <v>1856</v>
      </c>
      <c r="K209" s="258"/>
      <c r="L209" s="259"/>
      <c r="M209" s="259"/>
      <c r="N209" s="259"/>
      <c r="O209" s="436"/>
      <c r="P209" s="260" t="s">
        <v>1856</v>
      </c>
    </row>
    <row r="210" spans="1:16" ht="26.25" thickBot="1">
      <c r="A210" s="434"/>
      <c r="B210" s="257" t="s">
        <v>1857</v>
      </c>
      <c r="C210" s="258"/>
      <c r="D210" s="259"/>
      <c r="E210" s="259"/>
      <c r="F210" s="259"/>
      <c r="G210" s="437"/>
      <c r="H210" s="260" t="s">
        <v>1858</v>
      </c>
      <c r="I210" s="434"/>
      <c r="J210" s="257" t="s">
        <v>1857</v>
      </c>
      <c r="K210" s="258"/>
      <c r="L210" s="259"/>
      <c r="M210" s="259"/>
      <c r="N210" s="259"/>
      <c r="O210" s="437"/>
      <c r="P210" s="260" t="s">
        <v>1858</v>
      </c>
    </row>
    <row r="211" spans="1:16" ht="15.75" thickBot="1">
      <c r="A211" s="432" t="s">
        <v>2200</v>
      </c>
      <c r="B211" s="257" t="s">
        <v>1845</v>
      </c>
      <c r="C211" s="258"/>
      <c r="D211" s="259"/>
      <c r="E211" s="259"/>
      <c r="F211" s="259"/>
      <c r="G211" s="435" t="s">
        <v>2200</v>
      </c>
      <c r="H211" s="260" t="s">
        <v>1845</v>
      </c>
      <c r="I211" s="432" t="s">
        <v>2200</v>
      </c>
      <c r="J211" s="257" t="s">
        <v>1845</v>
      </c>
      <c r="K211" s="258"/>
      <c r="L211" s="259"/>
      <c r="M211" s="259"/>
      <c r="N211" s="259"/>
      <c r="O211" s="435" t="s">
        <v>2200</v>
      </c>
      <c r="P211" s="260" t="s">
        <v>1845</v>
      </c>
    </row>
    <row r="212" spans="1:16" ht="15.75" thickBot="1">
      <c r="A212" s="433"/>
      <c r="B212" s="257" t="s">
        <v>1847</v>
      </c>
      <c r="C212" s="258"/>
      <c r="D212" s="259"/>
      <c r="E212" s="259"/>
      <c r="F212" s="259"/>
      <c r="G212" s="436"/>
      <c r="H212" s="260" t="s">
        <v>1847</v>
      </c>
      <c r="I212" s="433"/>
      <c r="J212" s="257" t="s">
        <v>1847</v>
      </c>
      <c r="K212" s="258"/>
      <c r="L212" s="259"/>
      <c r="M212" s="259"/>
      <c r="N212" s="259"/>
      <c r="O212" s="436"/>
      <c r="P212" s="260" t="s">
        <v>1847</v>
      </c>
    </row>
    <row r="213" spans="1:16" ht="15.75" thickBot="1">
      <c r="A213" s="433"/>
      <c r="B213" s="257" t="s">
        <v>1848</v>
      </c>
      <c r="C213" s="258"/>
      <c r="D213" s="259"/>
      <c r="E213" s="259"/>
      <c r="F213" s="259"/>
      <c r="G213" s="436"/>
      <c r="H213" s="260" t="s">
        <v>1848</v>
      </c>
      <c r="I213" s="433"/>
      <c r="J213" s="257" t="s">
        <v>1848</v>
      </c>
      <c r="K213" s="258"/>
      <c r="L213" s="259"/>
      <c r="M213" s="259"/>
      <c r="N213" s="259"/>
      <c r="O213" s="436"/>
      <c r="P213" s="260" t="s">
        <v>1848</v>
      </c>
    </row>
    <row r="214" spans="1:16" ht="15.75" thickBot="1">
      <c r="A214" s="433"/>
      <c r="B214" s="257" t="s">
        <v>1849</v>
      </c>
      <c r="C214" s="258"/>
      <c r="D214" s="259"/>
      <c r="E214" s="259"/>
      <c r="F214" s="259"/>
      <c r="G214" s="436"/>
      <c r="H214" s="260" t="s">
        <v>1849</v>
      </c>
      <c r="I214" s="433"/>
      <c r="J214" s="257" t="s">
        <v>1849</v>
      </c>
      <c r="K214" s="258"/>
      <c r="L214" s="259"/>
      <c r="M214" s="259"/>
      <c r="N214" s="259"/>
      <c r="O214" s="436"/>
      <c r="P214" s="260" t="s">
        <v>1849</v>
      </c>
    </row>
    <row r="215" spans="1:16" ht="15.75" thickBot="1">
      <c r="A215" s="433"/>
      <c r="B215" s="257" t="s">
        <v>1850</v>
      </c>
      <c r="C215" s="258"/>
      <c r="D215" s="259"/>
      <c r="E215" s="259"/>
      <c r="F215" s="259"/>
      <c r="G215" s="436"/>
      <c r="H215" s="260" t="s">
        <v>1850</v>
      </c>
      <c r="I215" s="433"/>
      <c r="J215" s="257" t="s">
        <v>1850</v>
      </c>
      <c r="K215" s="258"/>
      <c r="L215" s="259"/>
      <c r="M215" s="259"/>
      <c r="N215" s="259"/>
      <c r="O215" s="436"/>
      <c r="P215" s="260" t="s">
        <v>1850</v>
      </c>
    </row>
    <row r="216" spans="1:16" ht="15.75" thickBot="1">
      <c r="A216" s="433"/>
      <c r="B216" s="257" t="s">
        <v>1851</v>
      </c>
      <c r="C216" s="258"/>
      <c r="D216" s="259"/>
      <c r="E216" s="259"/>
      <c r="F216" s="259"/>
      <c r="G216" s="436"/>
      <c r="H216" s="260" t="s">
        <v>1851</v>
      </c>
      <c r="I216" s="433"/>
      <c r="J216" s="257" t="s">
        <v>1851</v>
      </c>
      <c r="K216" s="258"/>
      <c r="L216" s="259"/>
      <c r="M216" s="259"/>
      <c r="N216" s="259"/>
      <c r="O216" s="436"/>
      <c r="P216" s="260" t="s">
        <v>1851</v>
      </c>
    </row>
    <row r="217" spans="1:16" ht="15.75" thickBot="1">
      <c r="A217" s="433"/>
      <c r="B217" s="257" t="s">
        <v>1852</v>
      </c>
      <c r="C217" s="258"/>
      <c r="D217" s="259"/>
      <c r="E217" s="259"/>
      <c r="F217" s="259"/>
      <c r="G217" s="436"/>
      <c r="H217" s="260" t="s">
        <v>1852</v>
      </c>
      <c r="I217" s="433"/>
      <c r="J217" s="257" t="s">
        <v>1852</v>
      </c>
      <c r="K217" s="258"/>
      <c r="L217" s="259"/>
      <c r="M217" s="259"/>
      <c r="N217" s="259"/>
      <c r="O217" s="436"/>
      <c r="P217" s="260" t="s">
        <v>1852</v>
      </c>
    </row>
    <row r="218" spans="1:16" ht="15.75" thickBot="1">
      <c r="A218" s="433"/>
      <c r="B218" s="257" t="s">
        <v>1853</v>
      </c>
      <c r="C218" s="258"/>
      <c r="D218" s="259"/>
      <c r="E218" s="259"/>
      <c r="F218" s="259"/>
      <c r="G218" s="436"/>
      <c r="H218" s="260" t="s">
        <v>1853</v>
      </c>
      <c r="I218" s="433"/>
      <c r="J218" s="257" t="s">
        <v>1853</v>
      </c>
      <c r="K218" s="258"/>
      <c r="L218" s="259"/>
      <c r="M218" s="259"/>
      <c r="N218" s="259"/>
      <c r="O218" s="436"/>
      <c r="P218" s="260" t="s">
        <v>1853</v>
      </c>
    </row>
    <row r="219" spans="1:16" ht="15.75" thickBot="1">
      <c r="A219" s="433"/>
      <c r="B219" s="257" t="s">
        <v>1854</v>
      </c>
      <c r="C219" s="258"/>
      <c r="D219" s="259"/>
      <c r="E219" s="259"/>
      <c r="F219" s="259"/>
      <c r="G219" s="436"/>
      <c r="H219" s="260" t="s">
        <v>1854</v>
      </c>
      <c r="I219" s="433"/>
      <c r="J219" s="257" t="s">
        <v>1854</v>
      </c>
      <c r="K219" s="258"/>
      <c r="L219" s="259"/>
      <c r="M219" s="259"/>
      <c r="N219" s="259"/>
      <c r="O219" s="436"/>
      <c r="P219" s="260" t="s">
        <v>1854</v>
      </c>
    </row>
    <row r="220" spans="1:16" ht="15.75" thickBot="1">
      <c r="A220" s="433"/>
      <c r="B220" s="257" t="s">
        <v>1855</v>
      </c>
      <c r="C220" s="258"/>
      <c r="D220" s="259"/>
      <c r="E220" s="259"/>
      <c r="F220" s="259"/>
      <c r="G220" s="436"/>
      <c r="H220" s="260" t="s">
        <v>1855</v>
      </c>
      <c r="I220" s="433"/>
      <c r="J220" s="257" t="s">
        <v>1855</v>
      </c>
      <c r="K220" s="258"/>
      <c r="L220" s="259"/>
      <c r="M220" s="259"/>
      <c r="N220" s="259"/>
      <c r="O220" s="436"/>
      <c r="P220" s="260" t="s">
        <v>1855</v>
      </c>
    </row>
    <row r="221" spans="1:16" ht="15.75" thickBot="1">
      <c r="A221" s="433"/>
      <c r="B221" s="257" t="s">
        <v>1856</v>
      </c>
      <c r="C221" s="258"/>
      <c r="D221" s="259"/>
      <c r="E221" s="259"/>
      <c r="F221" s="259"/>
      <c r="G221" s="436"/>
      <c r="H221" s="260" t="s">
        <v>1856</v>
      </c>
      <c r="I221" s="433"/>
      <c r="J221" s="257" t="s">
        <v>1856</v>
      </c>
      <c r="K221" s="258"/>
      <c r="L221" s="259"/>
      <c r="M221" s="259"/>
      <c r="N221" s="259"/>
      <c r="O221" s="436"/>
      <c r="P221" s="260" t="s">
        <v>1856</v>
      </c>
    </row>
    <row r="222" spans="1:16" ht="26.25" thickBot="1">
      <c r="A222" s="434"/>
      <c r="B222" s="257" t="s">
        <v>1857</v>
      </c>
      <c r="C222" s="258"/>
      <c r="D222" s="259"/>
      <c r="E222" s="259"/>
      <c r="F222" s="259"/>
      <c r="G222" s="437"/>
      <c r="H222" s="260" t="s">
        <v>1858</v>
      </c>
      <c r="I222" s="434"/>
      <c r="J222" s="257" t="s">
        <v>1857</v>
      </c>
      <c r="K222" s="258"/>
      <c r="L222" s="259"/>
      <c r="M222" s="259"/>
      <c r="N222" s="259"/>
      <c r="O222" s="437"/>
      <c r="P222" s="260" t="s">
        <v>1858</v>
      </c>
    </row>
    <row r="223" spans="1:16" ht="15.75" thickBot="1">
      <c r="A223" s="432" t="s">
        <v>2201</v>
      </c>
      <c r="B223" s="257" t="s">
        <v>1845</v>
      </c>
      <c r="C223" s="258"/>
      <c r="D223" s="259"/>
      <c r="E223" s="259"/>
      <c r="F223" s="259"/>
      <c r="G223" s="435" t="s">
        <v>2201</v>
      </c>
      <c r="H223" s="260" t="s">
        <v>1845</v>
      </c>
      <c r="I223" s="432" t="s">
        <v>2201</v>
      </c>
      <c r="J223" s="257" t="s">
        <v>1845</v>
      </c>
      <c r="K223" s="258"/>
      <c r="L223" s="259"/>
      <c r="M223" s="259"/>
      <c r="N223" s="259"/>
      <c r="O223" s="435" t="s">
        <v>2201</v>
      </c>
      <c r="P223" s="260" t="s">
        <v>1845</v>
      </c>
    </row>
    <row r="224" spans="1:16" ht="15.75" thickBot="1">
      <c r="A224" s="433"/>
      <c r="B224" s="257" t="s">
        <v>1847</v>
      </c>
      <c r="C224" s="258"/>
      <c r="D224" s="259"/>
      <c r="E224" s="259"/>
      <c r="F224" s="259"/>
      <c r="G224" s="436"/>
      <c r="H224" s="260" t="s">
        <v>1847</v>
      </c>
      <c r="I224" s="433"/>
      <c r="J224" s="257" t="s">
        <v>1847</v>
      </c>
      <c r="K224" s="258"/>
      <c r="L224" s="259"/>
      <c r="M224" s="259"/>
      <c r="N224" s="259"/>
      <c r="O224" s="436"/>
      <c r="P224" s="260" t="s">
        <v>1847</v>
      </c>
    </row>
    <row r="225" spans="1:16" ht="15.75" thickBot="1">
      <c r="A225" s="433"/>
      <c r="B225" s="257" t="s">
        <v>1848</v>
      </c>
      <c r="C225" s="258"/>
      <c r="D225" s="259"/>
      <c r="E225" s="259"/>
      <c r="F225" s="259"/>
      <c r="G225" s="436"/>
      <c r="H225" s="260" t="s">
        <v>1848</v>
      </c>
      <c r="I225" s="433"/>
      <c r="J225" s="257" t="s">
        <v>1848</v>
      </c>
      <c r="K225" s="258"/>
      <c r="L225" s="259"/>
      <c r="M225" s="259"/>
      <c r="N225" s="259"/>
      <c r="O225" s="436"/>
      <c r="P225" s="260" t="s">
        <v>1848</v>
      </c>
    </row>
    <row r="226" spans="1:16" ht="15.75" thickBot="1">
      <c r="A226" s="433"/>
      <c r="B226" s="257" t="s">
        <v>1849</v>
      </c>
      <c r="C226" s="258"/>
      <c r="D226" s="259"/>
      <c r="E226" s="259"/>
      <c r="F226" s="259"/>
      <c r="G226" s="436"/>
      <c r="H226" s="260" t="s">
        <v>1849</v>
      </c>
      <c r="I226" s="433"/>
      <c r="J226" s="257" t="s">
        <v>1849</v>
      </c>
      <c r="K226" s="258"/>
      <c r="L226" s="259"/>
      <c r="M226" s="259"/>
      <c r="N226" s="259"/>
      <c r="O226" s="436"/>
      <c r="P226" s="260" t="s">
        <v>1849</v>
      </c>
    </row>
    <row r="227" spans="1:16" ht="15.75" thickBot="1">
      <c r="A227" s="433"/>
      <c r="B227" s="257" t="s">
        <v>1850</v>
      </c>
      <c r="C227" s="258"/>
      <c r="D227" s="259"/>
      <c r="E227" s="259"/>
      <c r="F227" s="259"/>
      <c r="G227" s="436"/>
      <c r="H227" s="260" t="s">
        <v>1850</v>
      </c>
      <c r="I227" s="433"/>
      <c r="J227" s="257" t="s">
        <v>1850</v>
      </c>
      <c r="K227" s="258"/>
      <c r="L227" s="259"/>
      <c r="M227" s="259"/>
      <c r="N227" s="259"/>
      <c r="O227" s="436"/>
      <c r="P227" s="260" t="s">
        <v>1850</v>
      </c>
    </row>
    <row r="228" spans="1:16" ht="15.75" thickBot="1">
      <c r="A228" s="433"/>
      <c r="B228" s="257" t="s">
        <v>1851</v>
      </c>
      <c r="C228" s="258"/>
      <c r="D228" s="259"/>
      <c r="E228" s="259"/>
      <c r="F228" s="259"/>
      <c r="G228" s="436"/>
      <c r="H228" s="260" t="s">
        <v>1851</v>
      </c>
      <c r="I228" s="433"/>
      <c r="J228" s="257" t="s">
        <v>1851</v>
      </c>
      <c r="K228" s="258"/>
      <c r="L228" s="259"/>
      <c r="M228" s="259"/>
      <c r="N228" s="259"/>
      <c r="O228" s="436"/>
      <c r="P228" s="260" t="s">
        <v>1851</v>
      </c>
    </row>
    <row r="229" spans="1:16" ht="15.75" thickBot="1">
      <c r="A229" s="433"/>
      <c r="B229" s="257" t="s">
        <v>1852</v>
      </c>
      <c r="C229" s="258"/>
      <c r="D229" s="259"/>
      <c r="E229" s="259"/>
      <c r="F229" s="259"/>
      <c r="G229" s="436"/>
      <c r="H229" s="260" t="s">
        <v>1852</v>
      </c>
      <c r="I229" s="433"/>
      <c r="J229" s="257" t="s">
        <v>1852</v>
      </c>
      <c r="K229" s="258"/>
      <c r="L229" s="259"/>
      <c r="M229" s="259"/>
      <c r="N229" s="259"/>
      <c r="O229" s="436"/>
      <c r="P229" s="260" t="s">
        <v>1852</v>
      </c>
    </row>
    <row r="230" spans="1:16" ht="15.75" thickBot="1">
      <c r="A230" s="433"/>
      <c r="B230" s="257" t="s">
        <v>1853</v>
      </c>
      <c r="C230" s="258"/>
      <c r="D230" s="259"/>
      <c r="E230" s="259"/>
      <c r="F230" s="259"/>
      <c r="G230" s="436"/>
      <c r="H230" s="260" t="s">
        <v>1853</v>
      </c>
      <c r="I230" s="433"/>
      <c r="J230" s="257" t="s">
        <v>1853</v>
      </c>
      <c r="K230" s="258"/>
      <c r="L230" s="259"/>
      <c r="M230" s="259"/>
      <c r="N230" s="259"/>
      <c r="O230" s="436"/>
      <c r="P230" s="260" t="s">
        <v>1853</v>
      </c>
    </row>
    <row r="231" spans="1:16" ht="15.75" thickBot="1">
      <c r="A231" s="433"/>
      <c r="B231" s="257" t="s">
        <v>1854</v>
      </c>
      <c r="C231" s="258"/>
      <c r="D231" s="259"/>
      <c r="E231" s="259"/>
      <c r="F231" s="259"/>
      <c r="G231" s="436"/>
      <c r="H231" s="260" t="s">
        <v>1854</v>
      </c>
      <c r="I231" s="433"/>
      <c r="J231" s="257" t="s">
        <v>1854</v>
      </c>
      <c r="K231" s="258"/>
      <c r="L231" s="259"/>
      <c r="M231" s="259"/>
      <c r="N231" s="259"/>
      <c r="O231" s="436"/>
      <c r="P231" s="260" t="s">
        <v>1854</v>
      </c>
    </row>
    <row r="232" spans="1:16" ht="15.75" thickBot="1">
      <c r="A232" s="433"/>
      <c r="B232" s="257" t="s">
        <v>1855</v>
      </c>
      <c r="C232" s="258"/>
      <c r="D232" s="259"/>
      <c r="E232" s="259"/>
      <c r="F232" s="259"/>
      <c r="G232" s="436"/>
      <c r="H232" s="260" t="s">
        <v>1855</v>
      </c>
      <c r="I232" s="433"/>
      <c r="J232" s="257" t="s">
        <v>1855</v>
      </c>
      <c r="K232" s="258"/>
      <c r="L232" s="259"/>
      <c r="M232" s="259"/>
      <c r="N232" s="259"/>
      <c r="O232" s="436"/>
      <c r="P232" s="260" t="s">
        <v>1855</v>
      </c>
    </row>
    <row r="233" spans="1:16" ht="15.75" thickBot="1">
      <c r="A233" s="433"/>
      <c r="B233" s="257" t="s">
        <v>1856</v>
      </c>
      <c r="C233" s="258"/>
      <c r="D233" s="259"/>
      <c r="E233" s="259"/>
      <c r="F233" s="259"/>
      <c r="G233" s="436"/>
      <c r="H233" s="260" t="s">
        <v>1856</v>
      </c>
      <c r="I233" s="433"/>
      <c r="J233" s="257" t="s">
        <v>1856</v>
      </c>
      <c r="K233" s="258"/>
      <c r="L233" s="259"/>
      <c r="M233" s="259"/>
      <c r="N233" s="259"/>
      <c r="O233" s="436"/>
      <c r="P233" s="260" t="s">
        <v>1856</v>
      </c>
    </row>
    <row r="234" spans="1:16" ht="26.25" thickBot="1">
      <c r="A234" s="434"/>
      <c r="B234" s="257" t="s">
        <v>1857</v>
      </c>
      <c r="C234" s="258"/>
      <c r="D234" s="259"/>
      <c r="E234" s="259"/>
      <c r="F234" s="259"/>
      <c r="G234" s="437"/>
      <c r="H234" s="260" t="s">
        <v>1858</v>
      </c>
      <c r="I234" s="434"/>
      <c r="J234" s="257" t="s">
        <v>1857</v>
      </c>
      <c r="K234" s="258"/>
      <c r="L234" s="259"/>
      <c r="M234" s="259"/>
      <c r="N234" s="259"/>
      <c r="O234" s="437"/>
      <c r="P234" s="260" t="s">
        <v>1858</v>
      </c>
    </row>
    <row r="235" spans="1:16" ht="15.75" thickBot="1">
      <c r="A235" s="432" t="s">
        <v>2202</v>
      </c>
      <c r="B235" s="257" t="s">
        <v>1845</v>
      </c>
      <c r="C235" s="258"/>
      <c r="D235" s="259"/>
      <c r="E235" s="259"/>
      <c r="F235" s="259"/>
      <c r="G235" s="435" t="s">
        <v>2202</v>
      </c>
      <c r="H235" s="260" t="s">
        <v>1845</v>
      </c>
      <c r="I235" s="432" t="s">
        <v>2202</v>
      </c>
      <c r="J235" s="257" t="s">
        <v>1845</v>
      </c>
      <c r="K235" s="258"/>
      <c r="L235" s="259"/>
      <c r="M235" s="259"/>
      <c r="N235" s="259"/>
      <c r="O235" s="435" t="s">
        <v>2202</v>
      </c>
      <c r="P235" s="260" t="s">
        <v>1845</v>
      </c>
    </row>
    <row r="236" spans="1:16" ht="15.75" thickBot="1">
      <c r="A236" s="433"/>
      <c r="B236" s="257" t="s">
        <v>1847</v>
      </c>
      <c r="C236" s="258"/>
      <c r="D236" s="259"/>
      <c r="E236" s="259"/>
      <c r="F236" s="259"/>
      <c r="G236" s="436"/>
      <c r="H236" s="260" t="s">
        <v>1847</v>
      </c>
      <c r="I236" s="433"/>
      <c r="J236" s="257" t="s">
        <v>1847</v>
      </c>
      <c r="K236" s="258"/>
      <c r="L236" s="259"/>
      <c r="M236" s="259"/>
      <c r="N236" s="259"/>
      <c r="O236" s="436"/>
      <c r="P236" s="260" t="s">
        <v>1847</v>
      </c>
    </row>
    <row r="237" spans="1:16" ht="15.75" thickBot="1">
      <c r="A237" s="433"/>
      <c r="B237" s="257" t="s">
        <v>1848</v>
      </c>
      <c r="C237" s="258"/>
      <c r="D237" s="259"/>
      <c r="E237" s="259"/>
      <c r="F237" s="259"/>
      <c r="G237" s="436"/>
      <c r="H237" s="260" t="s">
        <v>1848</v>
      </c>
      <c r="I237" s="433"/>
      <c r="J237" s="257" t="s">
        <v>1848</v>
      </c>
      <c r="K237" s="258"/>
      <c r="L237" s="259"/>
      <c r="M237" s="259"/>
      <c r="N237" s="259"/>
      <c r="O237" s="436"/>
      <c r="P237" s="260" t="s">
        <v>1848</v>
      </c>
    </row>
    <row r="238" spans="1:16" ht="15.75" thickBot="1">
      <c r="A238" s="433"/>
      <c r="B238" s="257" t="s">
        <v>1849</v>
      </c>
      <c r="C238" s="258"/>
      <c r="D238" s="259"/>
      <c r="E238" s="259"/>
      <c r="F238" s="259"/>
      <c r="G238" s="436"/>
      <c r="H238" s="260" t="s">
        <v>1849</v>
      </c>
      <c r="I238" s="433"/>
      <c r="J238" s="257" t="s">
        <v>1849</v>
      </c>
      <c r="K238" s="258"/>
      <c r="L238" s="259"/>
      <c r="M238" s="259"/>
      <c r="N238" s="259"/>
      <c r="O238" s="436"/>
      <c r="P238" s="260" t="s">
        <v>1849</v>
      </c>
    </row>
    <row r="239" spans="1:16" ht="15.75" thickBot="1">
      <c r="A239" s="433"/>
      <c r="B239" s="257" t="s">
        <v>1850</v>
      </c>
      <c r="C239" s="258"/>
      <c r="D239" s="259"/>
      <c r="E239" s="259"/>
      <c r="F239" s="259"/>
      <c r="G239" s="436"/>
      <c r="H239" s="260" t="s">
        <v>1850</v>
      </c>
      <c r="I239" s="433"/>
      <c r="J239" s="257" t="s">
        <v>1850</v>
      </c>
      <c r="K239" s="258"/>
      <c r="L239" s="259"/>
      <c r="M239" s="259"/>
      <c r="N239" s="259"/>
      <c r="O239" s="436"/>
      <c r="P239" s="260" t="s">
        <v>1850</v>
      </c>
    </row>
    <row r="240" spans="1:16" ht="15.75" thickBot="1">
      <c r="A240" s="433"/>
      <c r="B240" s="257" t="s">
        <v>1851</v>
      </c>
      <c r="C240" s="258"/>
      <c r="D240" s="259"/>
      <c r="E240" s="259"/>
      <c r="F240" s="259"/>
      <c r="G240" s="436"/>
      <c r="H240" s="260" t="s">
        <v>1851</v>
      </c>
      <c r="I240" s="433"/>
      <c r="J240" s="257" t="s">
        <v>1851</v>
      </c>
      <c r="K240" s="258"/>
      <c r="L240" s="259"/>
      <c r="M240" s="259"/>
      <c r="N240" s="259"/>
      <c r="O240" s="436"/>
      <c r="P240" s="260" t="s">
        <v>1851</v>
      </c>
    </row>
    <row r="241" spans="1:16" ht="15.75" thickBot="1">
      <c r="A241" s="433"/>
      <c r="B241" s="257" t="s">
        <v>1852</v>
      </c>
      <c r="C241" s="258"/>
      <c r="D241" s="259"/>
      <c r="E241" s="259"/>
      <c r="F241" s="259"/>
      <c r="G241" s="436"/>
      <c r="H241" s="260" t="s">
        <v>1852</v>
      </c>
      <c r="I241" s="433"/>
      <c r="J241" s="257" t="s">
        <v>1852</v>
      </c>
      <c r="K241" s="258"/>
      <c r="L241" s="259"/>
      <c r="M241" s="259"/>
      <c r="N241" s="259"/>
      <c r="O241" s="436"/>
      <c r="P241" s="260" t="s">
        <v>1852</v>
      </c>
    </row>
    <row r="242" spans="1:16" ht="15.75" thickBot="1">
      <c r="A242" s="433"/>
      <c r="B242" s="257" t="s">
        <v>1853</v>
      </c>
      <c r="C242" s="258"/>
      <c r="D242" s="259"/>
      <c r="E242" s="259"/>
      <c r="F242" s="259"/>
      <c r="G242" s="436"/>
      <c r="H242" s="260" t="s">
        <v>1853</v>
      </c>
      <c r="I242" s="433"/>
      <c r="J242" s="257" t="s">
        <v>1853</v>
      </c>
      <c r="K242" s="258"/>
      <c r="L242" s="259"/>
      <c r="M242" s="259"/>
      <c r="N242" s="259"/>
      <c r="O242" s="436"/>
      <c r="P242" s="260" t="s">
        <v>1853</v>
      </c>
    </row>
    <row r="243" spans="1:16" ht="15.75" thickBot="1">
      <c r="A243" s="433"/>
      <c r="B243" s="257" t="s">
        <v>1854</v>
      </c>
      <c r="C243" s="258"/>
      <c r="D243" s="259"/>
      <c r="E243" s="259"/>
      <c r="F243" s="259"/>
      <c r="G243" s="436"/>
      <c r="H243" s="260" t="s">
        <v>1854</v>
      </c>
      <c r="I243" s="433"/>
      <c r="J243" s="257" t="s">
        <v>1854</v>
      </c>
      <c r="K243" s="258"/>
      <c r="L243" s="259"/>
      <c r="M243" s="259"/>
      <c r="N243" s="259"/>
      <c r="O243" s="436"/>
      <c r="P243" s="260" t="s">
        <v>1854</v>
      </c>
    </row>
    <row r="244" spans="1:16" ht="15.75" thickBot="1">
      <c r="A244" s="433"/>
      <c r="B244" s="257" t="s">
        <v>1855</v>
      </c>
      <c r="C244" s="258"/>
      <c r="D244" s="259"/>
      <c r="E244" s="259"/>
      <c r="F244" s="259"/>
      <c r="G244" s="436"/>
      <c r="H244" s="260" t="s">
        <v>1855</v>
      </c>
      <c r="I244" s="433"/>
      <c r="J244" s="257" t="s">
        <v>1855</v>
      </c>
      <c r="K244" s="258"/>
      <c r="L244" s="259"/>
      <c r="M244" s="259"/>
      <c r="N244" s="259"/>
      <c r="O244" s="436"/>
      <c r="P244" s="260" t="s">
        <v>1855</v>
      </c>
    </row>
    <row r="245" spans="1:16" ht="15.75" thickBot="1">
      <c r="A245" s="433"/>
      <c r="B245" s="257" t="s">
        <v>1856</v>
      </c>
      <c r="C245" s="258"/>
      <c r="D245" s="259"/>
      <c r="E245" s="259"/>
      <c r="F245" s="259"/>
      <c r="G245" s="436"/>
      <c r="H245" s="260" t="s">
        <v>1856</v>
      </c>
      <c r="I245" s="433"/>
      <c r="J245" s="257" t="s">
        <v>1856</v>
      </c>
      <c r="K245" s="258"/>
      <c r="L245" s="259"/>
      <c r="M245" s="259"/>
      <c r="N245" s="259"/>
      <c r="O245" s="436"/>
      <c r="P245" s="260" t="s">
        <v>1856</v>
      </c>
    </row>
    <row r="246" spans="1:16" ht="26.25" thickBot="1">
      <c r="A246" s="434"/>
      <c r="B246" s="257" t="s">
        <v>1857</v>
      </c>
      <c r="C246" s="258"/>
      <c r="D246" s="259"/>
      <c r="E246" s="259"/>
      <c r="F246" s="259"/>
      <c r="G246" s="437"/>
      <c r="H246" s="260" t="s">
        <v>1858</v>
      </c>
      <c r="I246" s="434"/>
      <c r="J246" s="257" t="s">
        <v>1857</v>
      </c>
      <c r="K246" s="258"/>
      <c r="L246" s="259"/>
      <c r="M246" s="259"/>
      <c r="N246" s="259"/>
      <c r="O246" s="437"/>
      <c r="P246" s="260" t="s">
        <v>1858</v>
      </c>
    </row>
    <row r="247" spans="1:16" ht="15.75" thickBot="1">
      <c r="A247" s="432" t="s">
        <v>2203</v>
      </c>
      <c r="B247" s="257" t="s">
        <v>1845</v>
      </c>
      <c r="C247" s="258"/>
      <c r="D247" s="259"/>
      <c r="E247" s="259"/>
      <c r="F247" s="259"/>
      <c r="G247" s="435" t="s">
        <v>2204</v>
      </c>
      <c r="H247" s="260" t="s">
        <v>1845</v>
      </c>
      <c r="I247" s="432" t="s">
        <v>2203</v>
      </c>
      <c r="J247" s="257" t="s">
        <v>1845</v>
      </c>
      <c r="K247" s="258"/>
      <c r="L247" s="259"/>
      <c r="M247" s="259"/>
      <c r="N247" s="259"/>
      <c r="O247" s="435" t="s">
        <v>2204</v>
      </c>
      <c r="P247" s="260" t="s">
        <v>1845</v>
      </c>
    </row>
    <row r="248" spans="1:16" ht="15.75" thickBot="1">
      <c r="A248" s="433"/>
      <c r="B248" s="257" t="s">
        <v>1847</v>
      </c>
      <c r="C248" s="258"/>
      <c r="D248" s="259"/>
      <c r="E248" s="259"/>
      <c r="F248" s="259"/>
      <c r="G248" s="436"/>
      <c r="H248" s="260" t="s">
        <v>1847</v>
      </c>
      <c r="I248" s="433"/>
      <c r="J248" s="257" t="s">
        <v>1847</v>
      </c>
      <c r="K248" s="258"/>
      <c r="L248" s="259"/>
      <c r="M248" s="259"/>
      <c r="N248" s="259"/>
      <c r="O248" s="436"/>
      <c r="P248" s="260" t="s">
        <v>1847</v>
      </c>
    </row>
    <row r="249" spans="1:16" ht="15.75" thickBot="1">
      <c r="A249" s="433"/>
      <c r="B249" s="257" t="s">
        <v>1848</v>
      </c>
      <c r="C249" s="258"/>
      <c r="D249" s="259"/>
      <c r="E249" s="259"/>
      <c r="F249" s="259"/>
      <c r="G249" s="436"/>
      <c r="H249" s="260" t="s">
        <v>1848</v>
      </c>
      <c r="I249" s="433"/>
      <c r="J249" s="257" t="s">
        <v>1848</v>
      </c>
      <c r="K249" s="258"/>
      <c r="L249" s="259"/>
      <c r="M249" s="259"/>
      <c r="N249" s="259"/>
      <c r="O249" s="436"/>
      <c r="P249" s="260" t="s">
        <v>1848</v>
      </c>
    </row>
    <row r="250" spans="1:16" ht="15.75" thickBot="1">
      <c r="A250" s="433"/>
      <c r="B250" s="257" t="s">
        <v>1849</v>
      </c>
      <c r="C250" s="258"/>
      <c r="D250" s="259"/>
      <c r="E250" s="259"/>
      <c r="F250" s="259"/>
      <c r="G250" s="436"/>
      <c r="H250" s="260" t="s">
        <v>1849</v>
      </c>
      <c r="I250" s="433"/>
      <c r="J250" s="257" t="s">
        <v>1849</v>
      </c>
      <c r="K250" s="258"/>
      <c r="L250" s="259"/>
      <c r="M250" s="259"/>
      <c r="N250" s="259"/>
      <c r="O250" s="436"/>
      <c r="P250" s="260" t="s">
        <v>1849</v>
      </c>
    </row>
    <row r="251" spans="1:16" ht="15.75" thickBot="1">
      <c r="A251" s="433"/>
      <c r="B251" s="257" t="s">
        <v>1850</v>
      </c>
      <c r="C251" s="258"/>
      <c r="D251" s="259"/>
      <c r="E251" s="259"/>
      <c r="F251" s="259"/>
      <c r="G251" s="436"/>
      <c r="H251" s="260" t="s">
        <v>1850</v>
      </c>
      <c r="I251" s="433"/>
      <c r="J251" s="257" t="s">
        <v>1850</v>
      </c>
      <c r="K251" s="258"/>
      <c r="L251" s="259"/>
      <c r="M251" s="259"/>
      <c r="N251" s="259"/>
      <c r="O251" s="436"/>
      <c r="P251" s="260" t="s">
        <v>1850</v>
      </c>
    </row>
    <row r="252" spans="1:16" ht="15.75" thickBot="1">
      <c r="A252" s="433"/>
      <c r="B252" s="257" t="s">
        <v>1851</v>
      </c>
      <c r="C252" s="258"/>
      <c r="D252" s="259"/>
      <c r="E252" s="259"/>
      <c r="F252" s="259"/>
      <c r="G252" s="436"/>
      <c r="H252" s="260" t="s">
        <v>1851</v>
      </c>
      <c r="I252" s="433"/>
      <c r="J252" s="257" t="s">
        <v>1851</v>
      </c>
      <c r="K252" s="258"/>
      <c r="L252" s="259"/>
      <c r="M252" s="259"/>
      <c r="N252" s="259"/>
      <c r="O252" s="436"/>
      <c r="P252" s="260" t="s">
        <v>1851</v>
      </c>
    </row>
    <row r="253" spans="1:16" ht="15.75" thickBot="1">
      <c r="A253" s="433"/>
      <c r="B253" s="257" t="s">
        <v>1852</v>
      </c>
      <c r="C253" s="258"/>
      <c r="D253" s="259"/>
      <c r="E253" s="259"/>
      <c r="F253" s="259"/>
      <c r="G253" s="436"/>
      <c r="H253" s="260" t="s">
        <v>1852</v>
      </c>
      <c r="I253" s="433"/>
      <c r="J253" s="257" t="s">
        <v>1852</v>
      </c>
      <c r="K253" s="258"/>
      <c r="L253" s="259"/>
      <c r="M253" s="259"/>
      <c r="N253" s="259"/>
      <c r="O253" s="436"/>
      <c r="P253" s="260" t="s">
        <v>1852</v>
      </c>
    </row>
    <row r="254" spans="1:16" ht="15.75" thickBot="1">
      <c r="A254" s="433"/>
      <c r="B254" s="257" t="s">
        <v>1853</v>
      </c>
      <c r="C254" s="258"/>
      <c r="D254" s="259"/>
      <c r="E254" s="259"/>
      <c r="F254" s="259"/>
      <c r="G254" s="436"/>
      <c r="H254" s="260" t="s">
        <v>1853</v>
      </c>
      <c r="I254" s="433"/>
      <c r="J254" s="257" t="s">
        <v>1853</v>
      </c>
      <c r="K254" s="258"/>
      <c r="L254" s="259"/>
      <c r="M254" s="259"/>
      <c r="N254" s="259"/>
      <c r="O254" s="436"/>
      <c r="P254" s="260" t="s">
        <v>1853</v>
      </c>
    </row>
    <row r="255" spans="1:16" ht="15.75" thickBot="1">
      <c r="A255" s="433"/>
      <c r="B255" s="257" t="s">
        <v>1854</v>
      </c>
      <c r="C255" s="258"/>
      <c r="D255" s="259"/>
      <c r="E255" s="259"/>
      <c r="F255" s="259"/>
      <c r="G255" s="436"/>
      <c r="H255" s="260" t="s">
        <v>1854</v>
      </c>
      <c r="I255" s="433"/>
      <c r="J255" s="257" t="s">
        <v>1854</v>
      </c>
      <c r="K255" s="258"/>
      <c r="L255" s="259"/>
      <c r="M255" s="259"/>
      <c r="N255" s="259"/>
      <c r="O255" s="436"/>
      <c r="P255" s="260" t="s">
        <v>1854</v>
      </c>
    </row>
    <row r="256" spans="1:16" ht="15.75" thickBot="1">
      <c r="A256" s="433"/>
      <c r="B256" s="257" t="s">
        <v>1855</v>
      </c>
      <c r="C256" s="258"/>
      <c r="D256" s="259"/>
      <c r="E256" s="259"/>
      <c r="F256" s="259"/>
      <c r="G256" s="436"/>
      <c r="H256" s="260" t="s">
        <v>1855</v>
      </c>
      <c r="I256" s="433"/>
      <c r="J256" s="257" t="s">
        <v>1855</v>
      </c>
      <c r="K256" s="258"/>
      <c r="L256" s="259"/>
      <c r="M256" s="259"/>
      <c r="N256" s="259"/>
      <c r="O256" s="436"/>
      <c r="P256" s="260" t="s">
        <v>1855</v>
      </c>
    </row>
    <row r="257" spans="1:16" ht="15.75" thickBot="1">
      <c r="A257" s="433"/>
      <c r="B257" s="257" t="s">
        <v>1856</v>
      </c>
      <c r="C257" s="258"/>
      <c r="D257" s="259"/>
      <c r="E257" s="259"/>
      <c r="F257" s="259"/>
      <c r="G257" s="436"/>
      <c r="H257" s="260" t="s">
        <v>1856</v>
      </c>
      <c r="I257" s="433"/>
      <c r="J257" s="257" t="s">
        <v>1856</v>
      </c>
      <c r="K257" s="258"/>
      <c r="L257" s="259"/>
      <c r="M257" s="259"/>
      <c r="N257" s="259"/>
      <c r="O257" s="436"/>
      <c r="P257" s="260" t="s">
        <v>1856</v>
      </c>
    </row>
    <row r="258" spans="1:16" ht="26.25" thickBot="1">
      <c r="A258" s="434"/>
      <c r="B258" s="257" t="s">
        <v>1857</v>
      </c>
      <c r="C258" s="258"/>
      <c r="D258" s="259"/>
      <c r="E258" s="259"/>
      <c r="F258" s="259"/>
      <c r="G258" s="437"/>
      <c r="H258" s="260" t="s">
        <v>1858</v>
      </c>
      <c r="I258" s="434"/>
      <c r="J258" s="257" t="s">
        <v>1857</v>
      </c>
      <c r="K258" s="258"/>
      <c r="L258" s="259"/>
      <c r="M258" s="259"/>
      <c r="N258" s="259"/>
      <c r="O258" s="437"/>
      <c r="P258" s="260" t="s">
        <v>1858</v>
      </c>
    </row>
    <row r="259" spans="1:16" ht="15.75" thickBot="1">
      <c r="A259" s="432" t="s">
        <v>2205</v>
      </c>
      <c r="B259" s="257" t="s">
        <v>1845</v>
      </c>
      <c r="C259" s="258"/>
      <c r="D259" s="259"/>
      <c r="E259" s="259"/>
      <c r="F259" s="259"/>
      <c r="G259" s="435" t="s">
        <v>2206</v>
      </c>
      <c r="H259" s="260" t="s">
        <v>1845</v>
      </c>
      <c r="I259" s="432" t="s">
        <v>2205</v>
      </c>
      <c r="J259" s="257" t="s">
        <v>1845</v>
      </c>
      <c r="K259" s="258"/>
      <c r="L259" s="259"/>
      <c r="M259" s="259"/>
      <c r="N259" s="259"/>
      <c r="O259" s="435" t="s">
        <v>2206</v>
      </c>
      <c r="P259" s="260" t="s">
        <v>1845</v>
      </c>
    </row>
    <row r="260" spans="1:16" ht="15.75" thickBot="1">
      <c r="A260" s="433"/>
      <c r="B260" s="257" t="s">
        <v>1847</v>
      </c>
      <c r="C260" s="258"/>
      <c r="D260" s="259"/>
      <c r="E260" s="259"/>
      <c r="F260" s="259"/>
      <c r="G260" s="436"/>
      <c r="H260" s="260" t="s">
        <v>1847</v>
      </c>
      <c r="I260" s="433"/>
      <c r="J260" s="257" t="s">
        <v>1847</v>
      </c>
      <c r="K260" s="258"/>
      <c r="L260" s="259"/>
      <c r="M260" s="259"/>
      <c r="N260" s="259"/>
      <c r="O260" s="436"/>
      <c r="P260" s="260" t="s">
        <v>1847</v>
      </c>
    </row>
    <row r="261" spans="1:16" ht="15.75" thickBot="1">
      <c r="A261" s="433"/>
      <c r="B261" s="257" t="s">
        <v>1848</v>
      </c>
      <c r="C261" s="258"/>
      <c r="D261" s="259"/>
      <c r="E261" s="259"/>
      <c r="F261" s="259"/>
      <c r="G261" s="436"/>
      <c r="H261" s="260" t="s">
        <v>1848</v>
      </c>
      <c r="I261" s="433"/>
      <c r="J261" s="257" t="s">
        <v>1848</v>
      </c>
      <c r="K261" s="258"/>
      <c r="L261" s="259"/>
      <c r="M261" s="259"/>
      <c r="N261" s="259"/>
      <c r="O261" s="436"/>
      <c r="P261" s="260" t="s">
        <v>1848</v>
      </c>
    </row>
    <row r="262" spans="1:16" ht="15.75" thickBot="1">
      <c r="A262" s="433"/>
      <c r="B262" s="257" t="s">
        <v>1849</v>
      </c>
      <c r="C262" s="258"/>
      <c r="D262" s="259"/>
      <c r="E262" s="259"/>
      <c r="F262" s="259"/>
      <c r="G262" s="436"/>
      <c r="H262" s="260" t="s">
        <v>1849</v>
      </c>
      <c r="I262" s="433"/>
      <c r="J262" s="257" t="s">
        <v>1849</v>
      </c>
      <c r="K262" s="258"/>
      <c r="L262" s="259"/>
      <c r="M262" s="259"/>
      <c r="N262" s="259"/>
      <c r="O262" s="436"/>
      <c r="P262" s="260" t="s">
        <v>1849</v>
      </c>
    </row>
    <row r="263" spans="1:16" ht="15.75" thickBot="1">
      <c r="A263" s="433"/>
      <c r="B263" s="257" t="s">
        <v>1850</v>
      </c>
      <c r="C263" s="258"/>
      <c r="D263" s="259"/>
      <c r="E263" s="259"/>
      <c r="F263" s="259"/>
      <c r="G263" s="436"/>
      <c r="H263" s="260" t="s">
        <v>1850</v>
      </c>
      <c r="I263" s="433"/>
      <c r="J263" s="257" t="s">
        <v>1850</v>
      </c>
      <c r="K263" s="258"/>
      <c r="L263" s="259"/>
      <c r="M263" s="259"/>
      <c r="N263" s="259"/>
      <c r="O263" s="436"/>
      <c r="P263" s="260" t="s">
        <v>1850</v>
      </c>
    </row>
    <row r="264" spans="1:16" ht="15.75" thickBot="1">
      <c r="A264" s="433"/>
      <c r="B264" s="257" t="s">
        <v>1851</v>
      </c>
      <c r="C264" s="258"/>
      <c r="D264" s="259"/>
      <c r="E264" s="259"/>
      <c r="F264" s="259"/>
      <c r="G264" s="436"/>
      <c r="H264" s="260" t="s">
        <v>1851</v>
      </c>
      <c r="I264" s="433"/>
      <c r="J264" s="257" t="s">
        <v>1851</v>
      </c>
      <c r="K264" s="258"/>
      <c r="L264" s="259"/>
      <c r="M264" s="259"/>
      <c r="N264" s="259"/>
      <c r="O264" s="436"/>
      <c r="P264" s="260" t="s">
        <v>1851</v>
      </c>
    </row>
    <row r="265" spans="1:16" ht="15.75" thickBot="1">
      <c r="A265" s="433"/>
      <c r="B265" s="257" t="s">
        <v>1852</v>
      </c>
      <c r="C265" s="258"/>
      <c r="D265" s="259"/>
      <c r="E265" s="259"/>
      <c r="F265" s="259"/>
      <c r="G265" s="436"/>
      <c r="H265" s="260" t="s">
        <v>1852</v>
      </c>
      <c r="I265" s="433"/>
      <c r="J265" s="257" t="s">
        <v>1852</v>
      </c>
      <c r="K265" s="258"/>
      <c r="L265" s="259"/>
      <c r="M265" s="259"/>
      <c r="N265" s="259"/>
      <c r="O265" s="436"/>
      <c r="P265" s="260" t="s">
        <v>1852</v>
      </c>
    </row>
    <row r="266" spans="1:16" ht="15.75" thickBot="1">
      <c r="A266" s="433"/>
      <c r="B266" s="257" t="s">
        <v>1853</v>
      </c>
      <c r="C266" s="258"/>
      <c r="D266" s="259"/>
      <c r="E266" s="259"/>
      <c r="F266" s="259"/>
      <c r="G266" s="436"/>
      <c r="H266" s="260" t="s">
        <v>1853</v>
      </c>
      <c r="I266" s="433"/>
      <c r="J266" s="257" t="s">
        <v>1853</v>
      </c>
      <c r="K266" s="258"/>
      <c r="L266" s="259"/>
      <c r="M266" s="259"/>
      <c r="N266" s="259"/>
      <c r="O266" s="436"/>
      <c r="P266" s="260" t="s">
        <v>1853</v>
      </c>
    </row>
    <row r="267" spans="1:16" ht="15.75" thickBot="1">
      <c r="A267" s="433"/>
      <c r="B267" s="257" t="s">
        <v>1854</v>
      </c>
      <c r="C267" s="258"/>
      <c r="D267" s="259"/>
      <c r="E267" s="259"/>
      <c r="F267" s="259"/>
      <c r="G267" s="436"/>
      <c r="H267" s="260" t="s">
        <v>1854</v>
      </c>
      <c r="I267" s="433"/>
      <c r="J267" s="257" t="s">
        <v>1854</v>
      </c>
      <c r="K267" s="258"/>
      <c r="L267" s="259"/>
      <c r="M267" s="259"/>
      <c r="N267" s="259"/>
      <c r="O267" s="436"/>
      <c r="P267" s="260" t="s">
        <v>1854</v>
      </c>
    </row>
    <row r="268" spans="1:16" ht="15.75" thickBot="1">
      <c r="A268" s="433"/>
      <c r="B268" s="257" t="s">
        <v>1855</v>
      </c>
      <c r="C268" s="258"/>
      <c r="D268" s="259"/>
      <c r="E268" s="259"/>
      <c r="F268" s="259"/>
      <c r="G268" s="436"/>
      <c r="H268" s="260" t="s">
        <v>1855</v>
      </c>
      <c r="I268" s="433"/>
      <c r="J268" s="257" t="s">
        <v>1855</v>
      </c>
      <c r="K268" s="258"/>
      <c r="L268" s="259"/>
      <c r="M268" s="259"/>
      <c r="N268" s="259"/>
      <c r="O268" s="436"/>
      <c r="P268" s="260" t="s">
        <v>1855</v>
      </c>
    </row>
    <row r="269" spans="1:16" ht="15.75" thickBot="1">
      <c r="A269" s="433"/>
      <c r="B269" s="257" t="s">
        <v>1856</v>
      </c>
      <c r="C269" s="258"/>
      <c r="D269" s="259"/>
      <c r="E269" s="259"/>
      <c r="F269" s="259"/>
      <c r="G269" s="436"/>
      <c r="H269" s="260" t="s">
        <v>1856</v>
      </c>
      <c r="I269" s="433"/>
      <c r="J269" s="257" t="s">
        <v>1856</v>
      </c>
      <c r="K269" s="258"/>
      <c r="L269" s="259"/>
      <c r="M269" s="259"/>
      <c r="N269" s="259"/>
      <c r="O269" s="436"/>
      <c r="P269" s="260" t="s">
        <v>1856</v>
      </c>
    </row>
    <row r="270" spans="1:16" ht="26.25" thickBot="1">
      <c r="A270" s="434"/>
      <c r="B270" s="257" t="s">
        <v>1857</v>
      </c>
      <c r="C270" s="258"/>
      <c r="D270" s="259"/>
      <c r="E270" s="259"/>
      <c r="F270" s="259"/>
      <c r="G270" s="437"/>
      <c r="H270" s="260" t="s">
        <v>1858</v>
      </c>
      <c r="I270" s="434"/>
      <c r="J270" s="257" t="s">
        <v>1857</v>
      </c>
      <c r="K270" s="258"/>
      <c r="L270" s="259"/>
      <c r="M270" s="259"/>
      <c r="N270" s="259"/>
      <c r="O270" s="437"/>
      <c r="P270" s="260" t="s">
        <v>1858</v>
      </c>
    </row>
    <row r="271" spans="1:16" ht="15.75" thickBot="1">
      <c r="A271" s="432" t="s">
        <v>2207</v>
      </c>
      <c r="B271" s="257" t="s">
        <v>1845</v>
      </c>
      <c r="C271" s="258"/>
      <c r="D271" s="259"/>
      <c r="E271" s="259"/>
      <c r="F271" s="259"/>
      <c r="G271" s="435" t="s">
        <v>2208</v>
      </c>
      <c r="H271" s="260" t="s">
        <v>1845</v>
      </c>
      <c r="I271" s="432" t="s">
        <v>2207</v>
      </c>
      <c r="J271" s="257" t="s">
        <v>1845</v>
      </c>
      <c r="K271" s="258"/>
      <c r="L271" s="259"/>
      <c r="M271" s="259"/>
      <c r="N271" s="259"/>
      <c r="O271" s="435" t="s">
        <v>2208</v>
      </c>
      <c r="P271" s="260" t="s">
        <v>1845</v>
      </c>
    </row>
    <row r="272" spans="1:16" ht="15.75" thickBot="1">
      <c r="A272" s="433"/>
      <c r="B272" s="257" t="s">
        <v>1847</v>
      </c>
      <c r="C272" s="258"/>
      <c r="D272" s="259"/>
      <c r="E272" s="259"/>
      <c r="F272" s="259"/>
      <c r="G272" s="436"/>
      <c r="H272" s="260" t="s">
        <v>1847</v>
      </c>
      <c r="I272" s="433"/>
      <c r="J272" s="257" t="s">
        <v>1847</v>
      </c>
      <c r="K272" s="258"/>
      <c r="L272" s="259"/>
      <c r="M272" s="259"/>
      <c r="N272" s="259"/>
      <c r="O272" s="436"/>
      <c r="P272" s="260" t="s">
        <v>1847</v>
      </c>
    </row>
    <row r="273" spans="1:16" ht="15.75" thickBot="1">
      <c r="A273" s="433"/>
      <c r="B273" s="257" t="s">
        <v>1848</v>
      </c>
      <c r="C273" s="258"/>
      <c r="D273" s="259"/>
      <c r="E273" s="259"/>
      <c r="F273" s="259"/>
      <c r="G273" s="436"/>
      <c r="H273" s="260" t="s">
        <v>1848</v>
      </c>
      <c r="I273" s="433"/>
      <c r="J273" s="257" t="s">
        <v>1848</v>
      </c>
      <c r="K273" s="258"/>
      <c r="L273" s="259"/>
      <c r="M273" s="259"/>
      <c r="N273" s="259"/>
      <c r="O273" s="436"/>
      <c r="P273" s="260" t="s">
        <v>1848</v>
      </c>
    </row>
    <row r="274" spans="1:16" ht="15.75" thickBot="1">
      <c r="A274" s="433"/>
      <c r="B274" s="257" t="s">
        <v>1849</v>
      </c>
      <c r="C274" s="258"/>
      <c r="D274" s="259"/>
      <c r="E274" s="259"/>
      <c r="F274" s="259"/>
      <c r="G274" s="436"/>
      <c r="H274" s="260" t="s">
        <v>1849</v>
      </c>
      <c r="I274" s="433"/>
      <c r="J274" s="257" t="s">
        <v>1849</v>
      </c>
      <c r="K274" s="258"/>
      <c r="L274" s="259"/>
      <c r="M274" s="259"/>
      <c r="N274" s="259"/>
      <c r="O274" s="436"/>
      <c r="P274" s="260" t="s">
        <v>1849</v>
      </c>
    </row>
    <row r="275" spans="1:16" ht="15.75" thickBot="1">
      <c r="A275" s="433"/>
      <c r="B275" s="257" t="s">
        <v>1850</v>
      </c>
      <c r="C275" s="258"/>
      <c r="D275" s="259"/>
      <c r="E275" s="259"/>
      <c r="F275" s="259"/>
      <c r="G275" s="436"/>
      <c r="H275" s="260" t="s">
        <v>1850</v>
      </c>
      <c r="I275" s="433"/>
      <c r="J275" s="257" t="s">
        <v>1850</v>
      </c>
      <c r="K275" s="258"/>
      <c r="L275" s="259"/>
      <c r="M275" s="259"/>
      <c r="N275" s="259"/>
      <c r="O275" s="436"/>
      <c r="P275" s="260" t="s">
        <v>1850</v>
      </c>
    </row>
    <row r="276" spans="1:16" ht="15.75" thickBot="1">
      <c r="A276" s="433"/>
      <c r="B276" s="257" t="s">
        <v>1851</v>
      </c>
      <c r="C276" s="258"/>
      <c r="D276" s="259"/>
      <c r="E276" s="259"/>
      <c r="F276" s="259"/>
      <c r="G276" s="436"/>
      <c r="H276" s="260" t="s">
        <v>1851</v>
      </c>
      <c r="I276" s="433"/>
      <c r="J276" s="257" t="s">
        <v>1851</v>
      </c>
      <c r="K276" s="258"/>
      <c r="L276" s="259"/>
      <c r="M276" s="259"/>
      <c r="N276" s="259"/>
      <c r="O276" s="436"/>
      <c r="P276" s="260" t="s">
        <v>1851</v>
      </c>
    </row>
    <row r="277" spans="1:16" ht="15.75" thickBot="1">
      <c r="A277" s="433"/>
      <c r="B277" s="257" t="s">
        <v>1852</v>
      </c>
      <c r="C277" s="258"/>
      <c r="D277" s="259"/>
      <c r="E277" s="259"/>
      <c r="F277" s="259"/>
      <c r="G277" s="436"/>
      <c r="H277" s="260" t="s">
        <v>1852</v>
      </c>
      <c r="I277" s="433"/>
      <c r="J277" s="257" t="s">
        <v>1852</v>
      </c>
      <c r="K277" s="258"/>
      <c r="L277" s="259"/>
      <c r="M277" s="259"/>
      <c r="N277" s="259"/>
      <c r="O277" s="436"/>
      <c r="P277" s="260" t="s">
        <v>1852</v>
      </c>
    </row>
    <row r="278" spans="1:16" ht="15.75" thickBot="1">
      <c r="A278" s="433"/>
      <c r="B278" s="257" t="s">
        <v>1853</v>
      </c>
      <c r="C278" s="258"/>
      <c r="D278" s="259"/>
      <c r="E278" s="259"/>
      <c r="F278" s="259"/>
      <c r="G278" s="436"/>
      <c r="H278" s="260" t="s">
        <v>1853</v>
      </c>
      <c r="I278" s="433"/>
      <c r="J278" s="257" t="s">
        <v>1853</v>
      </c>
      <c r="K278" s="258"/>
      <c r="L278" s="259"/>
      <c r="M278" s="259"/>
      <c r="N278" s="259"/>
      <c r="O278" s="436"/>
      <c r="P278" s="260" t="s">
        <v>1853</v>
      </c>
    </row>
    <row r="279" spans="1:16" ht="15.75" thickBot="1">
      <c r="A279" s="433"/>
      <c r="B279" s="257" t="s">
        <v>1854</v>
      </c>
      <c r="C279" s="258"/>
      <c r="D279" s="259"/>
      <c r="E279" s="259"/>
      <c r="F279" s="259"/>
      <c r="G279" s="436"/>
      <c r="H279" s="260" t="s">
        <v>1854</v>
      </c>
      <c r="I279" s="433"/>
      <c r="J279" s="257" t="s">
        <v>1854</v>
      </c>
      <c r="K279" s="258"/>
      <c r="L279" s="259"/>
      <c r="M279" s="259"/>
      <c r="N279" s="259"/>
      <c r="O279" s="436"/>
      <c r="P279" s="260" t="s">
        <v>1854</v>
      </c>
    </row>
    <row r="280" spans="1:16" ht="15.75" thickBot="1">
      <c r="A280" s="433"/>
      <c r="B280" s="257" t="s">
        <v>1855</v>
      </c>
      <c r="C280" s="258"/>
      <c r="D280" s="259"/>
      <c r="E280" s="259"/>
      <c r="F280" s="259"/>
      <c r="G280" s="436"/>
      <c r="H280" s="260" t="s">
        <v>1855</v>
      </c>
      <c r="I280" s="433"/>
      <c r="J280" s="257" t="s">
        <v>1855</v>
      </c>
      <c r="K280" s="258"/>
      <c r="L280" s="259"/>
      <c r="M280" s="259"/>
      <c r="N280" s="259"/>
      <c r="O280" s="436"/>
      <c r="P280" s="260" t="s">
        <v>1855</v>
      </c>
    </row>
    <row r="281" spans="1:16" ht="15.75" thickBot="1">
      <c r="A281" s="433"/>
      <c r="B281" s="257" t="s">
        <v>1856</v>
      </c>
      <c r="C281" s="258"/>
      <c r="D281" s="259"/>
      <c r="E281" s="259"/>
      <c r="F281" s="259"/>
      <c r="G281" s="436"/>
      <c r="H281" s="260" t="s">
        <v>1856</v>
      </c>
      <c r="I281" s="433"/>
      <c r="J281" s="257" t="s">
        <v>1856</v>
      </c>
      <c r="K281" s="258"/>
      <c r="L281" s="259"/>
      <c r="M281" s="259"/>
      <c r="N281" s="259"/>
      <c r="O281" s="436"/>
      <c r="P281" s="260" t="s">
        <v>1856</v>
      </c>
    </row>
    <row r="282" spans="1:16" ht="26.25" thickBot="1">
      <c r="A282" s="434"/>
      <c r="B282" s="257" t="s">
        <v>1857</v>
      </c>
      <c r="C282" s="258"/>
      <c r="D282" s="259"/>
      <c r="E282" s="259"/>
      <c r="F282" s="259"/>
      <c r="G282" s="437"/>
      <c r="H282" s="260" t="s">
        <v>1858</v>
      </c>
      <c r="I282" s="434"/>
      <c r="J282" s="257" t="s">
        <v>1857</v>
      </c>
      <c r="K282" s="258"/>
      <c r="L282" s="259"/>
      <c r="M282" s="259"/>
      <c r="N282" s="259"/>
      <c r="O282" s="437"/>
      <c r="P282" s="260" t="s">
        <v>1858</v>
      </c>
    </row>
    <row r="283" spans="1:16" ht="17.25" customHeight="1">
      <c r="A283" s="438" t="s">
        <v>19</v>
      </c>
      <c r="B283" s="438"/>
      <c r="C283" s="438"/>
      <c r="D283" s="438"/>
      <c r="E283" s="438"/>
      <c r="F283" s="438"/>
      <c r="G283" s="438"/>
      <c r="H283" s="438"/>
      <c r="I283" s="439" t="s">
        <v>106</v>
      </c>
      <c r="J283" s="439"/>
      <c r="K283" s="439"/>
      <c r="L283" s="439"/>
      <c r="M283" s="439"/>
      <c r="N283" s="439"/>
      <c r="O283" s="439"/>
      <c r="P283" s="439"/>
    </row>
    <row r="284" spans="1:16" ht="17.25" customHeight="1">
      <c r="A284" s="428" t="s">
        <v>2178</v>
      </c>
      <c r="B284" s="428"/>
      <c r="C284" s="428"/>
      <c r="D284" s="428"/>
      <c r="E284" s="429" t="s">
        <v>2179</v>
      </c>
      <c r="F284" s="429"/>
      <c r="G284" s="429"/>
      <c r="H284" s="429"/>
      <c r="I284" s="428" t="s">
        <v>2178</v>
      </c>
      <c r="J284" s="428"/>
      <c r="K284" s="428"/>
      <c r="L284" s="428"/>
      <c r="M284" s="429" t="s">
        <v>2179</v>
      </c>
      <c r="N284" s="429"/>
      <c r="O284" s="429"/>
      <c r="P284" s="429"/>
    </row>
    <row r="285" spans="1:16">
      <c r="A285" s="430"/>
      <c r="B285" s="430"/>
      <c r="C285" s="431" t="s">
        <v>2180</v>
      </c>
      <c r="D285" s="431"/>
      <c r="E285" s="431"/>
      <c r="F285" s="431"/>
      <c r="G285" s="430"/>
      <c r="H285" s="430"/>
      <c r="I285" s="430"/>
      <c r="J285" s="430"/>
      <c r="K285" s="431" t="s">
        <v>2180</v>
      </c>
      <c r="L285" s="431"/>
      <c r="M285" s="431"/>
      <c r="N285" s="431"/>
      <c r="O285" s="430"/>
      <c r="P285" s="430"/>
    </row>
    <row r="286" spans="1:16" ht="23.25">
      <c r="A286" s="430"/>
      <c r="B286" s="430"/>
      <c r="C286" s="256" t="s">
        <v>2181</v>
      </c>
      <c r="D286" s="256" t="s">
        <v>2221</v>
      </c>
      <c r="E286" s="256" t="s">
        <v>2222</v>
      </c>
      <c r="F286" s="256" t="s">
        <v>2223</v>
      </c>
      <c r="G286" s="430"/>
      <c r="H286" s="430"/>
      <c r="I286" s="430"/>
      <c r="J286" s="430"/>
      <c r="K286" s="256" t="s">
        <v>2181</v>
      </c>
      <c r="L286" s="256" t="s">
        <v>2221</v>
      </c>
      <c r="M286" s="256" t="s">
        <v>2222</v>
      </c>
      <c r="N286" s="256" t="s">
        <v>2223</v>
      </c>
      <c r="O286" s="430"/>
      <c r="P286" s="430"/>
    </row>
    <row r="287" spans="1:16" ht="15.75" thickBot="1">
      <c r="A287" s="257" t="s">
        <v>2209</v>
      </c>
      <c r="B287" s="257" t="s">
        <v>1859</v>
      </c>
      <c r="C287" s="258"/>
      <c r="D287" s="259"/>
      <c r="E287" s="259"/>
      <c r="F287" s="259"/>
      <c r="G287" s="260" t="s">
        <v>2210</v>
      </c>
      <c r="H287" s="260" t="s">
        <v>1860</v>
      </c>
      <c r="I287" s="257" t="s">
        <v>2209</v>
      </c>
      <c r="J287" s="257" t="s">
        <v>1859</v>
      </c>
      <c r="K287" s="258"/>
      <c r="L287" s="259"/>
      <c r="M287" s="259"/>
      <c r="N287" s="259"/>
      <c r="O287" s="260" t="s">
        <v>2210</v>
      </c>
      <c r="P287" s="260" t="s">
        <v>1860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7778D5B-2B5A-477F-B2D5-725BFCBD8C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952F388-E7DE-4B40-8C5F-4C32C42910C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7BCF5-5202-4996-8D55-E170747E6A0E}">
  <dimension ref="A1:L310"/>
  <sheetViews>
    <sheetView showGridLines="0" workbookViewId="0"/>
  </sheetViews>
  <sheetFormatPr defaultRowHeight="15"/>
  <cols>
    <col min="1" max="1" width="42.6640625" style="262" bestFit="1" customWidth="1" collapsed="1"/>
    <col min="2" max="2" width="19" style="262" bestFit="1" customWidth="1" collapsed="1"/>
    <col min="3" max="3" width="42.6640625" style="262" bestFit="1" customWidth="1" collapsed="1"/>
    <col min="4" max="4" width="25.8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42.6640625" style="262" bestFit="1" customWidth="1" collapsed="1"/>
    <col min="10" max="10" width="25.832031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2224</v>
      </c>
    </row>
    <row r="3" spans="1:12" ht="17.25" customHeight="1">
      <c r="A3" s="442" t="s">
        <v>19</v>
      </c>
      <c r="B3" s="442"/>
      <c r="C3" s="442"/>
      <c r="D3" s="442"/>
      <c r="E3" s="442"/>
      <c r="F3" s="442"/>
      <c r="G3" s="443" t="s">
        <v>106</v>
      </c>
      <c r="H3" s="443"/>
      <c r="I3" s="443"/>
      <c r="J3" s="443"/>
      <c r="K3" s="443"/>
      <c r="L3" s="443"/>
    </row>
    <row r="4" spans="1:12" ht="17.25" customHeight="1">
      <c r="A4" s="442" t="s">
        <v>2225</v>
      </c>
      <c r="B4" s="442"/>
      <c r="C4" s="442"/>
      <c r="D4" s="443" t="s">
        <v>2226</v>
      </c>
      <c r="E4" s="443"/>
      <c r="F4" s="443"/>
      <c r="G4" s="442" t="s">
        <v>2225</v>
      </c>
      <c r="H4" s="442"/>
      <c r="I4" s="442"/>
      <c r="J4" s="443" t="s">
        <v>2226</v>
      </c>
      <c r="K4" s="443"/>
      <c r="L4" s="443"/>
    </row>
    <row r="5" spans="1:12">
      <c r="A5" s="440"/>
      <c r="B5" s="440"/>
      <c r="C5" s="441" t="s">
        <v>2227</v>
      </c>
      <c r="D5" s="441"/>
      <c r="E5" s="440"/>
      <c r="F5" s="440"/>
      <c r="G5" s="440"/>
      <c r="H5" s="440"/>
      <c r="I5" s="441" t="s">
        <v>2227</v>
      </c>
      <c r="J5" s="441"/>
      <c r="K5" s="440"/>
      <c r="L5" s="440"/>
    </row>
    <row r="6" spans="1:12" ht="23.25">
      <c r="A6" s="440"/>
      <c r="B6" s="440"/>
      <c r="C6" s="263" t="s">
        <v>2228</v>
      </c>
      <c r="D6" s="263" t="s">
        <v>678</v>
      </c>
      <c r="E6" s="440"/>
      <c r="F6" s="440"/>
      <c r="G6" s="440"/>
      <c r="H6" s="440"/>
      <c r="I6" s="263" t="s">
        <v>2228</v>
      </c>
      <c r="J6" s="263" t="s">
        <v>678</v>
      </c>
      <c r="K6" s="440"/>
      <c r="L6" s="440"/>
    </row>
    <row r="7" spans="1:12" ht="15.75" thickBot="1">
      <c r="A7" s="445" t="s">
        <v>2183</v>
      </c>
      <c r="B7" s="264" t="s">
        <v>1845</v>
      </c>
      <c r="C7" s="265"/>
      <c r="D7" s="265"/>
      <c r="E7" s="448" t="s">
        <v>2183</v>
      </c>
      <c r="F7" s="266" t="s">
        <v>1845</v>
      </c>
      <c r="G7" s="445" t="s">
        <v>2183</v>
      </c>
      <c r="H7" s="264" t="s">
        <v>1845</v>
      </c>
      <c r="I7" s="265"/>
      <c r="J7" s="265"/>
      <c r="K7" s="448" t="s">
        <v>2183</v>
      </c>
      <c r="L7" s="266" t="s">
        <v>1845</v>
      </c>
    </row>
    <row r="8" spans="1:12" ht="15.75" thickBot="1">
      <c r="A8" s="445"/>
      <c r="B8" s="264" t="s">
        <v>1847</v>
      </c>
      <c r="C8" s="265"/>
      <c r="D8" s="265"/>
      <c r="E8" s="448"/>
      <c r="F8" s="266" t="s">
        <v>1847</v>
      </c>
      <c r="G8" s="445"/>
      <c r="H8" s="264" t="s">
        <v>1847</v>
      </c>
      <c r="I8" s="265"/>
      <c r="J8" s="265"/>
      <c r="K8" s="448"/>
      <c r="L8" s="266" t="s">
        <v>1847</v>
      </c>
    </row>
    <row r="9" spans="1:12" ht="15.75" thickBot="1">
      <c r="A9" s="445"/>
      <c r="B9" s="264" t="s">
        <v>1848</v>
      </c>
      <c r="C9" s="265"/>
      <c r="D9" s="265"/>
      <c r="E9" s="448"/>
      <c r="F9" s="266" t="s">
        <v>1848</v>
      </c>
      <c r="G9" s="445"/>
      <c r="H9" s="264" t="s">
        <v>1848</v>
      </c>
      <c r="I9" s="265"/>
      <c r="J9" s="265"/>
      <c r="K9" s="448"/>
      <c r="L9" s="266" t="s">
        <v>1848</v>
      </c>
    </row>
    <row r="10" spans="1:12" ht="15.75" thickBot="1">
      <c r="A10" s="445"/>
      <c r="B10" s="264" t="s">
        <v>1849</v>
      </c>
      <c r="C10" s="265"/>
      <c r="D10" s="265"/>
      <c r="E10" s="448"/>
      <c r="F10" s="266" t="s">
        <v>1849</v>
      </c>
      <c r="G10" s="445"/>
      <c r="H10" s="264" t="s">
        <v>1849</v>
      </c>
      <c r="I10" s="265"/>
      <c r="J10" s="265"/>
      <c r="K10" s="448"/>
      <c r="L10" s="266" t="s">
        <v>1849</v>
      </c>
    </row>
    <row r="11" spans="1:12" ht="15.75" thickBot="1">
      <c r="A11" s="445"/>
      <c r="B11" s="264" t="s">
        <v>1850</v>
      </c>
      <c r="C11" s="265"/>
      <c r="D11" s="265"/>
      <c r="E11" s="448"/>
      <c r="F11" s="266" t="s">
        <v>1850</v>
      </c>
      <c r="G11" s="445"/>
      <c r="H11" s="264" t="s">
        <v>1850</v>
      </c>
      <c r="I11" s="265"/>
      <c r="J11" s="265"/>
      <c r="K11" s="448"/>
      <c r="L11" s="266" t="s">
        <v>1850</v>
      </c>
    </row>
    <row r="12" spans="1:12" ht="15.75" thickBot="1">
      <c r="A12" s="445"/>
      <c r="B12" s="264" t="s">
        <v>1851</v>
      </c>
      <c r="C12" s="265"/>
      <c r="D12" s="265"/>
      <c r="E12" s="448"/>
      <c r="F12" s="266" t="s">
        <v>1851</v>
      </c>
      <c r="G12" s="445"/>
      <c r="H12" s="264" t="s">
        <v>1851</v>
      </c>
      <c r="I12" s="265"/>
      <c r="J12" s="265"/>
      <c r="K12" s="448"/>
      <c r="L12" s="266" t="s">
        <v>1851</v>
      </c>
    </row>
    <row r="13" spans="1:12" ht="15.75" thickBot="1">
      <c r="A13" s="445"/>
      <c r="B13" s="264" t="s">
        <v>1852</v>
      </c>
      <c r="C13" s="265"/>
      <c r="D13" s="265"/>
      <c r="E13" s="448"/>
      <c r="F13" s="266" t="s">
        <v>1852</v>
      </c>
      <c r="G13" s="445"/>
      <c r="H13" s="264" t="s">
        <v>1852</v>
      </c>
      <c r="I13" s="265"/>
      <c r="J13" s="265"/>
      <c r="K13" s="448"/>
      <c r="L13" s="266" t="s">
        <v>1852</v>
      </c>
    </row>
    <row r="14" spans="1:12" ht="15.75" thickBot="1">
      <c r="A14" s="445"/>
      <c r="B14" s="264" t="s">
        <v>1853</v>
      </c>
      <c r="C14" s="265"/>
      <c r="D14" s="265"/>
      <c r="E14" s="448"/>
      <c r="F14" s="266" t="s">
        <v>1853</v>
      </c>
      <c r="G14" s="445"/>
      <c r="H14" s="264" t="s">
        <v>1853</v>
      </c>
      <c r="I14" s="265"/>
      <c r="J14" s="265"/>
      <c r="K14" s="448"/>
      <c r="L14" s="266" t="s">
        <v>1853</v>
      </c>
    </row>
    <row r="15" spans="1:12" ht="15.75" thickBot="1">
      <c r="A15" s="445"/>
      <c r="B15" s="264" t="s">
        <v>1854</v>
      </c>
      <c r="C15" s="265"/>
      <c r="D15" s="265"/>
      <c r="E15" s="448"/>
      <c r="F15" s="266" t="s">
        <v>1854</v>
      </c>
      <c r="G15" s="445"/>
      <c r="H15" s="264" t="s">
        <v>1854</v>
      </c>
      <c r="I15" s="265"/>
      <c r="J15" s="265"/>
      <c r="K15" s="448"/>
      <c r="L15" s="266" t="s">
        <v>1854</v>
      </c>
    </row>
    <row r="16" spans="1:12" ht="15.75" thickBot="1">
      <c r="A16" s="445"/>
      <c r="B16" s="264" t="s">
        <v>1855</v>
      </c>
      <c r="C16" s="265"/>
      <c r="D16" s="265"/>
      <c r="E16" s="448"/>
      <c r="F16" s="266" t="s">
        <v>1855</v>
      </c>
      <c r="G16" s="445"/>
      <c r="H16" s="264" t="s">
        <v>1855</v>
      </c>
      <c r="I16" s="265"/>
      <c r="J16" s="265"/>
      <c r="K16" s="448"/>
      <c r="L16" s="266" t="s">
        <v>1855</v>
      </c>
    </row>
    <row r="17" spans="1:12" ht="15.75" thickBot="1">
      <c r="A17" s="445"/>
      <c r="B17" s="264" t="s">
        <v>1856</v>
      </c>
      <c r="C17" s="265"/>
      <c r="D17" s="265"/>
      <c r="E17" s="448"/>
      <c r="F17" s="266" t="s">
        <v>1856</v>
      </c>
      <c r="G17" s="445"/>
      <c r="H17" s="264" t="s">
        <v>1856</v>
      </c>
      <c r="I17" s="265"/>
      <c r="J17" s="265"/>
      <c r="K17" s="448"/>
      <c r="L17" s="266" t="s">
        <v>1856</v>
      </c>
    </row>
    <row r="18" spans="1:12" ht="26.25" thickBot="1">
      <c r="A18" s="445"/>
      <c r="B18" s="264" t="s">
        <v>1857</v>
      </c>
      <c r="C18" s="265"/>
      <c r="D18" s="265"/>
      <c r="E18" s="448"/>
      <c r="F18" s="266" t="s">
        <v>1858</v>
      </c>
      <c r="G18" s="445"/>
      <c r="H18" s="264" t="s">
        <v>1857</v>
      </c>
      <c r="I18" s="265"/>
      <c r="J18" s="265"/>
      <c r="K18" s="448"/>
      <c r="L18" s="266" t="s">
        <v>1858</v>
      </c>
    </row>
    <row r="19" spans="1:12" ht="15.75" thickBot="1">
      <c r="A19" s="446"/>
      <c r="B19" s="264" t="s">
        <v>1859</v>
      </c>
      <c r="C19" s="265"/>
      <c r="D19" s="265"/>
      <c r="E19" s="449"/>
      <c r="F19" s="266" t="s">
        <v>1860</v>
      </c>
      <c r="G19" s="446"/>
      <c r="H19" s="264" t="s">
        <v>1859</v>
      </c>
      <c r="I19" s="265"/>
      <c r="J19" s="265"/>
      <c r="K19" s="449"/>
      <c r="L19" s="266" t="s">
        <v>1860</v>
      </c>
    </row>
    <row r="20" spans="1:12" ht="15.75" thickBot="1">
      <c r="A20" s="444" t="s">
        <v>2184</v>
      </c>
      <c r="B20" s="264" t="s">
        <v>1845</v>
      </c>
      <c r="C20" s="265"/>
      <c r="D20" s="265"/>
      <c r="E20" s="447" t="s">
        <v>2184</v>
      </c>
      <c r="F20" s="266" t="s">
        <v>1845</v>
      </c>
      <c r="G20" s="444" t="s">
        <v>2184</v>
      </c>
      <c r="H20" s="264" t="s">
        <v>1845</v>
      </c>
      <c r="I20" s="265"/>
      <c r="J20" s="265"/>
      <c r="K20" s="447" t="s">
        <v>2184</v>
      </c>
      <c r="L20" s="266" t="s">
        <v>1845</v>
      </c>
    </row>
    <row r="21" spans="1:12" ht="15.75" thickBot="1">
      <c r="A21" s="445"/>
      <c r="B21" s="264" t="s">
        <v>1847</v>
      </c>
      <c r="C21" s="265"/>
      <c r="D21" s="265"/>
      <c r="E21" s="448"/>
      <c r="F21" s="266" t="s">
        <v>1847</v>
      </c>
      <c r="G21" s="445"/>
      <c r="H21" s="264" t="s">
        <v>1847</v>
      </c>
      <c r="I21" s="265"/>
      <c r="J21" s="265"/>
      <c r="K21" s="448"/>
      <c r="L21" s="266" t="s">
        <v>1847</v>
      </c>
    </row>
    <row r="22" spans="1:12" ht="15.75" thickBot="1">
      <c r="A22" s="445"/>
      <c r="B22" s="264" t="s">
        <v>1848</v>
      </c>
      <c r="C22" s="265"/>
      <c r="D22" s="265"/>
      <c r="E22" s="448"/>
      <c r="F22" s="266" t="s">
        <v>1848</v>
      </c>
      <c r="G22" s="445"/>
      <c r="H22" s="264" t="s">
        <v>1848</v>
      </c>
      <c r="I22" s="265"/>
      <c r="J22" s="265"/>
      <c r="K22" s="448"/>
      <c r="L22" s="266" t="s">
        <v>1848</v>
      </c>
    </row>
    <row r="23" spans="1:12" ht="15.75" thickBot="1">
      <c r="A23" s="445"/>
      <c r="B23" s="264" t="s">
        <v>1849</v>
      </c>
      <c r="C23" s="265"/>
      <c r="D23" s="265"/>
      <c r="E23" s="448"/>
      <c r="F23" s="266" t="s">
        <v>1849</v>
      </c>
      <c r="G23" s="445"/>
      <c r="H23" s="264" t="s">
        <v>1849</v>
      </c>
      <c r="I23" s="265"/>
      <c r="J23" s="265"/>
      <c r="K23" s="448"/>
      <c r="L23" s="266" t="s">
        <v>1849</v>
      </c>
    </row>
    <row r="24" spans="1:12" ht="15.75" thickBot="1">
      <c r="A24" s="445"/>
      <c r="B24" s="264" t="s">
        <v>1850</v>
      </c>
      <c r="C24" s="265"/>
      <c r="D24" s="265"/>
      <c r="E24" s="448"/>
      <c r="F24" s="266" t="s">
        <v>1850</v>
      </c>
      <c r="G24" s="445"/>
      <c r="H24" s="264" t="s">
        <v>1850</v>
      </c>
      <c r="I24" s="265"/>
      <c r="J24" s="265"/>
      <c r="K24" s="448"/>
      <c r="L24" s="266" t="s">
        <v>1850</v>
      </c>
    </row>
    <row r="25" spans="1:12" ht="15.75" thickBot="1">
      <c r="A25" s="445"/>
      <c r="B25" s="264" t="s">
        <v>1851</v>
      </c>
      <c r="C25" s="265"/>
      <c r="D25" s="265"/>
      <c r="E25" s="448"/>
      <c r="F25" s="266" t="s">
        <v>1851</v>
      </c>
      <c r="G25" s="445"/>
      <c r="H25" s="264" t="s">
        <v>1851</v>
      </c>
      <c r="I25" s="265"/>
      <c r="J25" s="265"/>
      <c r="K25" s="448"/>
      <c r="L25" s="266" t="s">
        <v>1851</v>
      </c>
    </row>
    <row r="26" spans="1:12" ht="15.75" thickBot="1">
      <c r="A26" s="445"/>
      <c r="B26" s="264" t="s">
        <v>1852</v>
      </c>
      <c r="C26" s="265"/>
      <c r="D26" s="265"/>
      <c r="E26" s="448"/>
      <c r="F26" s="266" t="s">
        <v>1852</v>
      </c>
      <c r="G26" s="445"/>
      <c r="H26" s="264" t="s">
        <v>1852</v>
      </c>
      <c r="I26" s="265"/>
      <c r="J26" s="265"/>
      <c r="K26" s="448"/>
      <c r="L26" s="266" t="s">
        <v>1852</v>
      </c>
    </row>
    <row r="27" spans="1:12" ht="15.75" thickBot="1">
      <c r="A27" s="445"/>
      <c r="B27" s="264" t="s">
        <v>1853</v>
      </c>
      <c r="C27" s="265"/>
      <c r="D27" s="265"/>
      <c r="E27" s="448"/>
      <c r="F27" s="266" t="s">
        <v>1853</v>
      </c>
      <c r="G27" s="445"/>
      <c r="H27" s="264" t="s">
        <v>1853</v>
      </c>
      <c r="I27" s="265"/>
      <c r="J27" s="265"/>
      <c r="K27" s="448"/>
      <c r="L27" s="266" t="s">
        <v>1853</v>
      </c>
    </row>
    <row r="28" spans="1:12" ht="15.75" thickBot="1">
      <c r="A28" s="445"/>
      <c r="B28" s="264" t="s">
        <v>1854</v>
      </c>
      <c r="C28" s="265"/>
      <c r="D28" s="265"/>
      <c r="E28" s="448"/>
      <c r="F28" s="266" t="s">
        <v>1854</v>
      </c>
      <c r="G28" s="445"/>
      <c r="H28" s="264" t="s">
        <v>1854</v>
      </c>
      <c r="I28" s="265"/>
      <c r="J28" s="265"/>
      <c r="K28" s="448"/>
      <c r="L28" s="266" t="s">
        <v>1854</v>
      </c>
    </row>
    <row r="29" spans="1:12" ht="15.75" thickBot="1">
      <c r="A29" s="445"/>
      <c r="B29" s="264" t="s">
        <v>1855</v>
      </c>
      <c r="C29" s="265"/>
      <c r="D29" s="265"/>
      <c r="E29" s="448"/>
      <c r="F29" s="266" t="s">
        <v>1855</v>
      </c>
      <c r="G29" s="445"/>
      <c r="H29" s="264" t="s">
        <v>1855</v>
      </c>
      <c r="I29" s="265"/>
      <c r="J29" s="265"/>
      <c r="K29" s="448"/>
      <c r="L29" s="266" t="s">
        <v>1855</v>
      </c>
    </row>
    <row r="30" spans="1:12" ht="15.75" thickBot="1">
      <c r="A30" s="445"/>
      <c r="B30" s="264" t="s">
        <v>1856</v>
      </c>
      <c r="C30" s="265"/>
      <c r="D30" s="265"/>
      <c r="E30" s="448"/>
      <c r="F30" s="266" t="s">
        <v>1856</v>
      </c>
      <c r="G30" s="445"/>
      <c r="H30" s="264" t="s">
        <v>1856</v>
      </c>
      <c r="I30" s="265"/>
      <c r="J30" s="265"/>
      <c r="K30" s="448"/>
      <c r="L30" s="266" t="s">
        <v>1856</v>
      </c>
    </row>
    <row r="31" spans="1:12" ht="26.25" thickBot="1">
      <c r="A31" s="445"/>
      <c r="B31" s="264" t="s">
        <v>1857</v>
      </c>
      <c r="C31" s="265"/>
      <c r="D31" s="265"/>
      <c r="E31" s="448"/>
      <c r="F31" s="266" t="s">
        <v>1858</v>
      </c>
      <c r="G31" s="445"/>
      <c r="H31" s="264" t="s">
        <v>1857</v>
      </c>
      <c r="I31" s="265"/>
      <c r="J31" s="265"/>
      <c r="K31" s="448"/>
      <c r="L31" s="266" t="s">
        <v>1858</v>
      </c>
    </row>
    <row r="32" spans="1:12" ht="15.75" thickBot="1">
      <c r="A32" s="446"/>
      <c r="B32" s="264" t="s">
        <v>1859</v>
      </c>
      <c r="C32" s="265"/>
      <c r="D32" s="265"/>
      <c r="E32" s="449"/>
      <c r="F32" s="266" t="s">
        <v>1860</v>
      </c>
      <c r="G32" s="446"/>
      <c r="H32" s="264" t="s">
        <v>1859</v>
      </c>
      <c r="I32" s="265"/>
      <c r="J32" s="265"/>
      <c r="K32" s="449"/>
      <c r="L32" s="266" t="s">
        <v>1860</v>
      </c>
    </row>
    <row r="33" spans="1:12" ht="15.75" thickBot="1">
      <c r="A33" s="444" t="s">
        <v>2185</v>
      </c>
      <c r="B33" s="264" t="s">
        <v>1845</v>
      </c>
      <c r="C33" s="265"/>
      <c r="D33" s="265"/>
      <c r="E33" s="447" t="s">
        <v>2185</v>
      </c>
      <c r="F33" s="266" t="s">
        <v>1845</v>
      </c>
      <c r="G33" s="444" t="s">
        <v>2185</v>
      </c>
      <c r="H33" s="264" t="s">
        <v>1845</v>
      </c>
      <c r="I33" s="265"/>
      <c r="J33" s="265"/>
      <c r="K33" s="447" t="s">
        <v>2185</v>
      </c>
      <c r="L33" s="266" t="s">
        <v>1845</v>
      </c>
    </row>
    <row r="34" spans="1:12" ht="15.75" thickBot="1">
      <c r="A34" s="445"/>
      <c r="B34" s="264" t="s">
        <v>1847</v>
      </c>
      <c r="C34" s="265"/>
      <c r="D34" s="265"/>
      <c r="E34" s="448"/>
      <c r="F34" s="266" t="s">
        <v>1847</v>
      </c>
      <c r="G34" s="445"/>
      <c r="H34" s="264" t="s">
        <v>1847</v>
      </c>
      <c r="I34" s="265"/>
      <c r="J34" s="265"/>
      <c r="K34" s="448"/>
      <c r="L34" s="266" t="s">
        <v>1847</v>
      </c>
    </row>
    <row r="35" spans="1:12" ht="15.75" thickBot="1">
      <c r="A35" s="445"/>
      <c r="B35" s="264" t="s">
        <v>1848</v>
      </c>
      <c r="C35" s="265"/>
      <c r="D35" s="265"/>
      <c r="E35" s="448"/>
      <c r="F35" s="266" t="s">
        <v>1848</v>
      </c>
      <c r="G35" s="445"/>
      <c r="H35" s="264" t="s">
        <v>1848</v>
      </c>
      <c r="I35" s="265"/>
      <c r="J35" s="265"/>
      <c r="K35" s="448"/>
      <c r="L35" s="266" t="s">
        <v>1848</v>
      </c>
    </row>
    <row r="36" spans="1:12" ht="15.75" thickBot="1">
      <c r="A36" s="445"/>
      <c r="B36" s="264" t="s">
        <v>1849</v>
      </c>
      <c r="C36" s="265"/>
      <c r="D36" s="265"/>
      <c r="E36" s="448"/>
      <c r="F36" s="266" t="s">
        <v>1849</v>
      </c>
      <c r="G36" s="445"/>
      <c r="H36" s="264" t="s">
        <v>1849</v>
      </c>
      <c r="I36" s="265"/>
      <c r="J36" s="265"/>
      <c r="K36" s="448"/>
      <c r="L36" s="266" t="s">
        <v>1849</v>
      </c>
    </row>
    <row r="37" spans="1:12" ht="15.75" thickBot="1">
      <c r="A37" s="445"/>
      <c r="B37" s="264" t="s">
        <v>1850</v>
      </c>
      <c r="C37" s="265"/>
      <c r="D37" s="265"/>
      <c r="E37" s="448"/>
      <c r="F37" s="266" t="s">
        <v>1850</v>
      </c>
      <c r="G37" s="445"/>
      <c r="H37" s="264" t="s">
        <v>1850</v>
      </c>
      <c r="I37" s="265"/>
      <c r="J37" s="265"/>
      <c r="K37" s="448"/>
      <c r="L37" s="266" t="s">
        <v>1850</v>
      </c>
    </row>
    <row r="38" spans="1:12" ht="15.75" thickBot="1">
      <c r="A38" s="445"/>
      <c r="B38" s="264" t="s">
        <v>1851</v>
      </c>
      <c r="C38" s="265"/>
      <c r="D38" s="265"/>
      <c r="E38" s="448"/>
      <c r="F38" s="266" t="s">
        <v>1851</v>
      </c>
      <c r="G38" s="445"/>
      <c r="H38" s="264" t="s">
        <v>1851</v>
      </c>
      <c r="I38" s="265"/>
      <c r="J38" s="265"/>
      <c r="K38" s="448"/>
      <c r="L38" s="266" t="s">
        <v>1851</v>
      </c>
    </row>
    <row r="39" spans="1:12" ht="15.75" thickBot="1">
      <c r="A39" s="445"/>
      <c r="B39" s="264" t="s">
        <v>1852</v>
      </c>
      <c r="C39" s="265"/>
      <c r="D39" s="265"/>
      <c r="E39" s="448"/>
      <c r="F39" s="266" t="s">
        <v>1852</v>
      </c>
      <c r="G39" s="445"/>
      <c r="H39" s="264" t="s">
        <v>1852</v>
      </c>
      <c r="I39" s="265"/>
      <c r="J39" s="265"/>
      <c r="K39" s="448"/>
      <c r="L39" s="266" t="s">
        <v>1852</v>
      </c>
    </row>
    <row r="40" spans="1:12" ht="15.75" thickBot="1">
      <c r="A40" s="445"/>
      <c r="B40" s="264" t="s">
        <v>1853</v>
      </c>
      <c r="C40" s="265"/>
      <c r="D40" s="265"/>
      <c r="E40" s="448"/>
      <c r="F40" s="266" t="s">
        <v>1853</v>
      </c>
      <c r="G40" s="445"/>
      <c r="H40" s="264" t="s">
        <v>1853</v>
      </c>
      <c r="I40" s="265"/>
      <c r="J40" s="265"/>
      <c r="K40" s="448"/>
      <c r="L40" s="266" t="s">
        <v>1853</v>
      </c>
    </row>
    <row r="41" spans="1:12" ht="15.75" thickBot="1">
      <c r="A41" s="445"/>
      <c r="B41" s="264" t="s">
        <v>1854</v>
      </c>
      <c r="C41" s="265"/>
      <c r="D41" s="265"/>
      <c r="E41" s="448"/>
      <c r="F41" s="266" t="s">
        <v>1854</v>
      </c>
      <c r="G41" s="445"/>
      <c r="H41" s="264" t="s">
        <v>1854</v>
      </c>
      <c r="I41" s="265"/>
      <c r="J41" s="265"/>
      <c r="K41" s="448"/>
      <c r="L41" s="266" t="s">
        <v>1854</v>
      </c>
    </row>
    <row r="42" spans="1:12" ht="15.75" thickBot="1">
      <c r="A42" s="445"/>
      <c r="B42" s="264" t="s">
        <v>1855</v>
      </c>
      <c r="C42" s="265"/>
      <c r="D42" s="265"/>
      <c r="E42" s="448"/>
      <c r="F42" s="266" t="s">
        <v>1855</v>
      </c>
      <c r="G42" s="445"/>
      <c r="H42" s="264" t="s">
        <v>1855</v>
      </c>
      <c r="I42" s="265"/>
      <c r="J42" s="265"/>
      <c r="K42" s="448"/>
      <c r="L42" s="266" t="s">
        <v>1855</v>
      </c>
    </row>
    <row r="43" spans="1:12" ht="15.75" thickBot="1">
      <c r="A43" s="445"/>
      <c r="B43" s="264" t="s">
        <v>1856</v>
      </c>
      <c r="C43" s="265"/>
      <c r="D43" s="265"/>
      <c r="E43" s="448"/>
      <c r="F43" s="266" t="s">
        <v>1856</v>
      </c>
      <c r="G43" s="445"/>
      <c r="H43" s="264" t="s">
        <v>1856</v>
      </c>
      <c r="I43" s="265"/>
      <c r="J43" s="265"/>
      <c r="K43" s="448"/>
      <c r="L43" s="266" t="s">
        <v>1856</v>
      </c>
    </row>
    <row r="44" spans="1:12" ht="26.25" thickBot="1">
      <c r="A44" s="445"/>
      <c r="B44" s="264" t="s">
        <v>1857</v>
      </c>
      <c r="C44" s="265"/>
      <c r="D44" s="265"/>
      <c r="E44" s="448"/>
      <c r="F44" s="266" t="s">
        <v>1858</v>
      </c>
      <c r="G44" s="445"/>
      <c r="H44" s="264" t="s">
        <v>1857</v>
      </c>
      <c r="I44" s="265"/>
      <c r="J44" s="265"/>
      <c r="K44" s="448"/>
      <c r="L44" s="266" t="s">
        <v>1858</v>
      </c>
    </row>
    <row r="45" spans="1:12" ht="15.75" thickBot="1">
      <c r="A45" s="446"/>
      <c r="B45" s="264" t="s">
        <v>1859</v>
      </c>
      <c r="C45" s="265"/>
      <c r="D45" s="265"/>
      <c r="E45" s="449"/>
      <c r="F45" s="266" t="s">
        <v>1860</v>
      </c>
      <c r="G45" s="446"/>
      <c r="H45" s="264" t="s">
        <v>1859</v>
      </c>
      <c r="I45" s="265"/>
      <c r="J45" s="265"/>
      <c r="K45" s="449"/>
      <c r="L45" s="266" t="s">
        <v>1860</v>
      </c>
    </row>
    <row r="46" spans="1:12" ht="15.75" thickBot="1">
      <c r="A46" s="444" t="s">
        <v>2186</v>
      </c>
      <c r="B46" s="264" t="s">
        <v>1845</v>
      </c>
      <c r="C46" s="265"/>
      <c r="D46" s="265"/>
      <c r="E46" s="447" t="s">
        <v>2186</v>
      </c>
      <c r="F46" s="266" t="s">
        <v>1845</v>
      </c>
      <c r="G46" s="444" t="s">
        <v>2186</v>
      </c>
      <c r="H46" s="264" t="s">
        <v>1845</v>
      </c>
      <c r="I46" s="265"/>
      <c r="J46" s="265"/>
      <c r="K46" s="447" t="s">
        <v>2186</v>
      </c>
      <c r="L46" s="266" t="s">
        <v>1845</v>
      </c>
    </row>
    <row r="47" spans="1:12" ht="15.75" thickBot="1">
      <c r="A47" s="445"/>
      <c r="B47" s="264" t="s">
        <v>1847</v>
      </c>
      <c r="C47" s="265"/>
      <c r="D47" s="265"/>
      <c r="E47" s="448"/>
      <c r="F47" s="266" t="s">
        <v>1847</v>
      </c>
      <c r="G47" s="445"/>
      <c r="H47" s="264" t="s">
        <v>1847</v>
      </c>
      <c r="I47" s="265"/>
      <c r="J47" s="265"/>
      <c r="K47" s="448"/>
      <c r="L47" s="266" t="s">
        <v>1847</v>
      </c>
    </row>
    <row r="48" spans="1:12" ht="15.75" thickBot="1">
      <c r="A48" s="445"/>
      <c r="B48" s="264" t="s">
        <v>1848</v>
      </c>
      <c r="C48" s="265"/>
      <c r="D48" s="265"/>
      <c r="E48" s="448"/>
      <c r="F48" s="266" t="s">
        <v>1848</v>
      </c>
      <c r="G48" s="445"/>
      <c r="H48" s="264" t="s">
        <v>1848</v>
      </c>
      <c r="I48" s="265"/>
      <c r="J48" s="265"/>
      <c r="K48" s="448"/>
      <c r="L48" s="266" t="s">
        <v>1848</v>
      </c>
    </row>
    <row r="49" spans="1:12" ht="15.75" thickBot="1">
      <c r="A49" s="445"/>
      <c r="B49" s="264" t="s">
        <v>1849</v>
      </c>
      <c r="C49" s="265"/>
      <c r="D49" s="265"/>
      <c r="E49" s="448"/>
      <c r="F49" s="266" t="s">
        <v>1849</v>
      </c>
      <c r="G49" s="445"/>
      <c r="H49" s="264" t="s">
        <v>1849</v>
      </c>
      <c r="I49" s="265"/>
      <c r="J49" s="265"/>
      <c r="K49" s="448"/>
      <c r="L49" s="266" t="s">
        <v>1849</v>
      </c>
    </row>
    <row r="50" spans="1:12" ht="15.75" thickBot="1">
      <c r="A50" s="445"/>
      <c r="B50" s="264" t="s">
        <v>1850</v>
      </c>
      <c r="C50" s="265"/>
      <c r="D50" s="265"/>
      <c r="E50" s="448"/>
      <c r="F50" s="266" t="s">
        <v>1850</v>
      </c>
      <c r="G50" s="445"/>
      <c r="H50" s="264" t="s">
        <v>1850</v>
      </c>
      <c r="I50" s="265"/>
      <c r="J50" s="265"/>
      <c r="K50" s="448"/>
      <c r="L50" s="266" t="s">
        <v>1850</v>
      </c>
    </row>
    <row r="51" spans="1:12" ht="15.75" thickBot="1">
      <c r="A51" s="445"/>
      <c r="B51" s="264" t="s">
        <v>1851</v>
      </c>
      <c r="C51" s="265"/>
      <c r="D51" s="265"/>
      <c r="E51" s="448"/>
      <c r="F51" s="266" t="s">
        <v>1851</v>
      </c>
      <c r="G51" s="445"/>
      <c r="H51" s="264" t="s">
        <v>1851</v>
      </c>
      <c r="I51" s="265"/>
      <c r="J51" s="265"/>
      <c r="K51" s="448"/>
      <c r="L51" s="266" t="s">
        <v>1851</v>
      </c>
    </row>
    <row r="52" spans="1:12" ht="15.75" thickBot="1">
      <c r="A52" s="445"/>
      <c r="B52" s="264" t="s">
        <v>1852</v>
      </c>
      <c r="C52" s="265"/>
      <c r="D52" s="265"/>
      <c r="E52" s="448"/>
      <c r="F52" s="266" t="s">
        <v>1852</v>
      </c>
      <c r="G52" s="445"/>
      <c r="H52" s="264" t="s">
        <v>1852</v>
      </c>
      <c r="I52" s="265"/>
      <c r="J52" s="265"/>
      <c r="K52" s="448"/>
      <c r="L52" s="266" t="s">
        <v>1852</v>
      </c>
    </row>
    <row r="53" spans="1:12" ht="15.75" thickBot="1">
      <c r="A53" s="445"/>
      <c r="B53" s="264" t="s">
        <v>1853</v>
      </c>
      <c r="C53" s="265"/>
      <c r="D53" s="265"/>
      <c r="E53" s="448"/>
      <c r="F53" s="266" t="s">
        <v>1853</v>
      </c>
      <c r="G53" s="445"/>
      <c r="H53" s="264" t="s">
        <v>1853</v>
      </c>
      <c r="I53" s="265"/>
      <c r="J53" s="265"/>
      <c r="K53" s="448"/>
      <c r="L53" s="266" t="s">
        <v>1853</v>
      </c>
    </row>
    <row r="54" spans="1:12" ht="15.75" thickBot="1">
      <c r="A54" s="445"/>
      <c r="B54" s="264" t="s">
        <v>1854</v>
      </c>
      <c r="C54" s="265"/>
      <c r="D54" s="265"/>
      <c r="E54" s="448"/>
      <c r="F54" s="266" t="s">
        <v>1854</v>
      </c>
      <c r="G54" s="445"/>
      <c r="H54" s="264" t="s">
        <v>1854</v>
      </c>
      <c r="I54" s="265"/>
      <c r="J54" s="265"/>
      <c r="K54" s="448"/>
      <c r="L54" s="266" t="s">
        <v>1854</v>
      </c>
    </row>
    <row r="55" spans="1:12" ht="15.75" thickBot="1">
      <c r="A55" s="445"/>
      <c r="B55" s="264" t="s">
        <v>1855</v>
      </c>
      <c r="C55" s="265"/>
      <c r="D55" s="265"/>
      <c r="E55" s="448"/>
      <c r="F55" s="266" t="s">
        <v>1855</v>
      </c>
      <c r="G55" s="445"/>
      <c r="H55" s="264" t="s">
        <v>1855</v>
      </c>
      <c r="I55" s="265"/>
      <c r="J55" s="265"/>
      <c r="K55" s="448"/>
      <c r="L55" s="266" t="s">
        <v>1855</v>
      </c>
    </row>
    <row r="56" spans="1:12" ht="15.75" thickBot="1">
      <c r="A56" s="445"/>
      <c r="B56" s="264" t="s">
        <v>1856</v>
      </c>
      <c r="C56" s="265"/>
      <c r="D56" s="265"/>
      <c r="E56" s="448"/>
      <c r="F56" s="266" t="s">
        <v>1856</v>
      </c>
      <c r="G56" s="445"/>
      <c r="H56" s="264" t="s">
        <v>1856</v>
      </c>
      <c r="I56" s="265"/>
      <c r="J56" s="265"/>
      <c r="K56" s="448"/>
      <c r="L56" s="266" t="s">
        <v>1856</v>
      </c>
    </row>
    <row r="57" spans="1:12" ht="26.25" thickBot="1">
      <c r="A57" s="445"/>
      <c r="B57" s="264" t="s">
        <v>1857</v>
      </c>
      <c r="C57" s="265"/>
      <c r="D57" s="265"/>
      <c r="E57" s="448"/>
      <c r="F57" s="266" t="s">
        <v>1858</v>
      </c>
      <c r="G57" s="445"/>
      <c r="H57" s="264" t="s">
        <v>1857</v>
      </c>
      <c r="I57" s="265"/>
      <c r="J57" s="265"/>
      <c r="K57" s="448"/>
      <c r="L57" s="266" t="s">
        <v>1858</v>
      </c>
    </row>
    <row r="58" spans="1:12" ht="15.75" thickBot="1">
      <c r="A58" s="446"/>
      <c r="B58" s="264" t="s">
        <v>1859</v>
      </c>
      <c r="C58" s="265"/>
      <c r="D58" s="265"/>
      <c r="E58" s="449"/>
      <c r="F58" s="266" t="s">
        <v>1860</v>
      </c>
      <c r="G58" s="446"/>
      <c r="H58" s="264" t="s">
        <v>1859</v>
      </c>
      <c r="I58" s="265"/>
      <c r="J58" s="265"/>
      <c r="K58" s="449"/>
      <c r="L58" s="266" t="s">
        <v>1860</v>
      </c>
    </row>
    <row r="59" spans="1:12" ht="15.75" thickBot="1">
      <c r="A59" s="444" t="s">
        <v>2187</v>
      </c>
      <c r="B59" s="264" t="s">
        <v>1845</v>
      </c>
      <c r="C59" s="265"/>
      <c r="D59" s="265"/>
      <c r="E59" s="447" t="s">
        <v>2187</v>
      </c>
      <c r="F59" s="266" t="s">
        <v>1845</v>
      </c>
      <c r="G59" s="444" t="s">
        <v>2187</v>
      </c>
      <c r="H59" s="264" t="s">
        <v>1845</v>
      </c>
      <c r="I59" s="265"/>
      <c r="J59" s="265"/>
      <c r="K59" s="447" t="s">
        <v>2187</v>
      </c>
      <c r="L59" s="266" t="s">
        <v>1845</v>
      </c>
    </row>
    <row r="60" spans="1:12" ht="15.75" thickBot="1">
      <c r="A60" s="445"/>
      <c r="B60" s="264" t="s">
        <v>1847</v>
      </c>
      <c r="C60" s="265"/>
      <c r="D60" s="265"/>
      <c r="E60" s="448"/>
      <c r="F60" s="266" t="s">
        <v>1847</v>
      </c>
      <c r="G60" s="445"/>
      <c r="H60" s="264" t="s">
        <v>1847</v>
      </c>
      <c r="I60" s="265"/>
      <c r="J60" s="265"/>
      <c r="K60" s="448"/>
      <c r="L60" s="266" t="s">
        <v>1847</v>
      </c>
    </row>
    <row r="61" spans="1:12" ht="15.75" thickBot="1">
      <c r="A61" s="445"/>
      <c r="B61" s="264" t="s">
        <v>1848</v>
      </c>
      <c r="C61" s="265"/>
      <c r="D61" s="265"/>
      <c r="E61" s="448"/>
      <c r="F61" s="266" t="s">
        <v>1848</v>
      </c>
      <c r="G61" s="445"/>
      <c r="H61" s="264" t="s">
        <v>1848</v>
      </c>
      <c r="I61" s="265"/>
      <c r="J61" s="265"/>
      <c r="K61" s="448"/>
      <c r="L61" s="266" t="s">
        <v>1848</v>
      </c>
    </row>
    <row r="62" spans="1:12" ht="15.75" thickBot="1">
      <c r="A62" s="445"/>
      <c r="B62" s="264" t="s">
        <v>1849</v>
      </c>
      <c r="C62" s="265"/>
      <c r="D62" s="265"/>
      <c r="E62" s="448"/>
      <c r="F62" s="266" t="s">
        <v>1849</v>
      </c>
      <c r="G62" s="445"/>
      <c r="H62" s="264" t="s">
        <v>1849</v>
      </c>
      <c r="I62" s="265"/>
      <c r="J62" s="265"/>
      <c r="K62" s="448"/>
      <c r="L62" s="266" t="s">
        <v>1849</v>
      </c>
    </row>
    <row r="63" spans="1:12" ht="15.75" thickBot="1">
      <c r="A63" s="445"/>
      <c r="B63" s="264" t="s">
        <v>1850</v>
      </c>
      <c r="C63" s="265"/>
      <c r="D63" s="265"/>
      <c r="E63" s="448"/>
      <c r="F63" s="266" t="s">
        <v>1850</v>
      </c>
      <c r="G63" s="445"/>
      <c r="H63" s="264" t="s">
        <v>1850</v>
      </c>
      <c r="I63" s="265"/>
      <c r="J63" s="265"/>
      <c r="K63" s="448"/>
      <c r="L63" s="266" t="s">
        <v>1850</v>
      </c>
    </row>
    <row r="64" spans="1:12" ht="15.75" thickBot="1">
      <c r="A64" s="445"/>
      <c r="B64" s="264" t="s">
        <v>1851</v>
      </c>
      <c r="C64" s="265"/>
      <c r="D64" s="265"/>
      <c r="E64" s="448"/>
      <c r="F64" s="266" t="s">
        <v>1851</v>
      </c>
      <c r="G64" s="445"/>
      <c r="H64" s="264" t="s">
        <v>1851</v>
      </c>
      <c r="I64" s="265"/>
      <c r="J64" s="265"/>
      <c r="K64" s="448"/>
      <c r="L64" s="266" t="s">
        <v>1851</v>
      </c>
    </row>
    <row r="65" spans="1:12" ht="15.75" thickBot="1">
      <c r="A65" s="445"/>
      <c r="B65" s="264" t="s">
        <v>1852</v>
      </c>
      <c r="C65" s="265"/>
      <c r="D65" s="265"/>
      <c r="E65" s="448"/>
      <c r="F65" s="266" t="s">
        <v>1852</v>
      </c>
      <c r="G65" s="445"/>
      <c r="H65" s="264" t="s">
        <v>1852</v>
      </c>
      <c r="I65" s="265"/>
      <c r="J65" s="265"/>
      <c r="K65" s="448"/>
      <c r="L65" s="266" t="s">
        <v>1852</v>
      </c>
    </row>
    <row r="66" spans="1:12" ht="15.75" thickBot="1">
      <c r="A66" s="445"/>
      <c r="B66" s="264" t="s">
        <v>1853</v>
      </c>
      <c r="C66" s="265"/>
      <c r="D66" s="265"/>
      <c r="E66" s="448"/>
      <c r="F66" s="266" t="s">
        <v>1853</v>
      </c>
      <c r="G66" s="445"/>
      <c r="H66" s="264" t="s">
        <v>1853</v>
      </c>
      <c r="I66" s="265"/>
      <c r="J66" s="265"/>
      <c r="K66" s="448"/>
      <c r="L66" s="266" t="s">
        <v>1853</v>
      </c>
    </row>
    <row r="67" spans="1:12" ht="15.75" thickBot="1">
      <c r="A67" s="445"/>
      <c r="B67" s="264" t="s">
        <v>1854</v>
      </c>
      <c r="C67" s="265"/>
      <c r="D67" s="265"/>
      <c r="E67" s="448"/>
      <c r="F67" s="266" t="s">
        <v>1854</v>
      </c>
      <c r="G67" s="445"/>
      <c r="H67" s="264" t="s">
        <v>1854</v>
      </c>
      <c r="I67" s="265"/>
      <c r="J67" s="265"/>
      <c r="K67" s="448"/>
      <c r="L67" s="266" t="s">
        <v>1854</v>
      </c>
    </row>
    <row r="68" spans="1:12" ht="15.75" thickBot="1">
      <c r="A68" s="445"/>
      <c r="B68" s="264" t="s">
        <v>1855</v>
      </c>
      <c r="C68" s="265"/>
      <c r="D68" s="265"/>
      <c r="E68" s="448"/>
      <c r="F68" s="266" t="s">
        <v>1855</v>
      </c>
      <c r="G68" s="445"/>
      <c r="H68" s="264" t="s">
        <v>1855</v>
      </c>
      <c r="I68" s="265"/>
      <c r="J68" s="265"/>
      <c r="K68" s="448"/>
      <c r="L68" s="266" t="s">
        <v>1855</v>
      </c>
    </row>
    <row r="69" spans="1:12" ht="15.75" thickBot="1">
      <c r="A69" s="445"/>
      <c r="B69" s="264" t="s">
        <v>1856</v>
      </c>
      <c r="C69" s="265"/>
      <c r="D69" s="265"/>
      <c r="E69" s="448"/>
      <c r="F69" s="266" t="s">
        <v>1856</v>
      </c>
      <c r="G69" s="445"/>
      <c r="H69" s="264" t="s">
        <v>1856</v>
      </c>
      <c r="I69" s="265"/>
      <c r="J69" s="265"/>
      <c r="K69" s="448"/>
      <c r="L69" s="266" t="s">
        <v>1856</v>
      </c>
    </row>
    <row r="70" spans="1:12" ht="26.25" thickBot="1">
      <c r="A70" s="445"/>
      <c r="B70" s="264" t="s">
        <v>1857</v>
      </c>
      <c r="C70" s="265"/>
      <c r="D70" s="265"/>
      <c r="E70" s="448"/>
      <c r="F70" s="266" t="s">
        <v>1858</v>
      </c>
      <c r="G70" s="445"/>
      <c r="H70" s="264" t="s">
        <v>1857</v>
      </c>
      <c r="I70" s="265"/>
      <c r="J70" s="265"/>
      <c r="K70" s="448"/>
      <c r="L70" s="266" t="s">
        <v>1858</v>
      </c>
    </row>
    <row r="71" spans="1:12" ht="15.75" thickBot="1">
      <c r="A71" s="446"/>
      <c r="B71" s="264" t="s">
        <v>1859</v>
      </c>
      <c r="C71" s="265"/>
      <c r="D71" s="265"/>
      <c r="E71" s="449"/>
      <c r="F71" s="266" t="s">
        <v>1860</v>
      </c>
      <c r="G71" s="446"/>
      <c r="H71" s="264" t="s">
        <v>1859</v>
      </c>
      <c r="I71" s="265"/>
      <c r="J71" s="265"/>
      <c r="K71" s="449"/>
      <c r="L71" s="266" t="s">
        <v>1860</v>
      </c>
    </row>
    <row r="72" spans="1:12" ht="15.75" thickBot="1">
      <c r="A72" s="444" t="s">
        <v>2188</v>
      </c>
      <c r="B72" s="264" t="s">
        <v>1845</v>
      </c>
      <c r="C72" s="265"/>
      <c r="D72" s="265"/>
      <c r="E72" s="447" t="s">
        <v>2188</v>
      </c>
      <c r="F72" s="266" t="s">
        <v>1845</v>
      </c>
      <c r="G72" s="444" t="s">
        <v>2188</v>
      </c>
      <c r="H72" s="264" t="s">
        <v>1845</v>
      </c>
      <c r="I72" s="265"/>
      <c r="J72" s="265"/>
      <c r="K72" s="447" t="s">
        <v>2188</v>
      </c>
      <c r="L72" s="266" t="s">
        <v>1845</v>
      </c>
    </row>
    <row r="73" spans="1:12" ht="15.75" thickBot="1">
      <c r="A73" s="445"/>
      <c r="B73" s="264" t="s">
        <v>1847</v>
      </c>
      <c r="C73" s="265"/>
      <c r="D73" s="265"/>
      <c r="E73" s="448"/>
      <c r="F73" s="266" t="s">
        <v>1847</v>
      </c>
      <c r="G73" s="445"/>
      <c r="H73" s="264" t="s">
        <v>1847</v>
      </c>
      <c r="I73" s="265"/>
      <c r="J73" s="265"/>
      <c r="K73" s="448"/>
      <c r="L73" s="266" t="s">
        <v>1847</v>
      </c>
    </row>
    <row r="74" spans="1:12" ht="15.75" thickBot="1">
      <c r="A74" s="445"/>
      <c r="B74" s="264" t="s">
        <v>1848</v>
      </c>
      <c r="C74" s="265"/>
      <c r="D74" s="265"/>
      <c r="E74" s="448"/>
      <c r="F74" s="266" t="s">
        <v>1848</v>
      </c>
      <c r="G74" s="445"/>
      <c r="H74" s="264" t="s">
        <v>1848</v>
      </c>
      <c r="I74" s="265"/>
      <c r="J74" s="265"/>
      <c r="K74" s="448"/>
      <c r="L74" s="266" t="s">
        <v>1848</v>
      </c>
    </row>
    <row r="75" spans="1:12" ht="15.75" thickBot="1">
      <c r="A75" s="445"/>
      <c r="B75" s="264" t="s">
        <v>1849</v>
      </c>
      <c r="C75" s="265"/>
      <c r="D75" s="265"/>
      <c r="E75" s="448"/>
      <c r="F75" s="266" t="s">
        <v>1849</v>
      </c>
      <c r="G75" s="445"/>
      <c r="H75" s="264" t="s">
        <v>1849</v>
      </c>
      <c r="I75" s="265"/>
      <c r="J75" s="265"/>
      <c r="K75" s="448"/>
      <c r="L75" s="266" t="s">
        <v>1849</v>
      </c>
    </row>
    <row r="76" spans="1:12" ht="15.75" thickBot="1">
      <c r="A76" s="445"/>
      <c r="B76" s="264" t="s">
        <v>1850</v>
      </c>
      <c r="C76" s="265"/>
      <c r="D76" s="265"/>
      <c r="E76" s="448"/>
      <c r="F76" s="266" t="s">
        <v>1850</v>
      </c>
      <c r="G76" s="445"/>
      <c r="H76" s="264" t="s">
        <v>1850</v>
      </c>
      <c r="I76" s="265"/>
      <c r="J76" s="265"/>
      <c r="K76" s="448"/>
      <c r="L76" s="266" t="s">
        <v>1850</v>
      </c>
    </row>
    <row r="77" spans="1:12" ht="15.75" thickBot="1">
      <c r="A77" s="445"/>
      <c r="B77" s="264" t="s">
        <v>1851</v>
      </c>
      <c r="C77" s="265"/>
      <c r="D77" s="265"/>
      <c r="E77" s="448"/>
      <c r="F77" s="266" t="s">
        <v>1851</v>
      </c>
      <c r="G77" s="445"/>
      <c r="H77" s="264" t="s">
        <v>1851</v>
      </c>
      <c r="I77" s="265"/>
      <c r="J77" s="265"/>
      <c r="K77" s="448"/>
      <c r="L77" s="266" t="s">
        <v>1851</v>
      </c>
    </row>
    <row r="78" spans="1:12" ht="15.75" thickBot="1">
      <c r="A78" s="445"/>
      <c r="B78" s="264" t="s">
        <v>1852</v>
      </c>
      <c r="C78" s="265"/>
      <c r="D78" s="265"/>
      <c r="E78" s="448"/>
      <c r="F78" s="266" t="s">
        <v>1852</v>
      </c>
      <c r="G78" s="445"/>
      <c r="H78" s="264" t="s">
        <v>1852</v>
      </c>
      <c r="I78" s="265"/>
      <c r="J78" s="265"/>
      <c r="K78" s="448"/>
      <c r="L78" s="266" t="s">
        <v>1852</v>
      </c>
    </row>
    <row r="79" spans="1:12" ht="15.75" thickBot="1">
      <c r="A79" s="445"/>
      <c r="B79" s="264" t="s">
        <v>1853</v>
      </c>
      <c r="C79" s="265"/>
      <c r="D79" s="265"/>
      <c r="E79" s="448"/>
      <c r="F79" s="266" t="s">
        <v>1853</v>
      </c>
      <c r="G79" s="445"/>
      <c r="H79" s="264" t="s">
        <v>1853</v>
      </c>
      <c r="I79" s="265"/>
      <c r="J79" s="265"/>
      <c r="K79" s="448"/>
      <c r="L79" s="266" t="s">
        <v>1853</v>
      </c>
    </row>
    <row r="80" spans="1:12" ht="15.75" thickBot="1">
      <c r="A80" s="445"/>
      <c r="B80" s="264" t="s">
        <v>1854</v>
      </c>
      <c r="C80" s="265"/>
      <c r="D80" s="265"/>
      <c r="E80" s="448"/>
      <c r="F80" s="266" t="s">
        <v>1854</v>
      </c>
      <c r="G80" s="445"/>
      <c r="H80" s="264" t="s">
        <v>1854</v>
      </c>
      <c r="I80" s="265"/>
      <c r="J80" s="265"/>
      <c r="K80" s="448"/>
      <c r="L80" s="266" t="s">
        <v>1854</v>
      </c>
    </row>
    <row r="81" spans="1:12" ht="15.75" thickBot="1">
      <c r="A81" s="445"/>
      <c r="B81" s="264" t="s">
        <v>1855</v>
      </c>
      <c r="C81" s="265"/>
      <c r="D81" s="265"/>
      <c r="E81" s="448"/>
      <c r="F81" s="266" t="s">
        <v>1855</v>
      </c>
      <c r="G81" s="445"/>
      <c r="H81" s="264" t="s">
        <v>1855</v>
      </c>
      <c r="I81" s="265"/>
      <c r="J81" s="265"/>
      <c r="K81" s="448"/>
      <c r="L81" s="266" t="s">
        <v>1855</v>
      </c>
    </row>
    <row r="82" spans="1:12" ht="15.75" thickBot="1">
      <c r="A82" s="445"/>
      <c r="B82" s="264" t="s">
        <v>1856</v>
      </c>
      <c r="C82" s="265"/>
      <c r="D82" s="265"/>
      <c r="E82" s="448"/>
      <c r="F82" s="266" t="s">
        <v>1856</v>
      </c>
      <c r="G82" s="445"/>
      <c r="H82" s="264" t="s">
        <v>1856</v>
      </c>
      <c r="I82" s="265"/>
      <c r="J82" s="265"/>
      <c r="K82" s="448"/>
      <c r="L82" s="266" t="s">
        <v>1856</v>
      </c>
    </row>
    <row r="83" spans="1:12" ht="26.25" thickBot="1">
      <c r="A83" s="445"/>
      <c r="B83" s="264" t="s">
        <v>1857</v>
      </c>
      <c r="C83" s="265"/>
      <c r="D83" s="265"/>
      <c r="E83" s="448"/>
      <c r="F83" s="266" t="s">
        <v>1858</v>
      </c>
      <c r="G83" s="445"/>
      <c r="H83" s="264" t="s">
        <v>1857</v>
      </c>
      <c r="I83" s="265"/>
      <c r="J83" s="265"/>
      <c r="K83" s="448"/>
      <c r="L83" s="266" t="s">
        <v>1858</v>
      </c>
    </row>
    <row r="84" spans="1:12" ht="15.75" thickBot="1">
      <c r="A84" s="446"/>
      <c r="B84" s="264" t="s">
        <v>1859</v>
      </c>
      <c r="C84" s="265"/>
      <c r="D84" s="265"/>
      <c r="E84" s="449"/>
      <c r="F84" s="266" t="s">
        <v>1860</v>
      </c>
      <c r="G84" s="446"/>
      <c r="H84" s="264" t="s">
        <v>1859</v>
      </c>
      <c r="I84" s="265"/>
      <c r="J84" s="265"/>
      <c r="K84" s="449"/>
      <c r="L84" s="266" t="s">
        <v>1860</v>
      </c>
    </row>
    <row r="85" spans="1:12" ht="15.75" thickBot="1">
      <c r="A85" s="444" t="s">
        <v>2189</v>
      </c>
      <c r="B85" s="264" t="s">
        <v>1845</v>
      </c>
      <c r="C85" s="265"/>
      <c r="D85" s="265"/>
      <c r="E85" s="447" t="s">
        <v>2189</v>
      </c>
      <c r="F85" s="266" t="s">
        <v>1845</v>
      </c>
      <c r="G85" s="444" t="s">
        <v>2189</v>
      </c>
      <c r="H85" s="264" t="s">
        <v>1845</v>
      </c>
      <c r="I85" s="265"/>
      <c r="J85" s="265"/>
      <c r="K85" s="447" t="s">
        <v>2189</v>
      </c>
      <c r="L85" s="266" t="s">
        <v>1845</v>
      </c>
    </row>
    <row r="86" spans="1:12" ht="15.75" thickBot="1">
      <c r="A86" s="445"/>
      <c r="B86" s="264" t="s">
        <v>1847</v>
      </c>
      <c r="C86" s="265"/>
      <c r="D86" s="265"/>
      <c r="E86" s="448"/>
      <c r="F86" s="266" t="s">
        <v>1847</v>
      </c>
      <c r="G86" s="445"/>
      <c r="H86" s="264" t="s">
        <v>1847</v>
      </c>
      <c r="I86" s="265"/>
      <c r="J86" s="265"/>
      <c r="K86" s="448"/>
      <c r="L86" s="266" t="s">
        <v>1847</v>
      </c>
    </row>
    <row r="87" spans="1:12" ht="15.75" thickBot="1">
      <c r="A87" s="445"/>
      <c r="B87" s="264" t="s">
        <v>1848</v>
      </c>
      <c r="C87" s="265"/>
      <c r="D87" s="265"/>
      <c r="E87" s="448"/>
      <c r="F87" s="266" t="s">
        <v>1848</v>
      </c>
      <c r="G87" s="445"/>
      <c r="H87" s="264" t="s">
        <v>1848</v>
      </c>
      <c r="I87" s="265"/>
      <c r="J87" s="265"/>
      <c r="K87" s="448"/>
      <c r="L87" s="266" t="s">
        <v>1848</v>
      </c>
    </row>
    <row r="88" spans="1:12" ht="15.75" thickBot="1">
      <c r="A88" s="445"/>
      <c r="B88" s="264" t="s">
        <v>1849</v>
      </c>
      <c r="C88" s="265"/>
      <c r="D88" s="265"/>
      <c r="E88" s="448"/>
      <c r="F88" s="266" t="s">
        <v>1849</v>
      </c>
      <c r="G88" s="445"/>
      <c r="H88" s="264" t="s">
        <v>1849</v>
      </c>
      <c r="I88" s="265"/>
      <c r="J88" s="265"/>
      <c r="K88" s="448"/>
      <c r="L88" s="266" t="s">
        <v>1849</v>
      </c>
    </row>
    <row r="89" spans="1:12" ht="15.75" thickBot="1">
      <c r="A89" s="445"/>
      <c r="B89" s="264" t="s">
        <v>1850</v>
      </c>
      <c r="C89" s="265"/>
      <c r="D89" s="265"/>
      <c r="E89" s="448"/>
      <c r="F89" s="266" t="s">
        <v>1850</v>
      </c>
      <c r="G89" s="445"/>
      <c r="H89" s="264" t="s">
        <v>1850</v>
      </c>
      <c r="I89" s="265"/>
      <c r="J89" s="265"/>
      <c r="K89" s="448"/>
      <c r="L89" s="266" t="s">
        <v>1850</v>
      </c>
    </row>
    <row r="90" spans="1:12" ht="15.75" thickBot="1">
      <c r="A90" s="445"/>
      <c r="B90" s="264" t="s">
        <v>1851</v>
      </c>
      <c r="C90" s="265"/>
      <c r="D90" s="265"/>
      <c r="E90" s="448"/>
      <c r="F90" s="266" t="s">
        <v>1851</v>
      </c>
      <c r="G90" s="445"/>
      <c r="H90" s="264" t="s">
        <v>1851</v>
      </c>
      <c r="I90" s="265"/>
      <c r="J90" s="265"/>
      <c r="K90" s="448"/>
      <c r="L90" s="266" t="s">
        <v>1851</v>
      </c>
    </row>
    <row r="91" spans="1:12" ht="15.75" thickBot="1">
      <c r="A91" s="445"/>
      <c r="B91" s="264" t="s">
        <v>1852</v>
      </c>
      <c r="C91" s="265"/>
      <c r="D91" s="265"/>
      <c r="E91" s="448"/>
      <c r="F91" s="266" t="s">
        <v>1852</v>
      </c>
      <c r="G91" s="445"/>
      <c r="H91" s="264" t="s">
        <v>1852</v>
      </c>
      <c r="I91" s="265"/>
      <c r="J91" s="265"/>
      <c r="K91" s="448"/>
      <c r="L91" s="266" t="s">
        <v>1852</v>
      </c>
    </row>
    <row r="92" spans="1:12" ht="15.75" thickBot="1">
      <c r="A92" s="445"/>
      <c r="B92" s="264" t="s">
        <v>1853</v>
      </c>
      <c r="C92" s="265"/>
      <c r="D92" s="265"/>
      <c r="E92" s="448"/>
      <c r="F92" s="266" t="s">
        <v>1853</v>
      </c>
      <c r="G92" s="445"/>
      <c r="H92" s="264" t="s">
        <v>1853</v>
      </c>
      <c r="I92" s="265"/>
      <c r="J92" s="265"/>
      <c r="K92" s="448"/>
      <c r="L92" s="266" t="s">
        <v>1853</v>
      </c>
    </row>
    <row r="93" spans="1:12" ht="15.75" thickBot="1">
      <c r="A93" s="445"/>
      <c r="B93" s="264" t="s">
        <v>1854</v>
      </c>
      <c r="C93" s="265"/>
      <c r="D93" s="265"/>
      <c r="E93" s="448"/>
      <c r="F93" s="266" t="s">
        <v>1854</v>
      </c>
      <c r="G93" s="445"/>
      <c r="H93" s="264" t="s">
        <v>1854</v>
      </c>
      <c r="I93" s="265"/>
      <c r="J93" s="265"/>
      <c r="K93" s="448"/>
      <c r="L93" s="266" t="s">
        <v>1854</v>
      </c>
    </row>
    <row r="94" spans="1:12" ht="15.75" thickBot="1">
      <c r="A94" s="445"/>
      <c r="B94" s="264" t="s">
        <v>1855</v>
      </c>
      <c r="C94" s="265"/>
      <c r="D94" s="265"/>
      <c r="E94" s="448"/>
      <c r="F94" s="266" t="s">
        <v>1855</v>
      </c>
      <c r="G94" s="445"/>
      <c r="H94" s="264" t="s">
        <v>1855</v>
      </c>
      <c r="I94" s="265"/>
      <c r="J94" s="265"/>
      <c r="K94" s="448"/>
      <c r="L94" s="266" t="s">
        <v>1855</v>
      </c>
    </row>
    <row r="95" spans="1:12" ht="15.75" thickBot="1">
      <c r="A95" s="445"/>
      <c r="B95" s="264" t="s">
        <v>1856</v>
      </c>
      <c r="C95" s="265"/>
      <c r="D95" s="265"/>
      <c r="E95" s="448"/>
      <c r="F95" s="266" t="s">
        <v>1856</v>
      </c>
      <c r="G95" s="445"/>
      <c r="H95" s="264" t="s">
        <v>1856</v>
      </c>
      <c r="I95" s="265"/>
      <c r="J95" s="265"/>
      <c r="K95" s="448"/>
      <c r="L95" s="266" t="s">
        <v>1856</v>
      </c>
    </row>
    <row r="96" spans="1:12" ht="26.25" thickBot="1">
      <c r="A96" s="445"/>
      <c r="B96" s="264" t="s">
        <v>1857</v>
      </c>
      <c r="C96" s="265"/>
      <c r="D96" s="265"/>
      <c r="E96" s="448"/>
      <c r="F96" s="266" t="s">
        <v>1858</v>
      </c>
      <c r="G96" s="445"/>
      <c r="H96" s="264" t="s">
        <v>1857</v>
      </c>
      <c r="I96" s="265"/>
      <c r="J96" s="265"/>
      <c r="K96" s="448"/>
      <c r="L96" s="266" t="s">
        <v>1858</v>
      </c>
    </row>
    <row r="97" spans="1:12" ht="15.75" thickBot="1">
      <c r="A97" s="446"/>
      <c r="B97" s="264" t="s">
        <v>1859</v>
      </c>
      <c r="C97" s="265"/>
      <c r="D97" s="265"/>
      <c r="E97" s="449"/>
      <c r="F97" s="266" t="s">
        <v>1860</v>
      </c>
      <c r="G97" s="446"/>
      <c r="H97" s="264" t="s">
        <v>1859</v>
      </c>
      <c r="I97" s="265"/>
      <c r="J97" s="265"/>
      <c r="K97" s="449"/>
      <c r="L97" s="266" t="s">
        <v>1860</v>
      </c>
    </row>
    <row r="98" spans="1:12" ht="15.75" thickBot="1">
      <c r="A98" s="444" t="s">
        <v>2190</v>
      </c>
      <c r="B98" s="264" t="s">
        <v>1845</v>
      </c>
      <c r="C98" s="265"/>
      <c r="D98" s="265"/>
      <c r="E98" s="447" t="s">
        <v>2190</v>
      </c>
      <c r="F98" s="266" t="s">
        <v>1845</v>
      </c>
      <c r="G98" s="444" t="s">
        <v>2190</v>
      </c>
      <c r="H98" s="264" t="s">
        <v>1845</v>
      </c>
      <c r="I98" s="265"/>
      <c r="J98" s="265"/>
      <c r="K98" s="447" t="s">
        <v>2190</v>
      </c>
      <c r="L98" s="266" t="s">
        <v>1845</v>
      </c>
    </row>
    <row r="99" spans="1:12" ht="15.75" thickBot="1">
      <c r="A99" s="445"/>
      <c r="B99" s="264" t="s">
        <v>1847</v>
      </c>
      <c r="C99" s="265"/>
      <c r="D99" s="265"/>
      <c r="E99" s="448"/>
      <c r="F99" s="266" t="s">
        <v>1847</v>
      </c>
      <c r="G99" s="445"/>
      <c r="H99" s="264" t="s">
        <v>1847</v>
      </c>
      <c r="I99" s="265"/>
      <c r="J99" s="265"/>
      <c r="K99" s="448"/>
      <c r="L99" s="266" t="s">
        <v>1847</v>
      </c>
    </row>
    <row r="100" spans="1:12" ht="15.75" thickBot="1">
      <c r="A100" s="445"/>
      <c r="B100" s="264" t="s">
        <v>1848</v>
      </c>
      <c r="C100" s="265"/>
      <c r="D100" s="265"/>
      <c r="E100" s="448"/>
      <c r="F100" s="266" t="s">
        <v>1848</v>
      </c>
      <c r="G100" s="445"/>
      <c r="H100" s="264" t="s">
        <v>1848</v>
      </c>
      <c r="I100" s="265"/>
      <c r="J100" s="265"/>
      <c r="K100" s="448"/>
      <c r="L100" s="266" t="s">
        <v>1848</v>
      </c>
    </row>
    <row r="101" spans="1:12" ht="15.75" thickBot="1">
      <c r="A101" s="445"/>
      <c r="B101" s="264" t="s">
        <v>1849</v>
      </c>
      <c r="C101" s="265"/>
      <c r="D101" s="265"/>
      <c r="E101" s="448"/>
      <c r="F101" s="266" t="s">
        <v>1849</v>
      </c>
      <c r="G101" s="445"/>
      <c r="H101" s="264" t="s">
        <v>1849</v>
      </c>
      <c r="I101" s="265"/>
      <c r="J101" s="265"/>
      <c r="K101" s="448"/>
      <c r="L101" s="266" t="s">
        <v>1849</v>
      </c>
    </row>
    <row r="102" spans="1:12" ht="15.75" thickBot="1">
      <c r="A102" s="445"/>
      <c r="B102" s="264" t="s">
        <v>1850</v>
      </c>
      <c r="C102" s="265"/>
      <c r="D102" s="265"/>
      <c r="E102" s="448"/>
      <c r="F102" s="266" t="s">
        <v>1850</v>
      </c>
      <c r="G102" s="445"/>
      <c r="H102" s="264" t="s">
        <v>1850</v>
      </c>
      <c r="I102" s="265"/>
      <c r="J102" s="265"/>
      <c r="K102" s="448"/>
      <c r="L102" s="266" t="s">
        <v>1850</v>
      </c>
    </row>
    <row r="103" spans="1:12" ht="15.75" thickBot="1">
      <c r="A103" s="445"/>
      <c r="B103" s="264" t="s">
        <v>1851</v>
      </c>
      <c r="C103" s="265"/>
      <c r="D103" s="265"/>
      <c r="E103" s="448"/>
      <c r="F103" s="266" t="s">
        <v>1851</v>
      </c>
      <c r="G103" s="445"/>
      <c r="H103" s="264" t="s">
        <v>1851</v>
      </c>
      <c r="I103" s="265"/>
      <c r="J103" s="265"/>
      <c r="K103" s="448"/>
      <c r="L103" s="266" t="s">
        <v>1851</v>
      </c>
    </row>
    <row r="104" spans="1:12" ht="15.75" thickBot="1">
      <c r="A104" s="445"/>
      <c r="B104" s="264" t="s">
        <v>1852</v>
      </c>
      <c r="C104" s="265"/>
      <c r="D104" s="265"/>
      <c r="E104" s="448"/>
      <c r="F104" s="266" t="s">
        <v>1852</v>
      </c>
      <c r="G104" s="445"/>
      <c r="H104" s="264" t="s">
        <v>1852</v>
      </c>
      <c r="I104" s="265"/>
      <c r="J104" s="265"/>
      <c r="K104" s="448"/>
      <c r="L104" s="266" t="s">
        <v>1852</v>
      </c>
    </row>
    <row r="105" spans="1:12" ht="15.75" thickBot="1">
      <c r="A105" s="445"/>
      <c r="B105" s="264" t="s">
        <v>1853</v>
      </c>
      <c r="C105" s="265"/>
      <c r="D105" s="265"/>
      <c r="E105" s="448"/>
      <c r="F105" s="266" t="s">
        <v>1853</v>
      </c>
      <c r="G105" s="445"/>
      <c r="H105" s="264" t="s">
        <v>1853</v>
      </c>
      <c r="I105" s="265"/>
      <c r="J105" s="265"/>
      <c r="K105" s="448"/>
      <c r="L105" s="266" t="s">
        <v>1853</v>
      </c>
    </row>
    <row r="106" spans="1:12" ht="15.75" thickBot="1">
      <c r="A106" s="445"/>
      <c r="B106" s="264" t="s">
        <v>1854</v>
      </c>
      <c r="C106" s="265"/>
      <c r="D106" s="265"/>
      <c r="E106" s="448"/>
      <c r="F106" s="266" t="s">
        <v>1854</v>
      </c>
      <c r="G106" s="445"/>
      <c r="H106" s="264" t="s">
        <v>1854</v>
      </c>
      <c r="I106" s="265"/>
      <c r="J106" s="265"/>
      <c r="K106" s="448"/>
      <c r="L106" s="266" t="s">
        <v>1854</v>
      </c>
    </row>
    <row r="107" spans="1:12" ht="15.75" thickBot="1">
      <c r="A107" s="445"/>
      <c r="B107" s="264" t="s">
        <v>1855</v>
      </c>
      <c r="C107" s="265"/>
      <c r="D107" s="265"/>
      <c r="E107" s="448"/>
      <c r="F107" s="266" t="s">
        <v>1855</v>
      </c>
      <c r="G107" s="445"/>
      <c r="H107" s="264" t="s">
        <v>1855</v>
      </c>
      <c r="I107" s="265"/>
      <c r="J107" s="265"/>
      <c r="K107" s="448"/>
      <c r="L107" s="266" t="s">
        <v>1855</v>
      </c>
    </row>
    <row r="108" spans="1:12" ht="15.75" thickBot="1">
      <c r="A108" s="445"/>
      <c r="B108" s="264" t="s">
        <v>1856</v>
      </c>
      <c r="C108" s="265"/>
      <c r="D108" s="265"/>
      <c r="E108" s="448"/>
      <c r="F108" s="266" t="s">
        <v>1856</v>
      </c>
      <c r="G108" s="445"/>
      <c r="H108" s="264" t="s">
        <v>1856</v>
      </c>
      <c r="I108" s="265"/>
      <c r="J108" s="265"/>
      <c r="K108" s="448"/>
      <c r="L108" s="266" t="s">
        <v>1856</v>
      </c>
    </row>
    <row r="109" spans="1:12" ht="26.25" thickBot="1">
      <c r="A109" s="445"/>
      <c r="B109" s="264" t="s">
        <v>1857</v>
      </c>
      <c r="C109" s="265"/>
      <c r="D109" s="265"/>
      <c r="E109" s="448"/>
      <c r="F109" s="266" t="s">
        <v>1858</v>
      </c>
      <c r="G109" s="445"/>
      <c r="H109" s="264" t="s">
        <v>1857</v>
      </c>
      <c r="I109" s="265"/>
      <c r="J109" s="265"/>
      <c r="K109" s="448"/>
      <c r="L109" s="266" t="s">
        <v>1858</v>
      </c>
    </row>
    <row r="110" spans="1:12" ht="15.75" thickBot="1">
      <c r="A110" s="446"/>
      <c r="B110" s="264" t="s">
        <v>1859</v>
      </c>
      <c r="C110" s="265"/>
      <c r="D110" s="265"/>
      <c r="E110" s="449"/>
      <c r="F110" s="266" t="s">
        <v>1860</v>
      </c>
      <c r="G110" s="446"/>
      <c r="H110" s="264" t="s">
        <v>1859</v>
      </c>
      <c r="I110" s="265"/>
      <c r="J110" s="265"/>
      <c r="K110" s="449"/>
      <c r="L110" s="266" t="s">
        <v>1860</v>
      </c>
    </row>
    <row r="111" spans="1:12" ht="15.75" thickBot="1">
      <c r="A111" s="444" t="s">
        <v>2191</v>
      </c>
      <c r="B111" s="264" t="s">
        <v>1845</v>
      </c>
      <c r="C111" s="265"/>
      <c r="D111" s="265"/>
      <c r="E111" s="447" t="s">
        <v>2191</v>
      </c>
      <c r="F111" s="266" t="s">
        <v>1845</v>
      </c>
      <c r="G111" s="444" t="s">
        <v>2191</v>
      </c>
      <c r="H111" s="264" t="s">
        <v>1845</v>
      </c>
      <c r="I111" s="265"/>
      <c r="J111" s="265"/>
      <c r="K111" s="447" t="s">
        <v>2191</v>
      </c>
      <c r="L111" s="266" t="s">
        <v>1845</v>
      </c>
    </row>
    <row r="112" spans="1:12" ht="15.75" thickBot="1">
      <c r="A112" s="445"/>
      <c r="B112" s="264" t="s">
        <v>1847</v>
      </c>
      <c r="C112" s="265"/>
      <c r="D112" s="265"/>
      <c r="E112" s="448"/>
      <c r="F112" s="266" t="s">
        <v>1847</v>
      </c>
      <c r="G112" s="445"/>
      <c r="H112" s="264" t="s">
        <v>1847</v>
      </c>
      <c r="I112" s="265"/>
      <c r="J112" s="265"/>
      <c r="K112" s="448"/>
      <c r="L112" s="266" t="s">
        <v>1847</v>
      </c>
    </row>
    <row r="113" spans="1:12" ht="15.75" thickBot="1">
      <c r="A113" s="445"/>
      <c r="B113" s="264" t="s">
        <v>1848</v>
      </c>
      <c r="C113" s="265"/>
      <c r="D113" s="265"/>
      <c r="E113" s="448"/>
      <c r="F113" s="266" t="s">
        <v>1848</v>
      </c>
      <c r="G113" s="445"/>
      <c r="H113" s="264" t="s">
        <v>1848</v>
      </c>
      <c r="I113" s="265"/>
      <c r="J113" s="265"/>
      <c r="K113" s="448"/>
      <c r="L113" s="266" t="s">
        <v>1848</v>
      </c>
    </row>
    <row r="114" spans="1:12" ht="15.75" thickBot="1">
      <c r="A114" s="445"/>
      <c r="B114" s="264" t="s">
        <v>1849</v>
      </c>
      <c r="C114" s="265"/>
      <c r="D114" s="265"/>
      <c r="E114" s="448"/>
      <c r="F114" s="266" t="s">
        <v>1849</v>
      </c>
      <c r="G114" s="445"/>
      <c r="H114" s="264" t="s">
        <v>1849</v>
      </c>
      <c r="I114" s="265"/>
      <c r="J114" s="265"/>
      <c r="K114" s="448"/>
      <c r="L114" s="266" t="s">
        <v>1849</v>
      </c>
    </row>
    <row r="115" spans="1:12" ht="15.75" thickBot="1">
      <c r="A115" s="445"/>
      <c r="B115" s="264" t="s">
        <v>1850</v>
      </c>
      <c r="C115" s="265"/>
      <c r="D115" s="265"/>
      <c r="E115" s="448"/>
      <c r="F115" s="266" t="s">
        <v>1850</v>
      </c>
      <c r="G115" s="445"/>
      <c r="H115" s="264" t="s">
        <v>1850</v>
      </c>
      <c r="I115" s="265"/>
      <c r="J115" s="265"/>
      <c r="K115" s="448"/>
      <c r="L115" s="266" t="s">
        <v>1850</v>
      </c>
    </row>
    <row r="116" spans="1:12" ht="15.75" thickBot="1">
      <c r="A116" s="445"/>
      <c r="B116" s="264" t="s">
        <v>1851</v>
      </c>
      <c r="C116" s="265"/>
      <c r="D116" s="265"/>
      <c r="E116" s="448"/>
      <c r="F116" s="266" t="s">
        <v>1851</v>
      </c>
      <c r="G116" s="445"/>
      <c r="H116" s="264" t="s">
        <v>1851</v>
      </c>
      <c r="I116" s="265"/>
      <c r="J116" s="265"/>
      <c r="K116" s="448"/>
      <c r="L116" s="266" t="s">
        <v>1851</v>
      </c>
    </row>
    <row r="117" spans="1:12" ht="15.75" thickBot="1">
      <c r="A117" s="445"/>
      <c r="B117" s="264" t="s">
        <v>1852</v>
      </c>
      <c r="C117" s="265"/>
      <c r="D117" s="265"/>
      <c r="E117" s="448"/>
      <c r="F117" s="266" t="s">
        <v>1852</v>
      </c>
      <c r="G117" s="445"/>
      <c r="H117" s="264" t="s">
        <v>1852</v>
      </c>
      <c r="I117" s="265"/>
      <c r="J117" s="265"/>
      <c r="K117" s="448"/>
      <c r="L117" s="266" t="s">
        <v>1852</v>
      </c>
    </row>
    <row r="118" spans="1:12" ht="15.75" thickBot="1">
      <c r="A118" s="445"/>
      <c r="B118" s="264" t="s">
        <v>1853</v>
      </c>
      <c r="C118" s="265"/>
      <c r="D118" s="265"/>
      <c r="E118" s="448"/>
      <c r="F118" s="266" t="s">
        <v>1853</v>
      </c>
      <c r="G118" s="445"/>
      <c r="H118" s="264" t="s">
        <v>1853</v>
      </c>
      <c r="I118" s="265"/>
      <c r="J118" s="265"/>
      <c r="K118" s="448"/>
      <c r="L118" s="266" t="s">
        <v>1853</v>
      </c>
    </row>
    <row r="119" spans="1:12" ht="15.75" thickBot="1">
      <c r="A119" s="445"/>
      <c r="B119" s="264" t="s">
        <v>1854</v>
      </c>
      <c r="C119" s="265"/>
      <c r="D119" s="265"/>
      <c r="E119" s="448"/>
      <c r="F119" s="266" t="s">
        <v>1854</v>
      </c>
      <c r="G119" s="445"/>
      <c r="H119" s="264" t="s">
        <v>1854</v>
      </c>
      <c r="I119" s="265"/>
      <c r="J119" s="265"/>
      <c r="K119" s="448"/>
      <c r="L119" s="266" t="s">
        <v>1854</v>
      </c>
    </row>
    <row r="120" spans="1:12" ht="15.75" thickBot="1">
      <c r="A120" s="445"/>
      <c r="B120" s="264" t="s">
        <v>1855</v>
      </c>
      <c r="C120" s="265"/>
      <c r="D120" s="265"/>
      <c r="E120" s="448"/>
      <c r="F120" s="266" t="s">
        <v>1855</v>
      </c>
      <c r="G120" s="445"/>
      <c r="H120" s="264" t="s">
        <v>1855</v>
      </c>
      <c r="I120" s="265"/>
      <c r="J120" s="265"/>
      <c r="K120" s="448"/>
      <c r="L120" s="266" t="s">
        <v>1855</v>
      </c>
    </row>
    <row r="121" spans="1:12" ht="15.75" thickBot="1">
      <c r="A121" s="445"/>
      <c r="B121" s="264" t="s">
        <v>1856</v>
      </c>
      <c r="C121" s="265"/>
      <c r="D121" s="265"/>
      <c r="E121" s="448"/>
      <c r="F121" s="266" t="s">
        <v>1856</v>
      </c>
      <c r="G121" s="445"/>
      <c r="H121" s="264" t="s">
        <v>1856</v>
      </c>
      <c r="I121" s="265"/>
      <c r="J121" s="265"/>
      <c r="K121" s="448"/>
      <c r="L121" s="266" t="s">
        <v>1856</v>
      </c>
    </row>
    <row r="122" spans="1:12" ht="26.25" thickBot="1">
      <c r="A122" s="445"/>
      <c r="B122" s="264" t="s">
        <v>1857</v>
      </c>
      <c r="C122" s="265"/>
      <c r="D122" s="265"/>
      <c r="E122" s="448"/>
      <c r="F122" s="266" t="s">
        <v>1858</v>
      </c>
      <c r="G122" s="445"/>
      <c r="H122" s="264" t="s">
        <v>1857</v>
      </c>
      <c r="I122" s="265"/>
      <c r="J122" s="265"/>
      <c r="K122" s="448"/>
      <c r="L122" s="266" t="s">
        <v>1858</v>
      </c>
    </row>
    <row r="123" spans="1:12" ht="15.75" thickBot="1">
      <c r="A123" s="446"/>
      <c r="B123" s="264" t="s">
        <v>1859</v>
      </c>
      <c r="C123" s="265"/>
      <c r="D123" s="265"/>
      <c r="E123" s="449"/>
      <c r="F123" s="266" t="s">
        <v>1860</v>
      </c>
      <c r="G123" s="446"/>
      <c r="H123" s="264" t="s">
        <v>1859</v>
      </c>
      <c r="I123" s="265"/>
      <c r="J123" s="265"/>
      <c r="K123" s="449"/>
      <c r="L123" s="266" t="s">
        <v>1860</v>
      </c>
    </row>
    <row r="124" spans="1:12" ht="15.75" thickBot="1">
      <c r="A124" s="444" t="s">
        <v>2192</v>
      </c>
      <c r="B124" s="264" t="s">
        <v>1845</v>
      </c>
      <c r="C124" s="265"/>
      <c r="D124" s="265"/>
      <c r="E124" s="447" t="s">
        <v>2192</v>
      </c>
      <c r="F124" s="266" t="s">
        <v>1845</v>
      </c>
      <c r="G124" s="444" t="s">
        <v>2192</v>
      </c>
      <c r="H124" s="264" t="s">
        <v>1845</v>
      </c>
      <c r="I124" s="265"/>
      <c r="J124" s="265"/>
      <c r="K124" s="447" t="s">
        <v>2192</v>
      </c>
      <c r="L124" s="266" t="s">
        <v>1845</v>
      </c>
    </row>
    <row r="125" spans="1:12" ht="15.75" thickBot="1">
      <c r="A125" s="445"/>
      <c r="B125" s="264" t="s">
        <v>1847</v>
      </c>
      <c r="C125" s="265"/>
      <c r="D125" s="265"/>
      <c r="E125" s="448"/>
      <c r="F125" s="266" t="s">
        <v>1847</v>
      </c>
      <c r="G125" s="445"/>
      <c r="H125" s="264" t="s">
        <v>1847</v>
      </c>
      <c r="I125" s="265"/>
      <c r="J125" s="265"/>
      <c r="K125" s="448"/>
      <c r="L125" s="266" t="s">
        <v>1847</v>
      </c>
    </row>
    <row r="126" spans="1:12" ht="15.75" thickBot="1">
      <c r="A126" s="445"/>
      <c r="B126" s="264" t="s">
        <v>1848</v>
      </c>
      <c r="C126" s="265"/>
      <c r="D126" s="265"/>
      <c r="E126" s="448"/>
      <c r="F126" s="266" t="s">
        <v>1848</v>
      </c>
      <c r="G126" s="445"/>
      <c r="H126" s="264" t="s">
        <v>1848</v>
      </c>
      <c r="I126" s="265"/>
      <c r="J126" s="265"/>
      <c r="K126" s="448"/>
      <c r="L126" s="266" t="s">
        <v>1848</v>
      </c>
    </row>
    <row r="127" spans="1:12" ht="15.75" thickBot="1">
      <c r="A127" s="445"/>
      <c r="B127" s="264" t="s">
        <v>1849</v>
      </c>
      <c r="C127" s="265"/>
      <c r="D127" s="265"/>
      <c r="E127" s="448"/>
      <c r="F127" s="266" t="s">
        <v>1849</v>
      </c>
      <c r="G127" s="445"/>
      <c r="H127" s="264" t="s">
        <v>1849</v>
      </c>
      <c r="I127" s="265"/>
      <c r="J127" s="265"/>
      <c r="K127" s="448"/>
      <c r="L127" s="266" t="s">
        <v>1849</v>
      </c>
    </row>
    <row r="128" spans="1:12" ht="15.75" thickBot="1">
      <c r="A128" s="445"/>
      <c r="B128" s="264" t="s">
        <v>1850</v>
      </c>
      <c r="C128" s="265"/>
      <c r="D128" s="265"/>
      <c r="E128" s="448"/>
      <c r="F128" s="266" t="s">
        <v>1850</v>
      </c>
      <c r="G128" s="445"/>
      <c r="H128" s="264" t="s">
        <v>1850</v>
      </c>
      <c r="I128" s="265"/>
      <c r="J128" s="265"/>
      <c r="K128" s="448"/>
      <c r="L128" s="266" t="s">
        <v>1850</v>
      </c>
    </row>
    <row r="129" spans="1:12" ht="15.75" thickBot="1">
      <c r="A129" s="445"/>
      <c r="B129" s="264" t="s">
        <v>1851</v>
      </c>
      <c r="C129" s="265"/>
      <c r="D129" s="265"/>
      <c r="E129" s="448"/>
      <c r="F129" s="266" t="s">
        <v>1851</v>
      </c>
      <c r="G129" s="445"/>
      <c r="H129" s="264" t="s">
        <v>1851</v>
      </c>
      <c r="I129" s="265"/>
      <c r="J129" s="265"/>
      <c r="K129" s="448"/>
      <c r="L129" s="266" t="s">
        <v>1851</v>
      </c>
    </row>
    <row r="130" spans="1:12" ht="15.75" thickBot="1">
      <c r="A130" s="445"/>
      <c r="B130" s="264" t="s">
        <v>1852</v>
      </c>
      <c r="C130" s="265"/>
      <c r="D130" s="265"/>
      <c r="E130" s="448"/>
      <c r="F130" s="266" t="s">
        <v>1852</v>
      </c>
      <c r="G130" s="445"/>
      <c r="H130" s="264" t="s">
        <v>1852</v>
      </c>
      <c r="I130" s="265"/>
      <c r="J130" s="265"/>
      <c r="K130" s="448"/>
      <c r="L130" s="266" t="s">
        <v>1852</v>
      </c>
    </row>
    <row r="131" spans="1:12" ht="15.75" thickBot="1">
      <c r="A131" s="445"/>
      <c r="B131" s="264" t="s">
        <v>1853</v>
      </c>
      <c r="C131" s="265"/>
      <c r="D131" s="265"/>
      <c r="E131" s="448"/>
      <c r="F131" s="266" t="s">
        <v>1853</v>
      </c>
      <c r="G131" s="445"/>
      <c r="H131" s="264" t="s">
        <v>1853</v>
      </c>
      <c r="I131" s="265"/>
      <c r="J131" s="265"/>
      <c r="K131" s="448"/>
      <c r="L131" s="266" t="s">
        <v>1853</v>
      </c>
    </row>
    <row r="132" spans="1:12" ht="15.75" thickBot="1">
      <c r="A132" s="445"/>
      <c r="B132" s="264" t="s">
        <v>1854</v>
      </c>
      <c r="C132" s="265"/>
      <c r="D132" s="265"/>
      <c r="E132" s="448"/>
      <c r="F132" s="266" t="s">
        <v>1854</v>
      </c>
      <c r="G132" s="445"/>
      <c r="H132" s="264" t="s">
        <v>1854</v>
      </c>
      <c r="I132" s="265"/>
      <c r="J132" s="265"/>
      <c r="K132" s="448"/>
      <c r="L132" s="266" t="s">
        <v>1854</v>
      </c>
    </row>
    <row r="133" spans="1:12" ht="15.75" thickBot="1">
      <c r="A133" s="445"/>
      <c r="B133" s="264" t="s">
        <v>1855</v>
      </c>
      <c r="C133" s="265"/>
      <c r="D133" s="265"/>
      <c r="E133" s="448"/>
      <c r="F133" s="266" t="s">
        <v>1855</v>
      </c>
      <c r="G133" s="445"/>
      <c r="H133" s="264" t="s">
        <v>1855</v>
      </c>
      <c r="I133" s="265"/>
      <c r="J133" s="265"/>
      <c r="K133" s="448"/>
      <c r="L133" s="266" t="s">
        <v>1855</v>
      </c>
    </row>
    <row r="134" spans="1:12" ht="15.75" thickBot="1">
      <c r="A134" s="445"/>
      <c r="B134" s="264" t="s">
        <v>1856</v>
      </c>
      <c r="C134" s="265"/>
      <c r="D134" s="265"/>
      <c r="E134" s="448"/>
      <c r="F134" s="266" t="s">
        <v>1856</v>
      </c>
      <c r="G134" s="445"/>
      <c r="H134" s="264" t="s">
        <v>1856</v>
      </c>
      <c r="I134" s="265"/>
      <c r="J134" s="265"/>
      <c r="K134" s="448"/>
      <c r="L134" s="266" t="s">
        <v>1856</v>
      </c>
    </row>
    <row r="135" spans="1:12" ht="26.25" thickBot="1">
      <c r="A135" s="445"/>
      <c r="B135" s="264" t="s">
        <v>1857</v>
      </c>
      <c r="C135" s="265"/>
      <c r="D135" s="265"/>
      <c r="E135" s="448"/>
      <c r="F135" s="266" t="s">
        <v>1858</v>
      </c>
      <c r="G135" s="445"/>
      <c r="H135" s="264" t="s">
        <v>1857</v>
      </c>
      <c r="I135" s="265"/>
      <c r="J135" s="265"/>
      <c r="K135" s="448"/>
      <c r="L135" s="266" t="s">
        <v>1858</v>
      </c>
    </row>
    <row r="136" spans="1:12" ht="15.75" thickBot="1">
      <c r="A136" s="446"/>
      <c r="B136" s="264" t="s">
        <v>1859</v>
      </c>
      <c r="C136" s="265"/>
      <c r="D136" s="265"/>
      <c r="E136" s="449"/>
      <c r="F136" s="266" t="s">
        <v>1860</v>
      </c>
      <c r="G136" s="446"/>
      <c r="H136" s="264" t="s">
        <v>1859</v>
      </c>
      <c r="I136" s="265"/>
      <c r="J136" s="265"/>
      <c r="K136" s="449"/>
      <c r="L136" s="266" t="s">
        <v>1860</v>
      </c>
    </row>
    <row r="137" spans="1:12" ht="15.75" thickBot="1">
      <c r="A137" s="444" t="s">
        <v>2193</v>
      </c>
      <c r="B137" s="264" t="s">
        <v>1845</v>
      </c>
      <c r="C137" s="265"/>
      <c r="D137" s="265"/>
      <c r="E137" s="447" t="s">
        <v>2193</v>
      </c>
      <c r="F137" s="266" t="s">
        <v>1845</v>
      </c>
      <c r="G137" s="444" t="s">
        <v>2193</v>
      </c>
      <c r="H137" s="264" t="s">
        <v>1845</v>
      </c>
      <c r="I137" s="265"/>
      <c r="J137" s="265"/>
      <c r="K137" s="447" t="s">
        <v>2193</v>
      </c>
      <c r="L137" s="266" t="s">
        <v>1845</v>
      </c>
    </row>
    <row r="138" spans="1:12" ht="15.75" thickBot="1">
      <c r="A138" s="445"/>
      <c r="B138" s="264" t="s">
        <v>1847</v>
      </c>
      <c r="C138" s="265"/>
      <c r="D138" s="265"/>
      <c r="E138" s="448"/>
      <c r="F138" s="266" t="s">
        <v>1847</v>
      </c>
      <c r="G138" s="445"/>
      <c r="H138" s="264" t="s">
        <v>1847</v>
      </c>
      <c r="I138" s="265"/>
      <c r="J138" s="265"/>
      <c r="K138" s="448"/>
      <c r="L138" s="266" t="s">
        <v>1847</v>
      </c>
    </row>
    <row r="139" spans="1:12" ht="15.75" thickBot="1">
      <c r="A139" s="445"/>
      <c r="B139" s="264" t="s">
        <v>1848</v>
      </c>
      <c r="C139" s="265"/>
      <c r="D139" s="265"/>
      <c r="E139" s="448"/>
      <c r="F139" s="266" t="s">
        <v>1848</v>
      </c>
      <c r="G139" s="445"/>
      <c r="H139" s="264" t="s">
        <v>1848</v>
      </c>
      <c r="I139" s="265"/>
      <c r="J139" s="265"/>
      <c r="K139" s="448"/>
      <c r="L139" s="266" t="s">
        <v>1848</v>
      </c>
    </row>
    <row r="140" spans="1:12" ht="15.75" thickBot="1">
      <c r="A140" s="445"/>
      <c r="B140" s="264" t="s">
        <v>1849</v>
      </c>
      <c r="C140" s="265"/>
      <c r="D140" s="265"/>
      <c r="E140" s="448"/>
      <c r="F140" s="266" t="s">
        <v>1849</v>
      </c>
      <c r="G140" s="445"/>
      <c r="H140" s="264" t="s">
        <v>1849</v>
      </c>
      <c r="I140" s="265"/>
      <c r="J140" s="265"/>
      <c r="K140" s="448"/>
      <c r="L140" s="266" t="s">
        <v>1849</v>
      </c>
    </row>
    <row r="141" spans="1:12" ht="15.75" thickBot="1">
      <c r="A141" s="445"/>
      <c r="B141" s="264" t="s">
        <v>1850</v>
      </c>
      <c r="C141" s="265"/>
      <c r="D141" s="265"/>
      <c r="E141" s="448"/>
      <c r="F141" s="266" t="s">
        <v>1850</v>
      </c>
      <c r="G141" s="445"/>
      <c r="H141" s="264" t="s">
        <v>1850</v>
      </c>
      <c r="I141" s="265"/>
      <c r="J141" s="265"/>
      <c r="K141" s="448"/>
      <c r="L141" s="266" t="s">
        <v>1850</v>
      </c>
    </row>
    <row r="142" spans="1:12" ht="15.75" thickBot="1">
      <c r="A142" s="445"/>
      <c r="B142" s="264" t="s">
        <v>1851</v>
      </c>
      <c r="C142" s="265"/>
      <c r="D142" s="265"/>
      <c r="E142" s="448"/>
      <c r="F142" s="266" t="s">
        <v>1851</v>
      </c>
      <c r="G142" s="445"/>
      <c r="H142" s="264" t="s">
        <v>1851</v>
      </c>
      <c r="I142" s="265"/>
      <c r="J142" s="265"/>
      <c r="K142" s="448"/>
      <c r="L142" s="266" t="s">
        <v>1851</v>
      </c>
    </row>
    <row r="143" spans="1:12" ht="15.75" thickBot="1">
      <c r="A143" s="445"/>
      <c r="B143" s="264" t="s">
        <v>1852</v>
      </c>
      <c r="C143" s="265"/>
      <c r="D143" s="265"/>
      <c r="E143" s="448"/>
      <c r="F143" s="266" t="s">
        <v>1852</v>
      </c>
      <c r="G143" s="445"/>
      <c r="H143" s="264" t="s">
        <v>1852</v>
      </c>
      <c r="I143" s="265"/>
      <c r="J143" s="265"/>
      <c r="K143" s="448"/>
      <c r="L143" s="266" t="s">
        <v>1852</v>
      </c>
    </row>
    <row r="144" spans="1:12" ht="15.75" thickBot="1">
      <c r="A144" s="445"/>
      <c r="B144" s="264" t="s">
        <v>1853</v>
      </c>
      <c r="C144" s="265"/>
      <c r="D144" s="265"/>
      <c r="E144" s="448"/>
      <c r="F144" s="266" t="s">
        <v>1853</v>
      </c>
      <c r="G144" s="445"/>
      <c r="H144" s="264" t="s">
        <v>1853</v>
      </c>
      <c r="I144" s="265"/>
      <c r="J144" s="265"/>
      <c r="K144" s="448"/>
      <c r="L144" s="266" t="s">
        <v>1853</v>
      </c>
    </row>
    <row r="145" spans="1:12" ht="15.75" thickBot="1">
      <c r="A145" s="445"/>
      <c r="B145" s="264" t="s">
        <v>1854</v>
      </c>
      <c r="C145" s="265"/>
      <c r="D145" s="265"/>
      <c r="E145" s="448"/>
      <c r="F145" s="266" t="s">
        <v>1854</v>
      </c>
      <c r="G145" s="445"/>
      <c r="H145" s="264" t="s">
        <v>1854</v>
      </c>
      <c r="I145" s="265"/>
      <c r="J145" s="265"/>
      <c r="K145" s="448"/>
      <c r="L145" s="266" t="s">
        <v>1854</v>
      </c>
    </row>
    <row r="146" spans="1:12" ht="15.75" thickBot="1">
      <c r="A146" s="445"/>
      <c r="B146" s="264" t="s">
        <v>1855</v>
      </c>
      <c r="C146" s="265"/>
      <c r="D146" s="265"/>
      <c r="E146" s="448"/>
      <c r="F146" s="266" t="s">
        <v>1855</v>
      </c>
      <c r="G146" s="445"/>
      <c r="H146" s="264" t="s">
        <v>1855</v>
      </c>
      <c r="I146" s="265"/>
      <c r="J146" s="265"/>
      <c r="K146" s="448"/>
      <c r="L146" s="266" t="s">
        <v>1855</v>
      </c>
    </row>
    <row r="147" spans="1:12" ht="15.75" thickBot="1">
      <c r="A147" s="445"/>
      <c r="B147" s="264" t="s">
        <v>1856</v>
      </c>
      <c r="C147" s="265"/>
      <c r="D147" s="265"/>
      <c r="E147" s="448"/>
      <c r="F147" s="266" t="s">
        <v>1856</v>
      </c>
      <c r="G147" s="445"/>
      <c r="H147" s="264" t="s">
        <v>1856</v>
      </c>
      <c r="I147" s="265"/>
      <c r="J147" s="265"/>
      <c r="K147" s="448"/>
      <c r="L147" s="266" t="s">
        <v>1856</v>
      </c>
    </row>
    <row r="148" spans="1:12" ht="26.25" thickBot="1">
      <c r="A148" s="445"/>
      <c r="B148" s="264" t="s">
        <v>1857</v>
      </c>
      <c r="C148" s="265"/>
      <c r="D148" s="265"/>
      <c r="E148" s="448"/>
      <c r="F148" s="266" t="s">
        <v>1858</v>
      </c>
      <c r="G148" s="445"/>
      <c r="H148" s="264" t="s">
        <v>1857</v>
      </c>
      <c r="I148" s="265"/>
      <c r="J148" s="265"/>
      <c r="K148" s="448"/>
      <c r="L148" s="266" t="s">
        <v>1858</v>
      </c>
    </row>
    <row r="149" spans="1:12" ht="15.75" thickBot="1">
      <c r="A149" s="446"/>
      <c r="B149" s="264" t="s">
        <v>1859</v>
      </c>
      <c r="C149" s="265"/>
      <c r="D149" s="265"/>
      <c r="E149" s="449"/>
      <c r="F149" s="266" t="s">
        <v>1860</v>
      </c>
      <c r="G149" s="446"/>
      <c r="H149" s="264" t="s">
        <v>1859</v>
      </c>
      <c r="I149" s="265"/>
      <c r="J149" s="265"/>
      <c r="K149" s="449"/>
      <c r="L149" s="266" t="s">
        <v>1860</v>
      </c>
    </row>
    <row r="150" spans="1:12" ht="15.75" thickBot="1">
      <c r="A150" s="444" t="s">
        <v>2194</v>
      </c>
      <c r="B150" s="264" t="s">
        <v>1845</v>
      </c>
      <c r="C150" s="265"/>
      <c r="D150" s="265"/>
      <c r="E150" s="447" t="s">
        <v>2194</v>
      </c>
      <c r="F150" s="266" t="s">
        <v>1845</v>
      </c>
      <c r="G150" s="444" t="s">
        <v>2194</v>
      </c>
      <c r="H150" s="264" t="s">
        <v>1845</v>
      </c>
      <c r="I150" s="265"/>
      <c r="J150" s="265"/>
      <c r="K150" s="447" t="s">
        <v>2194</v>
      </c>
      <c r="L150" s="266" t="s">
        <v>1845</v>
      </c>
    </row>
    <row r="151" spans="1:12" ht="15.75" thickBot="1">
      <c r="A151" s="445"/>
      <c r="B151" s="264" t="s">
        <v>1847</v>
      </c>
      <c r="C151" s="265"/>
      <c r="D151" s="265"/>
      <c r="E151" s="448"/>
      <c r="F151" s="266" t="s">
        <v>1847</v>
      </c>
      <c r="G151" s="445"/>
      <c r="H151" s="264" t="s">
        <v>1847</v>
      </c>
      <c r="I151" s="265"/>
      <c r="J151" s="265"/>
      <c r="K151" s="448"/>
      <c r="L151" s="266" t="s">
        <v>1847</v>
      </c>
    </row>
    <row r="152" spans="1:12" ht="15.75" thickBot="1">
      <c r="A152" s="445"/>
      <c r="B152" s="264" t="s">
        <v>1848</v>
      </c>
      <c r="C152" s="265"/>
      <c r="D152" s="265"/>
      <c r="E152" s="448"/>
      <c r="F152" s="266" t="s">
        <v>1848</v>
      </c>
      <c r="G152" s="445"/>
      <c r="H152" s="264" t="s">
        <v>1848</v>
      </c>
      <c r="I152" s="265"/>
      <c r="J152" s="265"/>
      <c r="K152" s="448"/>
      <c r="L152" s="266" t="s">
        <v>1848</v>
      </c>
    </row>
    <row r="153" spans="1:12" ht="15.75" thickBot="1">
      <c r="A153" s="445"/>
      <c r="B153" s="264" t="s">
        <v>1849</v>
      </c>
      <c r="C153" s="265"/>
      <c r="D153" s="265"/>
      <c r="E153" s="448"/>
      <c r="F153" s="266" t="s">
        <v>1849</v>
      </c>
      <c r="G153" s="445"/>
      <c r="H153" s="264" t="s">
        <v>1849</v>
      </c>
      <c r="I153" s="265"/>
      <c r="J153" s="265"/>
      <c r="K153" s="448"/>
      <c r="L153" s="266" t="s">
        <v>1849</v>
      </c>
    </row>
    <row r="154" spans="1:12" ht="15.75" thickBot="1">
      <c r="A154" s="445"/>
      <c r="B154" s="264" t="s">
        <v>1850</v>
      </c>
      <c r="C154" s="265"/>
      <c r="D154" s="265"/>
      <c r="E154" s="448"/>
      <c r="F154" s="266" t="s">
        <v>1850</v>
      </c>
      <c r="G154" s="445"/>
      <c r="H154" s="264" t="s">
        <v>1850</v>
      </c>
      <c r="I154" s="265"/>
      <c r="J154" s="265"/>
      <c r="K154" s="448"/>
      <c r="L154" s="266" t="s">
        <v>1850</v>
      </c>
    </row>
    <row r="155" spans="1:12" ht="15.75" thickBot="1">
      <c r="A155" s="445"/>
      <c r="B155" s="264" t="s">
        <v>1851</v>
      </c>
      <c r="C155" s="265"/>
      <c r="D155" s="265"/>
      <c r="E155" s="448"/>
      <c r="F155" s="266" t="s">
        <v>1851</v>
      </c>
      <c r="G155" s="445"/>
      <c r="H155" s="264" t="s">
        <v>1851</v>
      </c>
      <c r="I155" s="265"/>
      <c r="J155" s="265"/>
      <c r="K155" s="448"/>
      <c r="L155" s="266" t="s">
        <v>1851</v>
      </c>
    </row>
    <row r="156" spans="1:12" ht="15.75" thickBot="1">
      <c r="A156" s="445"/>
      <c r="B156" s="264" t="s">
        <v>1852</v>
      </c>
      <c r="C156" s="265"/>
      <c r="D156" s="265"/>
      <c r="E156" s="448"/>
      <c r="F156" s="266" t="s">
        <v>1852</v>
      </c>
      <c r="G156" s="445"/>
      <c r="H156" s="264" t="s">
        <v>1852</v>
      </c>
      <c r="I156" s="265"/>
      <c r="J156" s="265"/>
      <c r="K156" s="448"/>
      <c r="L156" s="266" t="s">
        <v>1852</v>
      </c>
    </row>
    <row r="157" spans="1:12" ht="15.75" thickBot="1">
      <c r="A157" s="445"/>
      <c r="B157" s="264" t="s">
        <v>1853</v>
      </c>
      <c r="C157" s="265"/>
      <c r="D157" s="265"/>
      <c r="E157" s="448"/>
      <c r="F157" s="266" t="s">
        <v>1853</v>
      </c>
      <c r="G157" s="445"/>
      <c r="H157" s="264" t="s">
        <v>1853</v>
      </c>
      <c r="I157" s="265"/>
      <c r="J157" s="265"/>
      <c r="K157" s="448"/>
      <c r="L157" s="266" t="s">
        <v>1853</v>
      </c>
    </row>
    <row r="158" spans="1:12" ht="15.75" thickBot="1">
      <c r="A158" s="445"/>
      <c r="B158" s="264" t="s">
        <v>1854</v>
      </c>
      <c r="C158" s="265"/>
      <c r="D158" s="265"/>
      <c r="E158" s="448"/>
      <c r="F158" s="266" t="s">
        <v>1854</v>
      </c>
      <c r="G158" s="445"/>
      <c r="H158" s="264" t="s">
        <v>1854</v>
      </c>
      <c r="I158" s="265"/>
      <c r="J158" s="265"/>
      <c r="K158" s="448"/>
      <c r="L158" s="266" t="s">
        <v>1854</v>
      </c>
    </row>
    <row r="159" spans="1:12" ht="15.75" thickBot="1">
      <c r="A159" s="445"/>
      <c r="B159" s="264" t="s">
        <v>1855</v>
      </c>
      <c r="C159" s="265"/>
      <c r="D159" s="265"/>
      <c r="E159" s="448"/>
      <c r="F159" s="266" t="s">
        <v>1855</v>
      </c>
      <c r="G159" s="445"/>
      <c r="H159" s="264" t="s">
        <v>1855</v>
      </c>
      <c r="I159" s="265"/>
      <c r="J159" s="265"/>
      <c r="K159" s="448"/>
      <c r="L159" s="266" t="s">
        <v>1855</v>
      </c>
    </row>
    <row r="160" spans="1:12" ht="15.75" thickBot="1">
      <c r="A160" s="445"/>
      <c r="B160" s="264" t="s">
        <v>1856</v>
      </c>
      <c r="C160" s="265"/>
      <c r="D160" s="265"/>
      <c r="E160" s="448"/>
      <c r="F160" s="266" t="s">
        <v>1856</v>
      </c>
      <c r="G160" s="445"/>
      <c r="H160" s="264" t="s">
        <v>1856</v>
      </c>
      <c r="I160" s="265"/>
      <c r="J160" s="265"/>
      <c r="K160" s="448"/>
      <c r="L160" s="266" t="s">
        <v>1856</v>
      </c>
    </row>
    <row r="161" spans="1:12" ht="26.25" thickBot="1">
      <c r="A161" s="445"/>
      <c r="B161" s="264" t="s">
        <v>1857</v>
      </c>
      <c r="C161" s="265"/>
      <c r="D161" s="265"/>
      <c r="E161" s="448"/>
      <c r="F161" s="266" t="s">
        <v>1858</v>
      </c>
      <c r="G161" s="445"/>
      <c r="H161" s="264" t="s">
        <v>1857</v>
      </c>
      <c r="I161" s="265"/>
      <c r="J161" s="265"/>
      <c r="K161" s="448"/>
      <c r="L161" s="266" t="s">
        <v>1858</v>
      </c>
    </row>
    <row r="162" spans="1:12" ht="15.75" thickBot="1">
      <c r="A162" s="446"/>
      <c r="B162" s="264" t="s">
        <v>1859</v>
      </c>
      <c r="C162" s="265"/>
      <c r="D162" s="265"/>
      <c r="E162" s="449"/>
      <c r="F162" s="266" t="s">
        <v>1860</v>
      </c>
      <c r="G162" s="446"/>
      <c r="H162" s="264" t="s">
        <v>1859</v>
      </c>
      <c r="I162" s="265"/>
      <c r="J162" s="265"/>
      <c r="K162" s="449"/>
      <c r="L162" s="266" t="s">
        <v>1860</v>
      </c>
    </row>
    <row r="163" spans="1:12" ht="15.75" thickBot="1">
      <c r="A163" s="444" t="s">
        <v>2195</v>
      </c>
      <c r="B163" s="264" t="s">
        <v>1845</v>
      </c>
      <c r="C163" s="265"/>
      <c r="D163" s="265"/>
      <c r="E163" s="447" t="s">
        <v>2195</v>
      </c>
      <c r="F163" s="266" t="s">
        <v>1845</v>
      </c>
      <c r="G163" s="444" t="s">
        <v>2195</v>
      </c>
      <c r="H163" s="264" t="s">
        <v>1845</v>
      </c>
      <c r="I163" s="265"/>
      <c r="J163" s="265"/>
      <c r="K163" s="447" t="s">
        <v>2195</v>
      </c>
      <c r="L163" s="266" t="s">
        <v>1845</v>
      </c>
    </row>
    <row r="164" spans="1:12" ht="15.75" thickBot="1">
      <c r="A164" s="445"/>
      <c r="B164" s="264" t="s">
        <v>1847</v>
      </c>
      <c r="C164" s="265"/>
      <c r="D164" s="265"/>
      <c r="E164" s="448"/>
      <c r="F164" s="266" t="s">
        <v>1847</v>
      </c>
      <c r="G164" s="445"/>
      <c r="H164" s="264" t="s">
        <v>1847</v>
      </c>
      <c r="I164" s="265"/>
      <c r="J164" s="265"/>
      <c r="K164" s="448"/>
      <c r="L164" s="266" t="s">
        <v>1847</v>
      </c>
    </row>
    <row r="165" spans="1:12" ht="15.75" thickBot="1">
      <c r="A165" s="445"/>
      <c r="B165" s="264" t="s">
        <v>1848</v>
      </c>
      <c r="C165" s="265"/>
      <c r="D165" s="265"/>
      <c r="E165" s="448"/>
      <c r="F165" s="266" t="s">
        <v>1848</v>
      </c>
      <c r="G165" s="445"/>
      <c r="H165" s="264" t="s">
        <v>1848</v>
      </c>
      <c r="I165" s="265"/>
      <c r="J165" s="265"/>
      <c r="K165" s="448"/>
      <c r="L165" s="266" t="s">
        <v>1848</v>
      </c>
    </row>
    <row r="166" spans="1:12" ht="15.75" thickBot="1">
      <c r="A166" s="445"/>
      <c r="B166" s="264" t="s">
        <v>1849</v>
      </c>
      <c r="C166" s="265"/>
      <c r="D166" s="265"/>
      <c r="E166" s="448"/>
      <c r="F166" s="266" t="s">
        <v>1849</v>
      </c>
      <c r="G166" s="445"/>
      <c r="H166" s="264" t="s">
        <v>1849</v>
      </c>
      <c r="I166" s="265"/>
      <c r="J166" s="265"/>
      <c r="K166" s="448"/>
      <c r="L166" s="266" t="s">
        <v>1849</v>
      </c>
    </row>
    <row r="167" spans="1:12" ht="15.75" thickBot="1">
      <c r="A167" s="445"/>
      <c r="B167" s="264" t="s">
        <v>1850</v>
      </c>
      <c r="C167" s="265"/>
      <c r="D167" s="265"/>
      <c r="E167" s="448"/>
      <c r="F167" s="266" t="s">
        <v>1850</v>
      </c>
      <c r="G167" s="445"/>
      <c r="H167" s="264" t="s">
        <v>1850</v>
      </c>
      <c r="I167" s="265"/>
      <c r="J167" s="265"/>
      <c r="K167" s="448"/>
      <c r="L167" s="266" t="s">
        <v>1850</v>
      </c>
    </row>
    <row r="168" spans="1:12" ht="15.75" thickBot="1">
      <c r="A168" s="445"/>
      <c r="B168" s="264" t="s">
        <v>1851</v>
      </c>
      <c r="C168" s="265"/>
      <c r="D168" s="265"/>
      <c r="E168" s="448"/>
      <c r="F168" s="266" t="s">
        <v>1851</v>
      </c>
      <c r="G168" s="445"/>
      <c r="H168" s="264" t="s">
        <v>1851</v>
      </c>
      <c r="I168" s="265"/>
      <c r="J168" s="265"/>
      <c r="K168" s="448"/>
      <c r="L168" s="266" t="s">
        <v>1851</v>
      </c>
    </row>
    <row r="169" spans="1:12" ht="15.75" thickBot="1">
      <c r="A169" s="445"/>
      <c r="B169" s="264" t="s">
        <v>1852</v>
      </c>
      <c r="C169" s="265"/>
      <c r="D169" s="265"/>
      <c r="E169" s="448"/>
      <c r="F169" s="266" t="s">
        <v>1852</v>
      </c>
      <c r="G169" s="445"/>
      <c r="H169" s="264" t="s">
        <v>1852</v>
      </c>
      <c r="I169" s="265"/>
      <c r="J169" s="265"/>
      <c r="K169" s="448"/>
      <c r="L169" s="266" t="s">
        <v>1852</v>
      </c>
    </row>
    <row r="170" spans="1:12" ht="15.75" thickBot="1">
      <c r="A170" s="445"/>
      <c r="B170" s="264" t="s">
        <v>1853</v>
      </c>
      <c r="C170" s="265"/>
      <c r="D170" s="265"/>
      <c r="E170" s="448"/>
      <c r="F170" s="266" t="s">
        <v>1853</v>
      </c>
      <c r="G170" s="445"/>
      <c r="H170" s="264" t="s">
        <v>1853</v>
      </c>
      <c r="I170" s="265"/>
      <c r="J170" s="265"/>
      <c r="K170" s="448"/>
      <c r="L170" s="266" t="s">
        <v>1853</v>
      </c>
    </row>
    <row r="171" spans="1:12" ht="15.75" thickBot="1">
      <c r="A171" s="445"/>
      <c r="B171" s="264" t="s">
        <v>1854</v>
      </c>
      <c r="C171" s="265"/>
      <c r="D171" s="265"/>
      <c r="E171" s="448"/>
      <c r="F171" s="266" t="s">
        <v>1854</v>
      </c>
      <c r="G171" s="445"/>
      <c r="H171" s="264" t="s">
        <v>1854</v>
      </c>
      <c r="I171" s="265"/>
      <c r="J171" s="265"/>
      <c r="K171" s="448"/>
      <c r="L171" s="266" t="s">
        <v>1854</v>
      </c>
    </row>
    <row r="172" spans="1:12" ht="15.75" thickBot="1">
      <c r="A172" s="445"/>
      <c r="B172" s="264" t="s">
        <v>1855</v>
      </c>
      <c r="C172" s="265"/>
      <c r="D172" s="265"/>
      <c r="E172" s="448"/>
      <c r="F172" s="266" t="s">
        <v>1855</v>
      </c>
      <c r="G172" s="445"/>
      <c r="H172" s="264" t="s">
        <v>1855</v>
      </c>
      <c r="I172" s="265"/>
      <c r="J172" s="265"/>
      <c r="K172" s="448"/>
      <c r="L172" s="266" t="s">
        <v>1855</v>
      </c>
    </row>
    <row r="173" spans="1:12" ht="15.75" thickBot="1">
      <c r="A173" s="445"/>
      <c r="B173" s="264" t="s">
        <v>1856</v>
      </c>
      <c r="C173" s="265"/>
      <c r="D173" s="265"/>
      <c r="E173" s="448"/>
      <c r="F173" s="266" t="s">
        <v>1856</v>
      </c>
      <c r="G173" s="445"/>
      <c r="H173" s="264" t="s">
        <v>1856</v>
      </c>
      <c r="I173" s="265"/>
      <c r="J173" s="265"/>
      <c r="K173" s="448"/>
      <c r="L173" s="266" t="s">
        <v>1856</v>
      </c>
    </row>
    <row r="174" spans="1:12" ht="26.25" thickBot="1">
      <c r="A174" s="445"/>
      <c r="B174" s="264" t="s">
        <v>1857</v>
      </c>
      <c r="C174" s="265"/>
      <c r="D174" s="265"/>
      <c r="E174" s="448"/>
      <c r="F174" s="266" t="s">
        <v>1858</v>
      </c>
      <c r="G174" s="445"/>
      <c r="H174" s="264" t="s">
        <v>1857</v>
      </c>
      <c r="I174" s="265"/>
      <c r="J174" s="265"/>
      <c r="K174" s="448"/>
      <c r="L174" s="266" t="s">
        <v>1858</v>
      </c>
    </row>
    <row r="175" spans="1:12" ht="15.75" thickBot="1">
      <c r="A175" s="446"/>
      <c r="B175" s="264" t="s">
        <v>1859</v>
      </c>
      <c r="C175" s="265"/>
      <c r="D175" s="265"/>
      <c r="E175" s="449"/>
      <c r="F175" s="266" t="s">
        <v>1860</v>
      </c>
      <c r="G175" s="446"/>
      <c r="H175" s="264" t="s">
        <v>1859</v>
      </c>
      <c r="I175" s="265"/>
      <c r="J175" s="265"/>
      <c r="K175" s="449"/>
      <c r="L175" s="266" t="s">
        <v>1860</v>
      </c>
    </row>
    <row r="176" spans="1:12" ht="15.75" thickBot="1">
      <c r="A176" s="444" t="s">
        <v>2196</v>
      </c>
      <c r="B176" s="264" t="s">
        <v>1845</v>
      </c>
      <c r="C176" s="265"/>
      <c r="D176" s="265"/>
      <c r="E176" s="447" t="s">
        <v>2196</v>
      </c>
      <c r="F176" s="266" t="s">
        <v>1845</v>
      </c>
      <c r="G176" s="444" t="s">
        <v>2196</v>
      </c>
      <c r="H176" s="264" t="s">
        <v>1845</v>
      </c>
      <c r="I176" s="265"/>
      <c r="J176" s="265"/>
      <c r="K176" s="447" t="s">
        <v>2196</v>
      </c>
      <c r="L176" s="266" t="s">
        <v>1845</v>
      </c>
    </row>
    <row r="177" spans="1:12" ht="15.75" thickBot="1">
      <c r="A177" s="445"/>
      <c r="B177" s="264" t="s">
        <v>1847</v>
      </c>
      <c r="C177" s="265"/>
      <c r="D177" s="265"/>
      <c r="E177" s="448"/>
      <c r="F177" s="266" t="s">
        <v>1847</v>
      </c>
      <c r="G177" s="445"/>
      <c r="H177" s="264" t="s">
        <v>1847</v>
      </c>
      <c r="I177" s="265"/>
      <c r="J177" s="265"/>
      <c r="K177" s="448"/>
      <c r="L177" s="266" t="s">
        <v>1847</v>
      </c>
    </row>
    <row r="178" spans="1:12" ht="15.75" thickBot="1">
      <c r="A178" s="445"/>
      <c r="B178" s="264" t="s">
        <v>1848</v>
      </c>
      <c r="C178" s="265"/>
      <c r="D178" s="265"/>
      <c r="E178" s="448"/>
      <c r="F178" s="266" t="s">
        <v>1848</v>
      </c>
      <c r="G178" s="445"/>
      <c r="H178" s="264" t="s">
        <v>1848</v>
      </c>
      <c r="I178" s="265"/>
      <c r="J178" s="265"/>
      <c r="K178" s="448"/>
      <c r="L178" s="266" t="s">
        <v>1848</v>
      </c>
    </row>
    <row r="179" spans="1:12" ht="15.75" thickBot="1">
      <c r="A179" s="445"/>
      <c r="B179" s="264" t="s">
        <v>1849</v>
      </c>
      <c r="C179" s="265"/>
      <c r="D179" s="265"/>
      <c r="E179" s="448"/>
      <c r="F179" s="266" t="s">
        <v>1849</v>
      </c>
      <c r="G179" s="445"/>
      <c r="H179" s="264" t="s">
        <v>1849</v>
      </c>
      <c r="I179" s="265"/>
      <c r="J179" s="265"/>
      <c r="K179" s="448"/>
      <c r="L179" s="266" t="s">
        <v>1849</v>
      </c>
    </row>
    <row r="180" spans="1:12" ht="15.75" thickBot="1">
      <c r="A180" s="445"/>
      <c r="B180" s="264" t="s">
        <v>1850</v>
      </c>
      <c r="C180" s="265"/>
      <c r="D180" s="265"/>
      <c r="E180" s="448"/>
      <c r="F180" s="266" t="s">
        <v>1850</v>
      </c>
      <c r="G180" s="445"/>
      <c r="H180" s="264" t="s">
        <v>1850</v>
      </c>
      <c r="I180" s="265"/>
      <c r="J180" s="265"/>
      <c r="K180" s="448"/>
      <c r="L180" s="266" t="s">
        <v>1850</v>
      </c>
    </row>
    <row r="181" spans="1:12" ht="15.75" thickBot="1">
      <c r="A181" s="445"/>
      <c r="B181" s="264" t="s">
        <v>1851</v>
      </c>
      <c r="C181" s="265"/>
      <c r="D181" s="265"/>
      <c r="E181" s="448"/>
      <c r="F181" s="266" t="s">
        <v>1851</v>
      </c>
      <c r="G181" s="445"/>
      <c r="H181" s="264" t="s">
        <v>1851</v>
      </c>
      <c r="I181" s="265"/>
      <c r="J181" s="265"/>
      <c r="K181" s="448"/>
      <c r="L181" s="266" t="s">
        <v>1851</v>
      </c>
    </row>
    <row r="182" spans="1:12" ht="15.75" thickBot="1">
      <c r="A182" s="445"/>
      <c r="B182" s="264" t="s">
        <v>1852</v>
      </c>
      <c r="C182" s="265"/>
      <c r="D182" s="265"/>
      <c r="E182" s="448"/>
      <c r="F182" s="266" t="s">
        <v>1852</v>
      </c>
      <c r="G182" s="445"/>
      <c r="H182" s="264" t="s">
        <v>1852</v>
      </c>
      <c r="I182" s="265"/>
      <c r="J182" s="265"/>
      <c r="K182" s="448"/>
      <c r="L182" s="266" t="s">
        <v>1852</v>
      </c>
    </row>
    <row r="183" spans="1:12" ht="15.75" thickBot="1">
      <c r="A183" s="445"/>
      <c r="B183" s="264" t="s">
        <v>1853</v>
      </c>
      <c r="C183" s="265"/>
      <c r="D183" s="265"/>
      <c r="E183" s="448"/>
      <c r="F183" s="266" t="s">
        <v>1853</v>
      </c>
      <c r="G183" s="445"/>
      <c r="H183" s="264" t="s">
        <v>1853</v>
      </c>
      <c r="I183" s="265"/>
      <c r="J183" s="265"/>
      <c r="K183" s="448"/>
      <c r="L183" s="266" t="s">
        <v>1853</v>
      </c>
    </row>
    <row r="184" spans="1:12" ht="15.75" thickBot="1">
      <c r="A184" s="445"/>
      <c r="B184" s="264" t="s">
        <v>1854</v>
      </c>
      <c r="C184" s="265"/>
      <c r="D184" s="265"/>
      <c r="E184" s="448"/>
      <c r="F184" s="266" t="s">
        <v>1854</v>
      </c>
      <c r="G184" s="445"/>
      <c r="H184" s="264" t="s">
        <v>1854</v>
      </c>
      <c r="I184" s="265"/>
      <c r="J184" s="265"/>
      <c r="K184" s="448"/>
      <c r="L184" s="266" t="s">
        <v>1854</v>
      </c>
    </row>
    <row r="185" spans="1:12" ht="15.75" thickBot="1">
      <c r="A185" s="445"/>
      <c r="B185" s="264" t="s">
        <v>1855</v>
      </c>
      <c r="C185" s="265"/>
      <c r="D185" s="265"/>
      <c r="E185" s="448"/>
      <c r="F185" s="266" t="s">
        <v>1855</v>
      </c>
      <c r="G185" s="445"/>
      <c r="H185" s="264" t="s">
        <v>1855</v>
      </c>
      <c r="I185" s="265"/>
      <c r="J185" s="265"/>
      <c r="K185" s="448"/>
      <c r="L185" s="266" t="s">
        <v>1855</v>
      </c>
    </row>
    <row r="186" spans="1:12" ht="15.75" thickBot="1">
      <c r="A186" s="445"/>
      <c r="B186" s="264" t="s">
        <v>1856</v>
      </c>
      <c r="C186" s="265"/>
      <c r="D186" s="265"/>
      <c r="E186" s="448"/>
      <c r="F186" s="266" t="s">
        <v>1856</v>
      </c>
      <c r="G186" s="445"/>
      <c r="H186" s="264" t="s">
        <v>1856</v>
      </c>
      <c r="I186" s="265"/>
      <c r="J186" s="265"/>
      <c r="K186" s="448"/>
      <c r="L186" s="266" t="s">
        <v>1856</v>
      </c>
    </row>
    <row r="187" spans="1:12" ht="26.25" thickBot="1">
      <c r="A187" s="445"/>
      <c r="B187" s="264" t="s">
        <v>1857</v>
      </c>
      <c r="C187" s="265"/>
      <c r="D187" s="265"/>
      <c r="E187" s="448"/>
      <c r="F187" s="266" t="s">
        <v>1858</v>
      </c>
      <c r="G187" s="445"/>
      <c r="H187" s="264" t="s">
        <v>1857</v>
      </c>
      <c r="I187" s="265"/>
      <c r="J187" s="265"/>
      <c r="K187" s="448"/>
      <c r="L187" s="266" t="s">
        <v>1858</v>
      </c>
    </row>
    <row r="188" spans="1:12" ht="15.75" thickBot="1">
      <c r="A188" s="446"/>
      <c r="B188" s="264" t="s">
        <v>1859</v>
      </c>
      <c r="C188" s="265"/>
      <c r="D188" s="265"/>
      <c r="E188" s="449"/>
      <c r="F188" s="266" t="s">
        <v>1860</v>
      </c>
      <c r="G188" s="446"/>
      <c r="H188" s="264" t="s">
        <v>1859</v>
      </c>
      <c r="I188" s="265"/>
      <c r="J188" s="265"/>
      <c r="K188" s="449"/>
      <c r="L188" s="266" t="s">
        <v>1860</v>
      </c>
    </row>
    <row r="189" spans="1:12" ht="15.75" thickBot="1">
      <c r="A189" s="444" t="s">
        <v>2197</v>
      </c>
      <c r="B189" s="264" t="s">
        <v>1845</v>
      </c>
      <c r="C189" s="265"/>
      <c r="D189" s="265"/>
      <c r="E189" s="447" t="s">
        <v>2197</v>
      </c>
      <c r="F189" s="266" t="s">
        <v>1845</v>
      </c>
      <c r="G189" s="444" t="s">
        <v>2197</v>
      </c>
      <c r="H189" s="264" t="s">
        <v>1845</v>
      </c>
      <c r="I189" s="265"/>
      <c r="J189" s="265"/>
      <c r="K189" s="447" t="s">
        <v>2197</v>
      </c>
      <c r="L189" s="266" t="s">
        <v>1845</v>
      </c>
    </row>
    <row r="190" spans="1:12" ht="15.75" thickBot="1">
      <c r="A190" s="445"/>
      <c r="B190" s="264" t="s">
        <v>1847</v>
      </c>
      <c r="C190" s="265"/>
      <c r="D190" s="265"/>
      <c r="E190" s="448"/>
      <c r="F190" s="266" t="s">
        <v>1847</v>
      </c>
      <c r="G190" s="445"/>
      <c r="H190" s="264" t="s">
        <v>1847</v>
      </c>
      <c r="I190" s="265"/>
      <c r="J190" s="265"/>
      <c r="K190" s="448"/>
      <c r="L190" s="266" t="s">
        <v>1847</v>
      </c>
    </row>
    <row r="191" spans="1:12" ht="15.75" thickBot="1">
      <c r="A191" s="445"/>
      <c r="B191" s="264" t="s">
        <v>1848</v>
      </c>
      <c r="C191" s="265"/>
      <c r="D191" s="265"/>
      <c r="E191" s="448"/>
      <c r="F191" s="266" t="s">
        <v>1848</v>
      </c>
      <c r="G191" s="445"/>
      <c r="H191" s="264" t="s">
        <v>1848</v>
      </c>
      <c r="I191" s="265"/>
      <c r="J191" s="265"/>
      <c r="K191" s="448"/>
      <c r="L191" s="266" t="s">
        <v>1848</v>
      </c>
    </row>
    <row r="192" spans="1:12" ht="15.75" thickBot="1">
      <c r="A192" s="445"/>
      <c r="B192" s="264" t="s">
        <v>1849</v>
      </c>
      <c r="C192" s="265"/>
      <c r="D192" s="265"/>
      <c r="E192" s="448"/>
      <c r="F192" s="266" t="s">
        <v>1849</v>
      </c>
      <c r="G192" s="445"/>
      <c r="H192" s="264" t="s">
        <v>1849</v>
      </c>
      <c r="I192" s="265"/>
      <c r="J192" s="265"/>
      <c r="K192" s="448"/>
      <c r="L192" s="266" t="s">
        <v>1849</v>
      </c>
    </row>
    <row r="193" spans="1:12" ht="15.75" thickBot="1">
      <c r="A193" s="445"/>
      <c r="B193" s="264" t="s">
        <v>1850</v>
      </c>
      <c r="C193" s="265"/>
      <c r="D193" s="265"/>
      <c r="E193" s="448"/>
      <c r="F193" s="266" t="s">
        <v>1850</v>
      </c>
      <c r="G193" s="445"/>
      <c r="H193" s="264" t="s">
        <v>1850</v>
      </c>
      <c r="I193" s="265"/>
      <c r="J193" s="265"/>
      <c r="K193" s="448"/>
      <c r="L193" s="266" t="s">
        <v>1850</v>
      </c>
    </row>
    <row r="194" spans="1:12" ht="15.75" thickBot="1">
      <c r="A194" s="445"/>
      <c r="B194" s="264" t="s">
        <v>1851</v>
      </c>
      <c r="C194" s="265"/>
      <c r="D194" s="265"/>
      <c r="E194" s="448"/>
      <c r="F194" s="266" t="s">
        <v>1851</v>
      </c>
      <c r="G194" s="445"/>
      <c r="H194" s="264" t="s">
        <v>1851</v>
      </c>
      <c r="I194" s="265"/>
      <c r="J194" s="265"/>
      <c r="K194" s="448"/>
      <c r="L194" s="266" t="s">
        <v>1851</v>
      </c>
    </row>
    <row r="195" spans="1:12" ht="15.75" thickBot="1">
      <c r="A195" s="445"/>
      <c r="B195" s="264" t="s">
        <v>1852</v>
      </c>
      <c r="C195" s="265"/>
      <c r="D195" s="265"/>
      <c r="E195" s="448"/>
      <c r="F195" s="266" t="s">
        <v>1852</v>
      </c>
      <c r="G195" s="445"/>
      <c r="H195" s="264" t="s">
        <v>1852</v>
      </c>
      <c r="I195" s="265"/>
      <c r="J195" s="265"/>
      <c r="K195" s="448"/>
      <c r="L195" s="266" t="s">
        <v>1852</v>
      </c>
    </row>
    <row r="196" spans="1:12" ht="15.75" thickBot="1">
      <c r="A196" s="445"/>
      <c r="B196" s="264" t="s">
        <v>1853</v>
      </c>
      <c r="C196" s="265"/>
      <c r="D196" s="265"/>
      <c r="E196" s="448"/>
      <c r="F196" s="266" t="s">
        <v>1853</v>
      </c>
      <c r="G196" s="445"/>
      <c r="H196" s="264" t="s">
        <v>1853</v>
      </c>
      <c r="I196" s="265"/>
      <c r="J196" s="265"/>
      <c r="K196" s="448"/>
      <c r="L196" s="266" t="s">
        <v>1853</v>
      </c>
    </row>
    <row r="197" spans="1:12" ht="15.75" thickBot="1">
      <c r="A197" s="445"/>
      <c r="B197" s="264" t="s">
        <v>1854</v>
      </c>
      <c r="C197" s="265"/>
      <c r="D197" s="265"/>
      <c r="E197" s="448"/>
      <c r="F197" s="266" t="s">
        <v>1854</v>
      </c>
      <c r="G197" s="445"/>
      <c r="H197" s="264" t="s">
        <v>1854</v>
      </c>
      <c r="I197" s="265"/>
      <c r="J197" s="265"/>
      <c r="K197" s="448"/>
      <c r="L197" s="266" t="s">
        <v>1854</v>
      </c>
    </row>
    <row r="198" spans="1:12" ht="15.75" thickBot="1">
      <c r="A198" s="445"/>
      <c r="B198" s="264" t="s">
        <v>1855</v>
      </c>
      <c r="C198" s="265"/>
      <c r="D198" s="265"/>
      <c r="E198" s="448"/>
      <c r="F198" s="266" t="s">
        <v>1855</v>
      </c>
      <c r="G198" s="445"/>
      <c r="H198" s="264" t="s">
        <v>1855</v>
      </c>
      <c r="I198" s="265"/>
      <c r="J198" s="265"/>
      <c r="K198" s="448"/>
      <c r="L198" s="266" t="s">
        <v>1855</v>
      </c>
    </row>
    <row r="199" spans="1:12" ht="15.75" thickBot="1">
      <c r="A199" s="445"/>
      <c r="B199" s="264" t="s">
        <v>1856</v>
      </c>
      <c r="C199" s="265"/>
      <c r="D199" s="265"/>
      <c r="E199" s="448"/>
      <c r="F199" s="266" t="s">
        <v>1856</v>
      </c>
      <c r="G199" s="445"/>
      <c r="H199" s="264" t="s">
        <v>1856</v>
      </c>
      <c r="I199" s="265"/>
      <c r="J199" s="265"/>
      <c r="K199" s="448"/>
      <c r="L199" s="266" t="s">
        <v>1856</v>
      </c>
    </row>
    <row r="200" spans="1:12" ht="26.25" thickBot="1">
      <c r="A200" s="445"/>
      <c r="B200" s="264" t="s">
        <v>1857</v>
      </c>
      <c r="C200" s="265"/>
      <c r="D200" s="265"/>
      <c r="E200" s="448"/>
      <c r="F200" s="266" t="s">
        <v>1858</v>
      </c>
      <c r="G200" s="445"/>
      <c r="H200" s="264" t="s">
        <v>1857</v>
      </c>
      <c r="I200" s="265"/>
      <c r="J200" s="265"/>
      <c r="K200" s="448"/>
      <c r="L200" s="266" t="s">
        <v>1858</v>
      </c>
    </row>
    <row r="201" spans="1:12" ht="15.75" thickBot="1">
      <c r="A201" s="446"/>
      <c r="B201" s="264" t="s">
        <v>1859</v>
      </c>
      <c r="C201" s="265"/>
      <c r="D201" s="265"/>
      <c r="E201" s="449"/>
      <c r="F201" s="266" t="s">
        <v>1860</v>
      </c>
      <c r="G201" s="446"/>
      <c r="H201" s="264" t="s">
        <v>1859</v>
      </c>
      <c r="I201" s="265"/>
      <c r="J201" s="265"/>
      <c r="K201" s="449"/>
      <c r="L201" s="266" t="s">
        <v>1860</v>
      </c>
    </row>
    <row r="202" spans="1:12" ht="15.75" thickBot="1">
      <c r="A202" s="444" t="s">
        <v>2198</v>
      </c>
      <c r="B202" s="264" t="s">
        <v>1845</v>
      </c>
      <c r="C202" s="265"/>
      <c r="D202" s="265"/>
      <c r="E202" s="447" t="s">
        <v>2198</v>
      </c>
      <c r="F202" s="266" t="s">
        <v>1845</v>
      </c>
      <c r="G202" s="444" t="s">
        <v>2198</v>
      </c>
      <c r="H202" s="264" t="s">
        <v>1845</v>
      </c>
      <c r="I202" s="265"/>
      <c r="J202" s="265"/>
      <c r="K202" s="447" t="s">
        <v>2198</v>
      </c>
      <c r="L202" s="266" t="s">
        <v>1845</v>
      </c>
    </row>
    <row r="203" spans="1:12" ht="15.75" thickBot="1">
      <c r="A203" s="445"/>
      <c r="B203" s="264" t="s">
        <v>1847</v>
      </c>
      <c r="C203" s="265"/>
      <c r="D203" s="265"/>
      <c r="E203" s="448"/>
      <c r="F203" s="266" t="s">
        <v>1847</v>
      </c>
      <c r="G203" s="445"/>
      <c r="H203" s="264" t="s">
        <v>1847</v>
      </c>
      <c r="I203" s="265"/>
      <c r="J203" s="265"/>
      <c r="K203" s="448"/>
      <c r="L203" s="266" t="s">
        <v>1847</v>
      </c>
    </row>
    <row r="204" spans="1:12" ht="15.75" thickBot="1">
      <c r="A204" s="445"/>
      <c r="B204" s="264" t="s">
        <v>1848</v>
      </c>
      <c r="C204" s="265"/>
      <c r="D204" s="265"/>
      <c r="E204" s="448"/>
      <c r="F204" s="266" t="s">
        <v>1848</v>
      </c>
      <c r="G204" s="445"/>
      <c r="H204" s="264" t="s">
        <v>1848</v>
      </c>
      <c r="I204" s="265"/>
      <c r="J204" s="265"/>
      <c r="K204" s="448"/>
      <c r="L204" s="266" t="s">
        <v>1848</v>
      </c>
    </row>
    <row r="205" spans="1:12" ht="15.75" thickBot="1">
      <c r="A205" s="445"/>
      <c r="B205" s="264" t="s">
        <v>1849</v>
      </c>
      <c r="C205" s="265"/>
      <c r="D205" s="265"/>
      <c r="E205" s="448"/>
      <c r="F205" s="266" t="s">
        <v>1849</v>
      </c>
      <c r="G205" s="445"/>
      <c r="H205" s="264" t="s">
        <v>1849</v>
      </c>
      <c r="I205" s="265"/>
      <c r="J205" s="265"/>
      <c r="K205" s="448"/>
      <c r="L205" s="266" t="s">
        <v>1849</v>
      </c>
    </row>
    <row r="206" spans="1:12" ht="15.75" thickBot="1">
      <c r="A206" s="445"/>
      <c r="B206" s="264" t="s">
        <v>1850</v>
      </c>
      <c r="C206" s="265"/>
      <c r="D206" s="265"/>
      <c r="E206" s="448"/>
      <c r="F206" s="266" t="s">
        <v>1850</v>
      </c>
      <c r="G206" s="445"/>
      <c r="H206" s="264" t="s">
        <v>1850</v>
      </c>
      <c r="I206" s="265"/>
      <c r="J206" s="265"/>
      <c r="K206" s="448"/>
      <c r="L206" s="266" t="s">
        <v>1850</v>
      </c>
    </row>
    <row r="207" spans="1:12" ht="15.75" thickBot="1">
      <c r="A207" s="445"/>
      <c r="B207" s="264" t="s">
        <v>1851</v>
      </c>
      <c r="C207" s="265"/>
      <c r="D207" s="265"/>
      <c r="E207" s="448"/>
      <c r="F207" s="266" t="s">
        <v>1851</v>
      </c>
      <c r="G207" s="445"/>
      <c r="H207" s="264" t="s">
        <v>1851</v>
      </c>
      <c r="I207" s="265"/>
      <c r="J207" s="265"/>
      <c r="K207" s="448"/>
      <c r="L207" s="266" t="s">
        <v>1851</v>
      </c>
    </row>
    <row r="208" spans="1:12" ht="15.75" thickBot="1">
      <c r="A208" s="445"/>
      <c r="B208" s="264" t="s">
        <v>1852</v>
      </c>
      <c r="C208" s="265"/>
      <c r="D208" s="265"/>
      <c r="E208" s="448"/>
      <c r="F208" s="266" t="s">
        <v>1852</v>
      </c>
      <c r="G208" s="445"/>
      <c r="H208" s="264" t="s">
        <v>1852</v>
      </c>
      <c r="I208" s="265"/>
      <c r="J208" s="265"/>
      <c r="K208" s="448"/>
      <c r="L208" s="266" t="s">
        <v>1852</v>
      </c>
    </row>
    <row r="209" spans="1:12" ht="15.75" thickBot="1">
      <c r="A209" s="445"/>
      <c r="B209" s="264" t="s">
        <v>1853</v>
      </c>
      <c r="C209" s="265"/>
      <c r="D209" s="265"/>
      <c r="E209" s="448"/>
      <c r="F209" s="266" t="s">
        <v>1853</v>
      </c>
      <c r="G209" s="445"/>
      <c r="H209" s="264" t="s">
        <v>1853</v>
      </c>
      <c r="I209" s="265"/>
      <c r="J209" s="265"/>
      <c r="K209" s="448"/>
      <c r="L209" s="266" t="s">
        <v>1853</v>
      </c>
    </row>
    <row r="210" spans="1:12" ht="15.75" thickBot="1">
      <c r="A210" s="445"/>
      <c r="B210" s="264" t="s">
        <v>1854</v>
      </c>
      <c r="C210" s="265"/>
      <c r="D210" s="265"/>
      <c r="E210" s="448"/>
      <c r="F210" s="266" t="s">
        <v>1854</v>
      </c>
      <c r="G210" s="445"/>
      <c r="H210" s="264" t="s">
        <v>1854</v>
      </c>
      <c r="I210" s="265"/>
      <c r="J210" s="265"/>
      <c r="K210" s="448"/>
      <c r="L210" s="266" t="s">
        <v>1854</v>
      </c>
    </row>
    <row r="211" spans="1:12" ht="15.75" thickBot="1">
      <c r="A211" s="445"/>
      <c r="B211" s="264" t="s">
        <v>1855</v>
      </c>
      <c r="C211" s="265"/>
      <c r="D211" s="265"/>
      <c r="E211" s="448"/>
      <c r="F211" s="266" t="s">
        <v>1855</v>
      </c>
      <c r="G211" s="445"/>
      <c r="H211" s="264" t="s">
        <v>1855</v>
      </c>
      <c r="I211" s="265"/>
      <c r="J211" s="265"/>
      <c r="K211" s="448"/>
      <c r="L211" s="266" t="s">
        <v>1855</v>
      </c>
    </row>
    <row r="212" spans="1:12" ht="15.75" thickBot="1">
      <c r="A212" s="445"/>
      <c r="B212" s="264" t="s">
        <v>1856</v>
      </c>
      <c r="C212" s="265"/>
      <c r="D212" s="265"/>
      <c r="E212" s="448"/>
      <c r="F212" s="266" t="s">
        <v>1856</v>
      </c>
      <c r="G212" s="445"/>
      <c r="H212" s="264" t="s">
        <v>1856</v>
      </c>
      <c r="I212" s="265"/>
      <c r="J212" s="265"/>
      <c r="K212" s="448"/>
      <c r="L212" s="266" t="s">
        <v>1856</v>
      </c>
    </row>
    <row r="213" spans="1:12" ht="26.25" thickBot="1">
      <c r="A213" s="445"/>
      <c r="B213" s="264" t="s">
        <v>1857</v>
      </c>
      <c r="C213" s="265"/>
      <c r="D213" s="265"/>
      <c r="E213" s="448"/>
      <c r="F213" s="266" t="s">
        <v>1858</v>
      </c>
      <c r="G213" s="445"/>
      <c r="H213" s="264" t="s">
        <v>1857</v>
      </c>
      <c r="I213" s="265"/>
      <c r="J213" s="265"/>
      <c r="K213" s="448"/>
      <c r="L213" s="266" t="s">
        <v>1858</v>
      </c>
    </row>
    <row r="214" spans="1:12" ht="15.75" thickBot="1">
      <c r="A214" s="446"/>
      <c r="B214" s="264" t="s">
        <v>1859</v>
      </c>
      <c r="C214" s="265"/>
      <c r="D214" s="265"/>
      <c r="E214" s="449"/>
      <c r="F214" s="266" t="s">
        <v>1860</v>
      </c>
      <c r="G214" s="446"/>
      <c r="H214" s="264" t="s">
        <v>1859</v>
      </c>
      <c r="I214" s="265"/>
      <c r="J214" s="265"/>
      <c r="K214" s="449"/>
      <c r="L214" s="266" t="s">
        <v>1860</v>
      </c>
    </row>
    <row r="215" spans="1:12" ht="15.75" thickBot="1">
      <c r="A215" s="444" t="s">
        <v>2199</v>
      </c>
      <c r="B215" s="264" t="s">
        <v>1845</v>
      </c>
      <c r="C215" s="265"/>
      <c r="D215" s="265"/>
      <c r="E215" s="447" t="s">
        <v>2199</v>
      </c>
      <c r="F215" s="266" t="s">
        <v>1845</v>
      </c>
      <c r="G215" s="444" t="s">
        <v>2199</v>
      </c>
      <c r="H215" s="264" t="s">
        <v>1845</v>
      </c>
      <c r="I215" s="265"/>
      <c r="J215" s="265"/>
      <c r="K215" s="447" t="s">
        <v>2199</v>
      </c>
      <c r="L215" s="266" t="s">
        <v>1845</v>
      </c>
    </row>
    <row r="216" spans="1:12" ht="15.75" thickBot="1">
      <c r="A216" s="445"/>
      <c r="B216" s="264" t="s">
        <v>1847</v>
      </c>
      <c r="C216" s="265"/>
      <c r="D216" s="265"/>
      <c r="E216" s="448"/>
      <c r="F216" s="266" t="s">
        <v>1847</v>
      </c>
      <c r="G216" s="445"/>
      <c r="H216" s="264" t="s">
        <v>1847</v>
      </c>
      <c r="I216" s="265"/>
      <c r="J216" s="265"/>
      <c r="K216" s="448"/>
      <c r="L216" s="266" t="s">
        <v>1847</v>
      </c>
    </row>
    <row r="217" spans="1:12" ht="15.75" thickBot="1">
      <c r="A217" s="445"/>
      <c r="B217" s="264" t="s">
        <v>1848</v>
      </c>
      <c r="C217" s="265"/>
      <c r="D217" s="265"/>
      <c r="E217" s="448"/>
      <c r="F217" s="266" t="s">
        <v>1848</v>
      </c>
      <c r="G217" s="445"/>
      <c r="H217" s="264" t="s">
        <v>1848</v>
      </c>
      <c r="I217" s="265"/>
      <c r="J217" s="265"/>
      <c r="K217" s="448"/>
      <c r="L217" s="266" t="s">
        <v>1848</v>
      </c>
    </row>
    <row r="218" spans="1:12" ht="15.75" thickBot="1">
      <c r="A218" s="445"/>
      <c r="B218" s="264" t="s">
        <v>1849</v>
      </c>
      <c r="C218" s="265"/>
      <c r="D218" s="265"/>
      <c r="E218" s="448"/>
      <c r="F218" s="266" t="s">
        <v>1849</v>
      </c>
      <c r="G218" s="445"/>
      <c r="H218" s="264" t="s">
        <v>1849</v>
      </c>
      <c r="I218" s="265"/>
      <c r="J218" s="265"/>
      <c r="K218" s="448"/>
      <c r="L218" s="266" t="s">
        <v>1849</v>
      </c>
    </row>
    <row r="219" spans="1:12" ht="15.75" thickBot="1">
      <c r="A219" s="445"/>
      <c r="B219" s="264" t="s">
        <v>1850</v>
      </c>
      <c r="C219" s="265"/>
      <c r="D219" s="265"/>
      <c r="E219" s="448"/>
      <c r="F219" s="266" t="s">
        <v>1850</v>
      </c>
      <c r="G219" s="445"/>
      <c r="H219" s="264" t="s">
        <v>1850</v>
      </c>
      <c r="I219" s="265"/>
      <c r="J219" s="265"/>
      <c r="K219" s="448"/>
      <c r="L219" s="266" t="s">
        <v>1850</v>
      </c>
    </row>
    <row r="220" spans="1:12" ht="15.75" thickBot="1">
      <c r="A220" s="445"/>
      <c r="B220" s="264" t="s">
        <v>1851</v>
      </c>
      <c r="C220" s="265"/>
      <c r="D220" s="265"/>
      <c r="E220" s="448"/>
      <c r="F220" s="266" t="s">
        <v>1851</v>
      </c>
      <c r="G220" s="445"/>
      <c r="H220" s="264" t="s">
        <v>1851</v>
      </c>
      <c r="I220" s="265"/>
      <c r="J220" s="265"/>
      <c r="K220" s="448"/>
      <c r="L220" s="266" t="s">
        <v>1851</v>
      </c>
    </row>
    <row r="221" spans="1:12" ht="15.75" thickBot="1">
      <c r="A221" s="445"/>
      <c r="B221" s="264" t="s">
        <v>1852</v>
      </c>
      <c r="C221" s="265"/>
      <c r="D221" s="265"/>
      <c r="E221" s="448"/>
      <c r="F221" s="266" t="s">
        <v>1852</v>
      </c>
      <c r="G221" s="445"/>
      <c r="H221" s="264" t="s">
        <v>1852</v>
      </c>
      <c r="I221" s="265"/>
      <c r="J221" s="265"/>
      <c r="K221" s="448"/>
      <c r="L221" s="266" t="s">
        <v>1852</v>
      </c>
    </row>
    <row r="222" spans="1:12" ht="15.75" thickBot="1">
      <c r="A222" s="445"/>
      <c r="B222" s="264" t="s">
        <v>1853</v>
      </c>
      <c r="C222" s="265"/>
      <c r="D222" s="265"/>
      <c r="E222" s="448"/>
      <c r="F222" s="266" t="s">
        <v>1853</v>
      </c>
      <c r="G222" s="445"/>
      <c r="H222" s="264" t="s">
        <v>1853</v>
      </c>
      <c r="I222" s="265"/>
      <c r="J222" s="265"/>
      <c r="K222" s="448"/>
      <c r="L222" s="266" t="s">
        <v>1853</v>
      </c>
    </row>
    <row r="223" spans="1:12" ht="15.75" thickBot="1">
      <c r="A223" s="445"/>
      <c r="B223" s="264" t="s">
        <v>1854</v>
      </c>
      <c r="C223" s="265"/>
      <c r="D223" s="265"/>
      <c r="E223" s="448"/>
      <c r="F223" s="266" t="s">
        <v>1854</v>
      </c>
      <c r="G223" s="445"/>
      <c r="H223" s="264" t="s">
        <v>1854</v>
      </c>
      <c r="I223" s="265"/>
      <c r="J223" s="265"/>
      <c r="K223" s="448"/>
      <c r="L223" s="266" t="s">
        <v>1854</v>
      </c>
    </row>
    <row r="224" spans="1:12" ht="15.75" thickBot="1">
      <c r="A224" s="445"/>
      <c r="B224" s="264" t="s">
        <v>1855</v>
      </c>
      <c r="C224" s="265"/>
      <c r="D224" s="265"/>
      <c r="E224" s="448"/>
      <c r="F224" s="266" t="s">
        <v>1855</v>
      </c>
      <c r="G224" s="445"/>
      <c r="H224" s="264" t="s">
        <v>1855</v>
      </c>
      <c r="I224" s="265"/>
      <c r="J224" s="265"/>
      <c r="K224" s="448"/>
      <c r="L224" s="266" t="s">
        <v>1855</v>
      </c>
    </row>
    <row r="225" spans="1:12" ht="15.75" thickBot="1">
      <c r="A225" s="445"/>
      <c r="B225" s="264" t="s">
        <v>1856</v>
      </c>
      <c r="C225" s="265"/>
      <c r="D225" s="265"/>
      <c r="E225" s="448"/>
      <c r="F225" s="266" t="s">
        <v>1856</v>
      </c>
      <c r="G225" s="445"/>
      <c r="H225" s="264" t="s">
        <v>1856</v>
      </c>
      <c r="I225" s="265"/>
      <c r="J225" s="265"/>
      <c r="K225" s="448"/>
      <c r="L225" s="266" t="s">
        <v>1856</v>
      </c>
    </row>
    <row r="226" spans="1:12" ht="26.25" thickBot="1">
      <c r="A226" s="445"/>
      <c r="B226" s="264" t="s">
        <v>1857</v>
      </c>
      <c r="C226" s="265"/>
      <c r="D226" s="265"/>
      <c r="E226" s="448"/>
      <c r="F226" s="266" t="s">
        <v>1858</v>
      </c>
      <c r="G226" s="445"/>
      <c r="H226" s="264" t="s">
        <v>1857</v>
      </c>
      <c r="I226" s="265"/>
      <c r="J226" s="265"/>
      <c r="K226" s="448"/>
      <c r="L226" s="266" t="s">
        <v>1858</v>
      </c>
    </row>
    <row r="227" spans="1:12" ht="15.75" thickBot="1">
      <c r="A227" s="446"/>
      <c r="B227" s="264" t="s">
        <v>1859</v>
      </c>
      <c r="C227" s="265"/>
      <c r="D227" s="265"/>
      <c r="E227" s="449"/>
      <c r="F227" s="266" t="s">
        <v>1860</v>
      </c>
      <c r="G227" s="446"/>
      <c r="H227" s="264" t="s">
        <v>1859</v>
      </c>
      <c r="I227" s="265"/>
      <c r="J227" s="265"/>
      <c r="K227" s="449"/>
      <c r="L227" s="266" t="s">
        <v>1860</v>
      </c>
    </row>
    <row r="228" spans="1:12" ht="15.75" thickBot="1">
      <c r="A228" s="444" t="s">
        <v>2200</v>
      </c>
      <c r="B228" s="264" t="s">
        <v>1845</v>
      </c>
      <c r="C228" s="265"/>
      <c r="D228" s="265"/>
      <c r="E228" s="447" t="s">
        <v>2200</v>
      </c>
      <c r="F228" s="266" t="s">
        <v>1845</v>
      </c>
      <c r="G228" s="444" t="s">
        <v>2200</v>
      </c>
      <c r="H228" s="264" t="s">
        <v>1845</v>
      </c>
      <c r="I228" s="265"/>
      <c r="J228" s="265"/>
      <c r="K228" s="447" t="s">
        <v>2200</v>
      </c>
      <c r="L228" s="266" t="s">
        <v>1845</v>
      </c>
    </row>
    <row r="229" spans="1:12" ht="15.75" thickBot="1">
      <c r="A229" s="445"/>
      <c r="B229" s="264" t="s">
        <v>1847</v>
      </c>
      <c r="C229" s="265"/>
      <c r="D229" s="265"/>
      <c r="E229" s="448"/>
      <c r="F229" s="266" t="s">
        <v>1847</v>
      </c>
      <c r="G229" s="445"/>
      <c r="H229" s="264" t="s">
        <v>1847</v>
      </c>
      <c r="I229" s="265"/>
      <c r="J229" s="265"/>
      <c r="K229" s="448"/>
      <c r="L229" s="266" t="s">
        <v>1847</v>
      </c>
    </row>
    <row r="230" spans="1:12" ht="15.75" thickBot="1">
      <c r="A230" s="445"/>
      <c r="B230" s="264" t="s">
        <v>1848</v>
      </c>
      <c r="C230" s="265"/>
      <c r="D230" s="265"/>
      <c r="E230" s="448"/>
      <c r="F230" s="266" t="s">
        <v>1848</v>
      </c>
      <c r="G230" s="445"/>
      <c r="H230" s="264" t="s">
        <v>1848</v>
      </c>
      <c r="I230" s="265"/>
      <c r="J230" s="265"/>
      <c r="K230" s="448"/>
      <c r="L230" s="266" t="s">
        <v>1848</v>
      </c>
    </row>
    <row r="231" spans="1:12" ht="15.75" thickBot="1">
      <c r="A231" s="445"/>
      <c r="B231" s="264" t="s">
        <v>1849</v>
      </c>
      <c r="C231" s="265"/>
      <c r="D231" s="265"/>
      <c r="E231" s="448"/>
      <c r="F231" s="266" t="s">
        <v>1849</v>
      </c>
      <c r="G231" s="445"/>
      <c r="H231" s="264" t="s">
        <v>1849</v>
      </c>
      <c r="I231" s="265"/>
      <c r="J231" s="265"/>
      <c r="K231" s="448"/>
      <c r="L231" s="266" t="s">
        <v>1849</v>
      </c>
    </row>
    <row r="232" spans="1:12" ht="15.75" thickBot="1">
      <c r="A232" s="445"/>
      <c r="B232" s="264" t="s">
        <v>1850</v>
      </c>
      <c r="C232" s="265"/>
      <c r="D232" s="265"/>
      <c r="E232" s="448"/>
      <c r="F232" s="266" t="s">
        <v>1850</v>
      </c>
      <c r="G232" s="445"/>
      <c r="H232" s="264" t="s">
        <v>1850</v>
      </c>
      <c r="I232" s="265"/>
      <c r="J232" s="265"/>
      <c r="K232" s="448"/>
      <c r="L232" s="266" t="s">
        <v>1850</v>
      </c>
    </row>
    <row r="233" spans="1:12" ht="15.75" thickBot="1">
      <c r="A233" s="445"/>
      <c r="B233" s="264" t="s">
        <v>1851</v>
      </c>
      <c r="C233" s="265"/>
      <c r="D233" s="265"/>
      <c r="E233" s="448"/>
      <c r="F233" s="266" t="s">
        <v>1851</v>
      </c>
      <c r="G233" s="445"/>
      <c r="H233" s="264" t="s">
        <v>1851</v>
      </c>
      <c r="I233" s="265"/>
      <c r="J233" s="265"/>
      <c r="K233" s="448"/>
      <c r="L233" s="266" t="s">
        <v>1851</v>
      </c>
    </row>
    <row r="234" spans="1:12" ht="15.75" thickBot="1">
      <c r="A234" s="445"/>
      <c r="B234" s="264" t="s">
        <v>1852</v>
      </c>
      <c r="C234" s="265"/>
      <c r="D234" s="265"/>
      <c r="E234" s="448"/>
      <c r="F234" s="266" t="s">
        <v>1852</v>
      </c>
      <c r="G234" s="445"/>
      <c r="H234" s="264" t="s">
        <v>1852</v>
      </c>
      <c r="I234" s="265"/>
      <c r="J234" s="265"/>
      <c r="K234" s="448"/>
      <c r="L234" s="266" t="s">
        <v>1852</v>
      </c>
    </row>
    <row r="235" spans="1:12" ht="15.75" thickBot="1">
      <c r="A235" s="445"/>
      <c r="B235" s="264" t="s">
        <v>1853</v>
      </c>
      <c r="C235" s="265"/>
      <c r="D235" s="265"/>
      <c r="E235" s="448"/>
      <c r="F235" s="266" t="s">
        <v>1853</v>
      </c>
      <c r="G235" s="445"/>
      <c r="H235" s="264" t="s">
        <v>1853</v>
      </c>
      <c r="I235" s="265"/>
      <c r="J235" s="265"/>
      <c r="K235" s="448"/>
      <c r="L235" s="266" t="s">
        <v>1853</v>
      </c>
    </row>
    <row r="236" spans="1:12" ht="15.75" thickBot="1">
      <c r="A236" s="445"/>
      <c r="B236" s="264" t="s">
        <v>1854</v>
      </c>
      <c r="C236" s="265"/>
      <c r="D236" s="265"/>
      <c r="E236" s="448"/>
      <c r="F236" s="266" t="s">
        <v>1854</v>
      </c>
      <c r="G236" s="445"/>
      <c r="H236" s="264" t="s">
        <v>1854</v>
      </c>
      <c r="I236" s="265"/>
      <c r="J236" s="265"/>
      <c r="K236" s="448"/>
      <c r="L236" s="266" t="s">
        <v>1854</v>
      </c>
    </row>
    <row r="237" spans="1:12" ht="15.75" thickBot="1">
      <c r="A237" s="445"/>
      <c r="B237" s="264" t="s">
        <v>1855</v>
      </c>
      <c r="C237" s="265"/>
      <c r="D237" s="265"/>
      <c r="E237" s="448"/>
      <c r="F237" s="266" t="s">
        <v>1855</v>
      </c>
      <c r="G237" s="445"/>
      <c r="H237" s="264" t="s">
        <v>1855</v>
      </c>
      <c r="I237" s="265"/>
      <c r="J237" s="265"/>
      <c r="K237" s="448"/>
      <c r="L237" s="266" t="s">
        <v>1855</v>
      </c>
    </row>
    <row r="238" spans="1:12" ht="15.75" thickBot="1">
      <c r="A238" s="445"/>
      <c r="B238" s="264" t="s">
        <v>1856</v>
      </c>
      <c r="C238" s="265"/>
      <c r="D238" s="265"/>
      <c r="E238" s="448"/>
      <c r="F238" s="266" t="s">
        <v>1856</v>
      </c>
      <c r="G238" s="445"/>
      <c r="H238" s="264" t="s">
        <v>1856</v>
      </c>
      <c r="I238" s="265"/>
      <c r="J238" s="265"/>
      <c r="K238" s="448"/>
      <c r="L238" s="266" t="s">
        <v>1856</v>
      </c>
    </row>
    <row r="239" spans="1:12" ht="26.25" thickBot="1">
      <c r="A239" s="445"/>
      <c r="B239" s="264" t="s">
        <v>1857</v>
      </c>
      <c r="C239" s="265"/>
      <c r="D239" s="265"/>
      <c r="E239" s="448"/>
      <c r="F239" s="266" t="s">
        <v>1858</v>
      </c>
      <c r="G239" s="445"/>
      <c r="H239" s="264" t="s">
        <v>1857</v>
      </c>
      <c r="I239" s="265"/>
      <c r="J239" s="265"/>
      <c r="K239" s="448"/>
      <c r="L239" s="266" t="s">
        <v>1858</v>
      </c>
    </row>
    <row r="240" spans="1:12" ht="15.75" thickBot="1">
      <c r="A240" s="446"/>
      <c r="B240" s="264" t="s">
        <v>1859</v>
      </c>
      <c r="C240" s="265"/>
      <c r="D240" s="265"/>
      <c r="E240" s="449"/>
      <c r="F240" s="266" t="s">
        <v>1860</v>
      </c>
      <c r="G240" s="446"/>
      <c r="H240" s="264" t="s">
        <v>1859</v>
      </c>
      <c r="I240" s="265"/>
      <c r="J240" s="265"/>
      <c r="K240" s="449"/>
      <c r="L240" s="266" t="s">
        <v>1860</v>
      </c>
    </row>
    <row r="241" spans="1:12" ht="15.75" thickBot="1">
      <c r="A241" s="444" t="s">
        <v>2201</v>
      </c>
      <c r="B241" s="264" t="s">
        <v>1845</v>
      </c>
      <c r="C241" s="265"/>
      <c r="D241" s="265"/>
      <c r="E241" s="447" t="s">
        <v>2201</v>
      </c>
      <c r="F241" s="266" t="s">
        <v>1845</v>
      </c>
      <c r="G241" s="444" t="s">
        <v>2201</v>
      </c>
      <c r="H241" s="264" t="s">
        <v>1845</v>
      </c>
      <c r="I241" s="265"/>
      <c r="J241" s="265"/>
      <c r="K241" s="447" t="s">
        <v>2201</v>
      </c>
      <c r="L241" s="266" t="s">
        <v>1845</v>
      </c>
    </row>
    <row r="242" spans="1:12" ht="15.75" thickBot="1">
      <c r="A242" s="445"/>
      <c r="B242" s="264" t="s">
        <v>1847</v>
      </c>
      <c r="C242" s="265"/>
      <c r="D242" s="265"/>
      <c r="E242" s="448"/>
      <c r="F242" s="266" t="s">
        <v>1847</v>
      </c>
      <c r="G242" s="445"/>
      <c r="H242" s="264" t="s">
        <v>1847</v>
      </c>
      <c r="I242" s="265"/>
      <c r="J242" s="265"/>
      <c r="K242" s="448"/>
      <c r="L242" s="266" t="s">
        <v>1847</v>
      </c>
    </row>
    <row r="243" spans="1:12" ht="15.75" thickBot="1">
      <c r="A243" s="445"/>
      <c r="B243" s="264" t="s">
        <v>1848</v>
      </c>
      <c r="C243" s="265"/>
      <c r="D243" s="265"/>
      <c r="E243" s="448"/>
      <c r="F243" s="266" t="s">
        <v>1848</v>
      </c>
      <c r="G243" s="445"/>
      <c r="H243" s="264" t="s">
        <v>1848</v>
      </c>
      <c r="I243" s="265"/>
      <c r="J243" s="265"/>
      <c r="K243" s="448"/>
      <c r="L243" s="266" t="s">
        <v>1848</v>
      </c>
    </row>
    <row r="244" spans="1:12" ht="15.75" thickBot="1">
      <c r="A244" s="445"/>
      <c r="B244" s="264" t="s">
        <v>1849</v>
      </c>
      <c r="C244" s="265"/>
      <c r="D244" s="265"/>
      <c r="E244" s="448"/>
      <c r="F244" s="266" t="s">
        <v>1849</v>
      </c>
      <c r="G244" s="445"/>
      <c r="H244" s="264" t="s">
        <v>1849</v>
      </c>
      <c r="I244" s="265"/>
      <c r="J244" s="265"/>
      <c r="K244" s="448"/>
      <c r="L244" s="266" t="s">
        <v>1849</v>
      </c>
    </row>
    <row r="245" spans="1:12" ht="15.75" thickBot="1">
      <c r="A245" s="445"/>
      <c r="B245" s="264" t="s">
        <v>1850</v>
      </c>
      <c r="C245" s="265"/>
      <c r="D245" s="265"/>
      <c r="E245" s="448"/>
      <c r="F245" s="266" t="s">
        <v>1850</v>
      </c>
      <c r="G245" s="445"/>
      <c r="H245" s="264" t="s">
        <v>1850</v>
      </c>
      <c r="I245" s="265"/>
      <c r="J245" s="265"/>
      <c r="K245" s="448"/>
      <c r="L245" s="266" t="s">
        <v>1850</v>
      </c>
    </row>
    <row r="246" spans="1:12" ht="15.75" thickBot="1">
      <c r="A246" s="445"/>
      <c r="B246" s="264" t="s">
        <v>1851</v>
      </c>
      <c r="C246" s="265"/>
      <c r="D246" s="265"/>
      <c r="E246" s="448"/>
      <c r="F246" s="266" t="s">
        <v>1851</v>
      </c>
      <c r="G246" s="445"/>
      <c r="H246" s="264" t="s">
        <v>1851</v>
      </c>
      <c r="I246" s="265"/>
      <c r="J246" s="265"/>
      <c r="K246" s="448"/>
      <c r="L246" s="266" t="s">
        <v>1851</v>
      </c>
    </row>
    <row r="247" spans="1:12" ht="15.75" thickBot="1">
      <c r="A247" s="445"/>
      <c r="B247" s="264" t="s">
        <v>1852</v>
      </c>
      <c r="C247" s="265"/>
      <c r="D247" s="265"/>
      <c r="E247" s="448"/>
      <c r="F247" s="266" t="s">
        <v>1852</v>
      </c>
      <c r="G247" s="445"/>
      <c r="H247" s="264" t="s">
        <v>1852</v>
      </c>
      <c r="I247" s="265"/>
      <c r="J247" s="265"/>
      <c r="K247" s="448"/>
      <c r="L247" s="266" t="s">
        <v>1852</v>
      </c>
    </row>
    <row r="248" spans="1:12" ht="15.75" thickBot="1">
      <c r="A248" s="445"/>
      <c r="B248" s="264" t="s">
        <v>1853</v>
      </c>
      <c r="C248" s="265"/>
      <c r="D248" s="265"/>
      <c r="E248" s="448"/>
      <c r="F248" s="266" t="s">
        <v>1853</v>
      </c>
      <c r="G248" s="445"/>
      <c r="H248" s="264" t="s">
        <v>1853</v>
      </c>
      <c r="I248" s="265"/>
      <c r="J248" s="265"/>
      <c r="K248" s="448"/>
      <c r="L248" s="266" t="s">
        <v>1853</v>
      </c>
    </row>
    <row r="249" spans="1:12" ht="15.75" thickBot="1">
      <c r="A249" s="445"/>
      <c r="B249" s="264" t="s">
        <v>1854</v>
      </c>
      <c r="C249" s="265"/>
      <c r="D249" s="265"/>
      <c r="E249" s="448"/>
      <c r="F249" s="266" t="s">
        <v>1854</v>
      </c>
      <c r="G249" s="445"/>
      <c r="H249" s="264" t="s">
        <v>1854</v>
      </c>
      <c r="I249" s="265"/>
      <c r="J249" s="265"/>
      <c r="K249" s="448"/>
      <c r="L249" s="266" t="s">
        <v>1854</v>
      </c>
    </row>
    <row r="250" spans="1:12" ht="15.75" thickBot="1">
      <c r="A250" s="445"/>
      <c r="B250" s="264" t="s">
        <v>1855</v>
      </c>
      <c r="C250" s="265"/>
      <c r="D250" s="265"/>
      <c r="E250" s="448"/>
      <c r="F250" s="266" t="s">
        <v>1855</v>
      </c>
      <c r="G250" s="445"/>
      <c r="H250" s="264" t="s">
        <v>1855</v>
      </c>
      <c r="I250" s="265"/>
      <c r="J250" s="265"/>
      <c r="K250" s="448"/>
      <c r="L250" s="266" t="s">
        <v>1855</v>
      </c>
    </row>
    <row r="251" spans="1:12" ht="15.75" thickBot="1">
      <c r="A251" s="445"/>
      <c r="B251" s="264" t="s">
        <v>1856</v>
      </c>
      <c r="C251" s="265"/>
      <c r="D251" s="265"/>
      <c r="E251" s="448"/>
      <c r="F251" s="266" t="s">
        <v>1856</v>
      </c>
      <c r="G251" s="445"/>
      <c r="H251" s="264" t="s">
        <v>1856</v>
      </c>
      <c r="I251" s="265"/>
      <c r="J251" s="265"/>
      <c r="K251" s="448"/>
      <c r="L251" s="266" t="s">
        <v>1856</v>
      </c>
    </row>
    <row r="252" spans="1:12" ht="26.25" thickBot="1">
      <c r="A252" s="445"/>
      <c r="B252" s="264" t="s">
        <v>1857</v>
      </c>
      <c r="C252" s="265"/>
      <c r="D252" s="265"/>
      <c r="E252" s="448"/>
      <c r="F252" s="266" t="s">
        <v>1858</v>
      </c>
      <c r="G252" s="445"/>
      <c r="H252" s="264" t="s">
        <v>1857</v>
      </c>
      <c r="I252" s="265"/>
      <c r="J252" s="265"/>
      <c r="K252" s="448"/>
      <c r="L252" s="266" t="s">
        <v>1858</v>
      </c>
    </row>
    <row r="253" spans="1:12" ht="15.75" thickBot="1">
      <c r="A253" s="446"/>
      <c r="B253" s="264" t="s">
        <v>1859</v>
      </c>
      <c r="C253" s="265"/>
      <c r="D253" s="265"/>
      <c r="E253" s="449"/>
      <c r="F253" s="266" t="s">
        <v>1860</v>
      </c>
      <c r="G253" s="446"/>
      <c r="H253" s="264" t="s">
        <v>1859</v>
      </c>
      <c r="I253" s="265"/>
      <c r="J253" s="265"/>
      <c r="K253" s="449"/>
      <c r="L253" s="266" t="s">
        <v>1860</v>
      </c>
    </row>
    <row r="254" spans="1:12" ht="15.75" thickBot="1">
      <c r="A254" s="444" t="s">
        <v>2202</v>
      </c>
      <c r="B254" s="264" t="s">
        <v>1845</v>
      </c>
      <c r="C254" s="265"/>
      <c r="D254" s="265"/>
      <c r="E254" s="447" t="s">
        <v>2202</v>
      </c>
      <c r="F254" s="266" t="s">
        <v>1845</v>
      </c>
      <c r="G254" s="444" t="s">
        <v>2202</v>
      </c>
      <c r="H254" s="264" t="s">
        <v>1845</v>
      </c>
      <c r="I254" s="265"/>
      <c r="J254" s="265"/>
      <c r="K254" s="447" t="s">
        <v>2202</v>
      </c>
      <c r="L254" s="266" t="s">
        <v>1845</v>
      </c>
    </row>
    <row r="255" spans="1:12" ht="15.75" thickBot="1">
      <c r="A255" s="445"/>
      <c r="B255" s="264" t="s">
        <v>1847</v>
      </c>
      <c r="C255" s="265"/>
      <c r="D255" s="265"/>
      <c r="E255" s="448"/>
      <c r="F255" s="266" t="s">
        <v>1847</v>
      </c>
      <c r="G255" s="445"/>
      <c r="H255" s="264" t="s">
        <v>1847</v>
      </c>
      <c r="I255" s="265"/>
      <c r="J255" s="265"/>
      <c r="K255" s="448"/>
      <c r="L255" s="266" t="s">
        <v>1847</v>
      </c>
    </row>
    <row r="256" spans="1:12" ht="15.75" thickBot="1">
      <c r="A256" s="445"/>
      <c r="B256" s="264" t="s">
        <v>1848</v>
      </c>
      <c r="C256" s="265"/>
      <c r="D256" s="265"/>
      <c r="E256" s="448"/>
      <c r="F256" s="266" t="s">
        <v>1848</v>
      </c>
      <c r="G256" s="445"/>
      <c r="H256" s="264" t="s">
        <v>1848</v>
      </c>
      <c r="I256" s="265"/>
      <c r="J256" s="265"/>
      <c r="K256" s="448"/>
      <c r="L256" s="266" t="s">
        <v>1848</v>
      </c>
    </row>
    <row r="257" spans="1:12" ht="15.75" thickBot="1">
      <c r="A257" s="445"/>
      <c r="B257" s="264" t="s">
        <v>1849</v>
      </c>
      <c r="C257" s="265"/>
      <c r="D257" s="265"/>
      <c r="E257" s="448"/>
      <c r="F257" s="266" t="s">
        <v>1849</v>
      </c>
      <c r="G257" s="445"/>
      <c r="H257" s="264" t="s">
        <v>1849</v>
      </c>
      <c r="I257" s="265"/>
      <c r="J257" s="265"/>
      <c r="K257" s="448"/>
      <c r="L257" s="266" t="s">
        <v>1849</v>
      </c>
    </row>
    <row r="258" spans="1:12" ht="15.75" thickBot="1">
      <c r="A258" s="445"/>
      <c r="B258" s="264" t="s">
        <v>1850</v>
      </c>
      <c r="C258" s="265"/>
      <c r="D258" s="265"/>
      <c r="E258" s="448"/>
      <c r="F258" s="266" t="s">
        <v>1850</v>
      </c>
      <c r="G258" s="445"/>
      <c r="H258" s="264" t="s">
        <v>1850</v>
      </c>
      <c r="I258" s="265"/>
      <c r="J258" s="265"/>
      <c r="K258" s="448"/>
      <c r="L258" s="266" t="s">
        <v>1850</v>
      </c>
    </row>
    <row r="259" spans="1:12" ht="15.75" thickBot="1">
      <c r="A259" s="445"/>
      <c r="B259" s="264" t="s">
        <v>1851</v>
      </c>
      <c r="C259" s="265"/>
      <c r="D259" s="265"/>
      <c r="E259" s="448"/>
      <c r="F259" s="266" t="s">
        <v>1851</v>
      </c>
      <c r="G259" s="445"/>
      <c r="H259" s="264" t="s">
        <v>1851</v>
      </c>
      <c r="I259" s="265"/>
      <c r="J259" s="265"/>
      <c r="K259" s="448"/>
      <c r="L259" s="266" t="s">
        <v>1851</v>
      </c>
    </row>
    <row r="260" spans="1:12" ht="15.75" thickBot="1">
      <c r="A260" s="445"/>
      <c r="B260" s="264" t="s">
        <v>1852</v>
      </c>
      <c r="C260" s="265"/>
      <c r="D260" s="265"/>
      <c r="E260" s="448"/>
      <c r="F260" s="266" t="s">
        <v>1852</v>
      </c>
      <c r="G260" s="445"/>
      <c r="H260" s="264" t="s">
        <v>1852</v>
      </c>
      <c r="I260" s="265"/>
      <c r="J260" s="265"/>
      <c r="K260" s="448"/>
      <c r="L260" s="266" t="s">
        <v>1852</v>
      </c>
    </row>
    <row r="261" spans="1:12" ht="15.75" thickBot="1">
      <c r="A261" s="445"/>
      <c r="B261" s="264" t="s">
        <v>1853</v>
      </c>
      <c r="C261" s="265"/>
      <c r="D261" s="265"/>
      <c r="E261" s="448"/>
      <c r="F261" s="266" t="s">
        <v>1853</v>
      </c>
      <c r="G261" s="445"/>
      <c r="H261" s="264" t="s">
        <v>1853</v>
      </c>
      <c r="I261" s="265"/>
      <c r="J261" s="265"/>
      <c r="K261" s="448"/>
      <c r="L261" s="266" t="s">
        <v>1853</v>
      </c>
    </row>
    <row r="262" spans="1:12" ht="15.75" thickBot="1">
      <c r="A262" s="445"/>
      <c r="B262" s="264" t="s">
        <v>1854</v>
      </c>
      <c r="C262" s="265"/>
      <c r="D262" s="265"/>
      <c r="E262" s="448"/>
      <c r="F262" s="266" t="s">
        <v>1854</v>
      </c>
      <c r="G262" s="445"/>
      <c r="H262" s="264" t="s">
        <v>1854</v>
      </c>
      <c r="I262" s="265"/>
      <c r="J262" s="265"/>
      <c r="K262" s="448"/>
      <c r="L262" s="266" t="s">
        <v>1854</v>
      </c>
    </row>
    <row r="263" spans="1:12" ht="15.75" thickBot="1">
      <c r="A263" s="445"/>
      <c r="B263" s="264" t="s">
        <v>1855</v>
      </c>
      <c r="C263" s="265"/>
      <c r="D263" s="265"/>
      <c r="E263" s="448"/>
      <c r="F263" s="266" t="s">
        <v>1855</v>
      </c>
      <c r="G263" s="445"/>
      <c r="H263" s="264" t="s">
        <v>1855</v>
      </c>
      <c r="I263" s="265"/>
      <c r="J263" s="265"/>
      <c r="K263" s="448"/>
      <c r="L263" s="266" t="s">
        <v>1855</v>
      </c>
    </row>
    <row r="264" spans="1:12" ht="15.75" thickBot="1">
      <c r="A264" s="445"/>
      <c r="B264" s="264" t="s">
        <v>1856</v>
      </c>
      <c r="C264" s="265"/>
      <c r="D264" s="265"/>
      <c r="E264" s="448"/>
      <c r="F264" s="266" t="s">
        <v>1856</v>
      </c>
      <c r="G264" s="445"/>
      <c r="H264" s="264" t="s">
        <v>1856</v>
      </c>
      <c r="I264" s="265"/>
      <c r="J264" s="265"/>
      <c r="K264" s="448"/>
      <c r="L264" s="266" t="s">
        <v>1856</v>
      </c>
    </row>
    <row r="265" spans="1:12" ht="26.25" thickBot="1">
      <c r="A265" s="445"/>
      <c r="B265" s="264" t="s">
        <v>1857</v>
      </c>
      <c r="C265" s="265"/>
      <c r="D265" s="265"/>
      <c r="E265" s="448"/>
      <c r="F265" s="266" t="s">
        <v>1858</v>
      </c>
      <c r="G265" s="445"/>
      <c r="H265" s="264" t="s">
        <v>1857</v>
      </c>
      <c r="I265" s="265"/>
      <c r="J265" s="265"/>
      <c r="K265" s="448"/>
      <c r="L265" s="266" t="s">
        <v>1858</v>
      </c>
    </row>
    <row r="266" spans="1:12" ht="15.75" thickBot="1">
      <c r="A266" s="446"/>
      <c r="B266" s="264" t="s">
        <v>1859</v>
      </c>
      <c r="C266" s="265"/>
      <c r="D266" s="265"/>
      <c r="E266" s="449"/>
      <c r="F266" s="266" t="s">
        <v>1860</v>
      </c>
      <c r="G266" s="446"/>
      <c r="H266" s="264" t="s">
        <v>1859</v>
      </c>
      <c r="I266" s="265"/>
      <c r="J266" s="265"/>
      <c r="K266" s="449"/>
      <c r="L266" s="266" t="s">
        <v>1860</v>
      </c>
    </row>
    <row r="267" spans="1:12" ht="15.75" thickBot="1">
      <c r="A267" s="444" t="s">
        <v>2203</v>
      </c>
      <c r="B267" s="264" t="s">
        <v>1845</v>
      </c>
      <c r="C267" s="265"/>
      <c r="D267" s="265"/>
      <c r="E267" s="447" t="s">
        <v>2204</v>
      </c>
      <c r="F267" s="266" t="s">
        <v>1845</v>
      </c>
      <c r="G267" s="444" t="s">
        <v>2203</v>
      </c>
      <c r="H267" s="264" t="s">
        <v>1845</v>
      </c>
      <c r="I267" s="265"/>
      <c r="J267" s="265"/>
      <c r="K267" s="447" t="s">
        <v>2204</v>
      </c>
      <c r="L267" s="266" t="s">
        <v>1845</v>
      </c>
    </row>
    <row r="268" spans="1:12" ht="15.75" thickBot="1">
      <c r="A268" s="445"/>
      <c r="B268" s="264" t="s">
        <v>1847</v>
      </c>
      <c r="C268" s="265"/>
      <c r="D268" s="265"/>
      <c r="E268" s="448"/>
      <c r="F268" s="266" t="s">
        <v>1847</v>
      </c>
      <c r="G268" s="445"/>
      <c r="H268" s="264" t="s">
        <v>1847</v>
      </c>
      <c r="I268" s="265"/>
      <c r="J268" s="265"/>
      <c r="K268" s="448"/>
      <c r="L268" s="266" t="s">
        <v>1847</v>
      </c>
    </row>
    <row r="269" spans="1:12" ht="15.75" thickBot="1">
      <c r="A269" s="445"/>
      <c r="B269" s="264" t="s">
        <v>1848</v>
      </c>
      <c r="C269" s="265"/>
      <c r="D269" s="265"/>
      <c r="E269" s="448"/>
      <c r="F269" s="266" t="s">
        <v>1848</v>
      </c>
      <c r="G269" s="445"/>
      <c r="H269" s="264" t="s">
        <v>1848</v>
      </c>
      <c r="I269" s="265"/>
      <c r="J269" s="265"/>
      <c r="K269" s="448"/>
      <c r="L269" s="266" t="s">
        <v>1848</v>
      </c>
    </row>
    <row r="270" spans="1:12" ht="15.75" thickBot="1">
      <c r="A270" s="445"/>
      <c r="B270" s="264" t="s">
        <v>1849</v>
      </c>
      <c r="C270" s="265"/>
      <c r="D270" s="265"/>
      <c r="E270" s="448"/>
      <c r="F270" s="266" t="s">
        <v>1849</v>
      </c>
      <c r="G270" s="445"/>
      <c r="H270" s="264" t="s">
        <v>1849</v>
      </c>
      <c r="I270" s="265"/>
      <c r="J270" s="265"/>
      <c r="K270" s="448"/>
      <c r="L270" s="266" t="s">
        <v>1849</v>
      </c>
    </row>
    <row r="271" spans="1:12" ht="15.75" thickBot="1">
      <c r="A271" s="445"/>
      <c r="B271" s="264" t="s">
        <v>1850</v>
      </c>
      <c r="C271" s="265"/>
      <c r="D271" s="265"/>
      <c r="E271" s="448"/>
      <c r="F271" s="266" t="s">
        <v>1850</v>
      </c>
      <c r="G271" s="445"/>
      <c r="H271" s="264" t="s">
        <v>1850</v>
      </c>
      <c r="I271" s="265"/>
      <c r="J271" s="265"/>
      <c r="K271" s="448"/>
      <c r="L271" s="266" t="s">
        <v>1850</v>
      </c>
    </row>
    <row r="272" spans="1:12" ht="15.75" thickBot="1">
      <c r="A272" s="445"/>
      <c r="B272" s="264" t="s">
        <v>1851</v>
      </c>
      <c r="C272" s="265"/>
      <c r="D272" s="265"/>
      <c r="E272" s="448"/>
      <c r="F272" s="266" t="s">
        <v>1851</v>
      </c>
      <c r="G272" s="445"/>
      <c r="H272" s="264" t="s">
        <v>1851</v>
      </c>
      <c r="I272" s="265"/>
      <c r="J272" s="265"/>
      <c r="K272" s="448"/>
      <c r="L272" s="266" t="s">
        <v>1851</v>
      </c>
    </row>
    <row r="273" spans="1:12" ht="15.75" thickBot="1">
      <c r="A273" s="445"/>
      <c r="B273" s="264" t="s">
        <v>1852</v>
      </c>
      <c r="C273" s="265"/>
      <c r="D273" s="265"/>
      <c r="E273" s="448"/>
      <c r="F273" s="266" t="s">
        <v>1852</v>
      </c>
      <c r="G273" s="445"/>
      <c r="H273" s="264" t="s">
        <v>1852</v>
      </c>
      <c r="I273" s="265"/>
      <c r="J273" s="265"/>
      <c r="K273" s="448"/>
      <c r="L273" s="266" t="s">
        <v>1852</v>
      </c>
    </row>
    <row r="274" spans="1:12" ht="15.75" thickBot="1">
      <c r="A274" s="445"/>
      <c r="B274" s="264" t="s">
        <v>1853</v>
      </c>
      <c r="C274" s="265"/>
      <c r="D274" s="265"/>
      <c r="E274" s="448"/>
      <c r="F274" s="266" t="s">
        <v>1853</v>
      </c>
      <c r="G274" s="445"/>
      <c r="H274" s="264" t="s">
        <v>1853</v>
      </c>
      <c r="I274" s="265"/>
      <c r="J274" s="265"/>
      <c r="K274" s="448"/>
      <c r="L274" s="266" t="s">
        <v>1853</v>
      </c>
    </row>
    <row r="275" spans="1:12" ht="15.75" thickBot="1">
      <c r="A275" s="445"/>
      <c r="B275" s="264" t="s">
        <v>1854</v>
      </c>
      <c r="C275" s="265"/>
      <c r="D275" s="265"/>
      <c r="E275" s="448"/>
      <c r="F275" s="266" t="s">
        <v>1854</v>
      </c>
      <c r="G275" s="445"/>
      <c r="H275" s="264" t="s">
        <v>1854</v>
      </c>
      <c r="I275" s="265"/>
      <c r="J275" s="265"/>
      <c r="K275" s="448"/>
      <c r="L275" s="266" t="s">
        <v>1854</v>
      </c>
    </row>
    <row r="276" spans="1:12" ht="15.75" thickBot="1">
      <c r="A276" s="445"/>
      <c r="B276" s="264" t="s">
        <v>1855</v>
      </c>
      <c r="C276" s="265"/>
      <c r="D276" s="265"/>
      <c r="E276" s="448"/>
      <c r="F276" s="266" t="s">
        <v>1855</v>
      </c>
      <c r="G276" s="445"/>
      <c r="H276" s="264" t="s">
        <v>1855</v>
      </c>
      <c r="I276" s="265"/>
      <c r="J276" s="265"/>
      <c r="K276" s="448"/>
      <c r="L276" s="266" t="s">
        <v>1855</v>
      </c>
    </row>
    <row r="277" spans="1:12" ht="15.75" thickBot="1">
      <c r="A277" s="445"/>
      <c r="B277" s="264" t="s">
        <v>1856</v>
      </c>
      <c r="C277" s="265"/>
      <c r="D277" s="265"/>
      <c r="E277" s="448"/>
      <c r="F277" s="266" t="s">
        <v>1856</v>
      </c>
      <c r="G277" s="445"/>
      <c r="H277" s="264" t="s">
        <v>1856</v>
      </c>
      <c r="I277" s="265"/>
      <c r="J277" s="265"/>
      <c r="K277" s="448"/>
      <c r="L277" s="266" t="s">
        <v>1856</v>
      </c>
    </row>
    <row r="278" spans="1:12" ht="26.25" thickBot="1">
      <c r="A278" s="445"/>
      <c r="B278" s="264" t="s">
        <v>1857</v>
      </c>
      <c r="C278" s="265"/>
      <c r="D278" s="265"/>
      <c r="E278" s="448"/>
      <c r="F278" s="266" t="s">
        <v>1858</v>
      </c>
      <c r="G278" s="445"/>
      <c r="H278" s="264" t="s">
        <v>1857</v>
      </c>
      <c r="I278" s="265"/>
      <c r="J278" s="265"/>
      <c r="K278" s="448"/>
      <c r="L278" s="266" t="s">
        <v>1858</v>
      </c>
    </row>
    <row r="279" spans="1:12" ht="15.75" thickBot="1">
      <c r="A279" s="446"/>
      <c r="B279" s="264" t="s">
        <v>1859</v>
      </c>
      <c r="C279" s="265"/>
      <c r="D279" s="265"/>
      <c r="E279" s="449"/>
      <c r="F279" s="266" t="s">
        <v>1860</v>
      </c>
      <c r="G279" s="446"/>
      <c r="H279" s="264" t="s">
        <v>1859</v>
      </c>
      <c r="I279" s="265"/>
      <c r="J279" s="265"/>
      <c r="K279" s="449"/>
      <c r="L279" s="266" t="s">
        <v>1860</v>
      </c>
    </row>
    <row r="280" spans="1:12" ht="15.75" thickBot="1">
      <c r="A280" s="444" t="s">
        <v>2205</v>
      </c>
      <c r="B280" s="264" t="s">
        <v>1845</v>
      </c>
      <c r="C280" s="265"/>
      <c r="D280" s="265"/>
      <c r="E280" s="447" t="s">
        <v>2206</v>
      </c>
      <c r="F280" s="266" t="s">
        <v>1845</v>
      </c>
      <c r="G280" s="444" t="s">
        <v>2205</v>
      </c>
      <c r="H280" s="264" t="s">
        <v>1845</v>
      </c>
      <c r="I280" s="265"/>
      <c r="J280" s="265"/>
      <c r="K280" s="447" t="s">
        <v>2206</v>
      </c>
      <c r="L280" s="266" t="s">
        <v>1845</v>
      </c>
    </row>
    <row r="281" spans="1:12" ht="15.75" thickBot="1">
      <c r="A281" s="445"/>
      <c r="B281" s="264" t="s">
        <v>1847</v>
      </c>
      <c r="C281" s="265"/>
      <c r="D281" s="265"/>
      <c r="E281" s="448"/>
      <c r="F281" s="266" t="s">
        <v>1847</v>
      </c>
      <c r="G281" s="445"/>
      <c r="H281" s="264" t="s">
        <v>1847</v>
      </c>
      <c r="I281" s="265"/>
      <c r="J281" s="265"/>
      <c r="K281" s="448"/>
      <c r="L281" s="266" t="s">
        <v>1847</v>
      </c>
    </row>
    <row r="282" spans="1:12" ht="15.75" thickBot="1">
      <c r="A282" s="445"/>
      <c r="B282" s="264" t="s">
        <v>1848</v>
      </c>
      <c r="C282" s="265"/>
      <c r="D282" s="265"/>
      <c r="E282" s="448"/>
      <c r="F282" s="266" t="s">
        <v>1848</v>
      </c>
      <c r="G282" s="445"/>
      <c r="H282" s="264" t="s">
        <v>1848</v>
      </c>
      <c r="I282" s="265"/>
      <c r="J282" s="265"/>
      <c r="K282" s="448"/>
      <c r="L282" s="266" t="s">
        <v>1848</v>
      </c>
    </row>
    <row r="283" spans="1:12" ht="15.75" thickBot="1">
      <c r="A283" s="445"/>
      <c r="B283" s="264" t="s">
        <v>1849</v>
      </c>
      <c r="C283" s="265"/>
      <c r="D283" s="265"/>
      <c r="E283" s="448"/>
      <c r="F283" s="266" t="s">
        <v>1849</v>
      </c>
      <c r="G283" s="445"/>
      <c r="H283" s="264" t="s">
        <v>1849</v>
      </c>
      <c r="I283" s="265"/>
      <c r="J283" s="265"/>
      <c r="K283" s="448"/>
      <c r="L283" s="266" t="s">
        <v>1849</v>
      </c>
    </row>
    <row r="284" spans="1:12" ht="15.75" thickBot="1">
      <c r="A284" s="445"/>
      <c r="B284" s="264" t="s">
        <v>1850</v>
      </c>
      <c r="C284" s="265"/>
      <c r="D284" s="265"/>
      <c r="E284" s="448"/>
      <c r="F284" s="266" t="s">
        <v>1850</v>
      </c>
      <c r="G284" s="445"/>
      <c r="H284" s="264" t="s">
        <v>1850</v>
      </c>
      <c r="I284" s="265"/>
      <c r="J284" s="265"/>
      <c r="K284" s="448"/>
      <c r="L284" s="266" t="s">
        <v>1850</v>
      </c>
    </row>
    <row r="285" spans="1:12" ht="15.75" thickBot="1">
      <c r="A285" s="445"/>
      <c r="B285" s="264" t="s">
        <v>1851</v>
      </c>
      <c r="C285" s="265"/>
      <c r="D285" s="265"/>
      <c r="E285" s="448"/>
      <c r="F285" s="266" t="s">
        <v>1851</v>
      </c>
      <c r="G285" s="445"/>
      <c r="H285" s="264" t="s">
        <v>1851</v>
      </c>
      <c r="I285" s="265"/>
      <c r="J285" s="265"/>
      <c r="K285" s="448"/>
      <c r="L285" s="266" t="s">
        <v>1851</v>
      </c>
    </row>
    <row r="286" spans="1:12" ht="15.75" thickBot="1">
      <c r="A286" s="445"/>
      <c r="B286" s="264" t="s">
        <v>1852</v>
      </c>
      <c r="C286" s="265"/>
      <c r="D286" s="265"/>
      <c r="E286" s="448"/>
      <c r="F286" s="266" t="s">
        <v>1852</v>
      </c>
      <c r="G286" s="445"/>
      <c r="H286" s="264" t="s">
        <v>1852</v>
      </c>
      <c r="I286" s="265"/>
      <c r="J286" s="265"/>
      <c r="K286" s="448"/>
      <c r="L286" s="266" t="s">
        <v>1852</v>
      </c>
    </row>
    <row r="287" spans="1:12" ht="15.75" thickBot="1">
      <c r="A287" s="445"/>
      <c r="B287" s="264" t="s">
        <v>1853</v>
      </c>
      <c r="C287" s="265"/>
      <c r="D287" s="265"/>
      <c r="E287" s="448"/>
      <c r="F287" s="266" t="s">
        <v>1853</v>
      </c>
      <c r="G287" s="445"/>
      <c r="H287" s="264" t="s">
        <v>1853</v>
      </c>
      <c r="I287" s="265"/>
      <c r="J287" s="265"/>
      <c r="K287" s="448"/>
      <c r="L287" s="266" t="s">
        <v>1853</v>
      </c>
    </row>
    <row r="288" spans="1:12" ht="15.75" thickBot="1">
      <c r="A288" s="445"/>
      <c r="B288" s="264" t="s">
        <v>1854</v>
      </c>
      <c r="C288" s="265"/>
      <c r="D288" s="265"/>
      <c r="E288" s="448"/>
      <c r="F288" s="266" t="s">
        <v>1854</v>
      </c>
      <c r="G288" s="445"/>
      <c r="H288" s="264" t="s">
        <v>1854</v>
      </c>
      <c r="I288" s="265"/>
      <c r="J288" s="265"/>
      <c r="K288" s="448"/>
      <c r="L288" s="266" t="s">
        <v>1854</v>
      </c>
    </row>
    <row r="289" spans="1:12" ht="15.75" thickBot="1">
      <c r="A289" s="445"/>
      <c r="B289" s="264" t="s">
        <v>1855</v>
      </c>
      <c r="C289" s="265"/>
      <c r="D289" s="265"/>
      <c r="E289" s="448"/>
      <c r="F289" s="266" t="s">
        <v>1855</v>
      </c>
      <c r="G289" s="445"/>
      <c r="H289" s="264" t="s">
        <v>1855</v>
      </c>
      <c r="I289" s="265"/>
      <c r="J289" s="265"/>
      <c r="K289" s="448"/>
      <c r="L289" s="266" t="s">
        <v>1855</v>
      </c>
    </row>
    <row r="290" spans="1:12" ht="15.75" thickBot="1">
      <c r="A290" s="445"/>
      <c r="B290" s="264" t="s">
        <v>1856</v>
      </c>
      <c r="C290" s="265"/>
      <c r="D290" s="265"/>
      <c r="E290" s="448"/>
      <c r="F290" s="266" t="s">
        <v>1856</v>
      </c>
      <c r="G290" s="445"/>
      <c r="H290" s="264" t="s">
        <v>1856</v>
      </c>
      <c r="I290" s="265"/>
      <c r="J290" s="265"/>
      <c r="K290" s="448"/>
      <c r="L290" s="266" t="s">
        <v>1856</v>
      </c>
    </row>
    <row r="291" spans="1:12" ht="26.25" thickBot="1">
      <c r="A291" s="445"/>
      <c r="B291" s="264" t="s">
        <v>1857</v>
      </c>
      <c r="C291" s="265">
        <v>8901895</v>
      </c>
      <c r="D291" s="265">
        <v>1745840</v>
      </c>
      <c r="E291" s="448"/>
      <c r="F291" s="266" t="s">
        <v>1858</v>
      </c>
      <c r="G291" s="445"/>
      <c r="H291" s="264" t="s">
        <v>1857</v>
      </c>
      <c r="I291" s="265">
        <v>23646337</v>
      </c>
      <c r="J291" s="265">
        <v>4373153</v>
      </c>
      <c r="K291" s="448"/>
      <c r="L291" s="266" t="s">
        <v>1858</v>
      </c>
    </row>
    <row r="292" spans="1:12" ht="15.75" thickBot="1">
      <c r="A292" s="446"/>
      <c r="B292" s="264" t="s">
        <v>1859</v>
      </c>
      <c r="C292" s="265"/>
      <c r="D292" s="265">
        <v>1745840</v>
      </c>
      <c r="E292" s="449"/>
      <c r="F292" s="266" t="s">
        <v>1860</v>
      </c>
      <c r="G292" s="446"/>
      <c r="H292" s="264" t="s">
        <v>1859</v>
      </c>
      <c r="I292" s="265"/>
      <c r="J292" s="265">
        <v>4373153</v>
      </c>
      <c r="K292" s="449"/>
      <c r="L292" s="266" t="s">
        <v>1860</v>
      </c>
    </row>
    <row r="293" spans="1:12" ht="15.75" thickBot="1">
      <c r="A293" s="444" t="s">
        <v>2207</v>
      </c>
      <c r="B293" s="264" t="s">
        <v>1845</v>
      </c>
      <c r="C293" s="265"/>
      <c r="D293" s="265">
        <v>100000000</v>
      </c>
      <c r="E293" s="447" t="s">
        <v>2208</v>
      </c>
      <c r="F293" s="266" t="s">
        <v>1845</v>
      </c>
      <c r="G293" s="444" t="s">
        <v>2207</v>
      </c>
      <c r="H293" s="264" t="s">
        <v>1845</v>
      </c>
      <c r="I293" s="265"/>
      <c r="J293" s="265">
        <v>100000000</v>
      </c>
      <c r="K293" s="447" t="s">
        <v>2208</v>
      </c>
      <c r="L293" s="266" t="s">
        <v>1845</v>
      </c>
    </row>
    <row r="294" spans="1:12" ht="15.75" thickBot="1">
      <c r="A294" s="445"/>
      <c r="B294" s="264" t="s">
        <v>1847</v>
      </c>
      <c r="C294" s="265"/>
      <c r="D294" s="265"/>
      <c r="E294" s="448"/>
      <c r="F294" s="266" t="s">
        <v>1847</v>
      </c>
      <c r="G294" s="445"/>
      <c r="H294" s="264" t="s">
        <v>1847</v>
      </c>
      <c r="I294" s="265"/>
      <c r="J294" s="265"/>
      <c r="K294" s="448"/>
      <c r="L294" s="266" t="s">
        <v>1847</v>
      </c>
    </row>
    <row r="295" spans="1:12" ht="15.75" thickBot="1">
      <c r="A295" s="445"/>
      <c r="B295" s="264" t="s">
        <v>1848</v>
      </c>
      <c r="C295" s="265"/>
      <c r="D295" s="265"/>
      <c r="E295" s="448"/>
      <c r="F295" s="266" t="s">
        <v>1848</v>
      </c>
      <c r="G295" s="445"/>
      <c r="H295" s="264" t="s">
        <v>1848</v>
      </c>
      <c r="I295" s="265"/>
      <c r="J295" s="265"/>
      <c r="K295" s="448"/>
      <c r="L295" s="266" t="s">
        <v>1848</v>
      </c>
    </row>
    <row r="296" spans="1:12" ht="15.75" thickBot="1">
      <c r="A296" s="445"/>
      <c r="B296" s="264" t="s">
        <v>1849</v>
      </c>
      <c r="C296" s="265"/>
      <c r="D296" s="265"/>
      <c r="E296" s="448"/>
      <c r="F296" s="266" t="s">
        <v>1849</v>
      </c>
      <c r="G296" s="445"/>
      <c r="H296" s="264" t="s">
        <v>1849</v>
      </c>
      <c r="I296" s="265"/>
      <c r="J296" s="265"/>
      <c r="K296" s="448"/>
      <c r="L296" s="266" t="s">
        <v>1849</v>
      </c>
    </row>
    <row r="297" spans="1:12" ht="15.75" thickBot="1">
      <c r="A297" s="445"/>
      <c r="B297" s="264" t="s">
        <v>1850</v>
      </c>
      <c r="C297" s="265"/>
      <c r="D297" s="265"/>
      <c r="E297" s="448"/>
      <c r="F297" s="266" t="s">
        <v>1850</v>
      </c>
      <c r="G297" s="445"/>
      <c r="H297" s="264" t="s">
        <v>1850</v>
      </c>
      <c r="I297" s="265"/>
      <c r="J297" s="265"/>
      <c r="K297" s="448"/>
      <c r="L297" s="266" t="s">
        <v>1850</v>
      </c>
    </row>
    <row r="298" spans="1:12" ht="15.75" thickBot="1">
      <c r="A298" s="445"/>
      <c r="B298" s="264" t="s">
        <v>1851</v>
      </c>
      <c r="C298" s="265"/>
      <c r="D298" s="265"/>
      <c r="E298" s="448"/>
      <c r="F298" s="266" t="s">
        <v>1851</v>
      </c>
      <c r="G298" s="445"/>
      <c r="H298" s="264" t="s">
        <v>1851</v>
      </c>
      <c r="I298" s="265"/>
      <c r="J298" s="265"/>
      <c r="K298" s="448"/>
      <c r="L298" s="266" t="s">
        <v>1851</v>
      </c>
    </row>
    <row r="299" spans="1:12" ht="15.75" thickBot="1">
      <c r="A299" s="445"/>
      <c r="B299" s="264" t="s">
        <v>1852</v>
      </c>
      <c r="C299" s="265"/>
      <c r="D299" s="265"/>
      <c r="E299" s="448"/>
      <c r="F299" s="266" t="s">
        <v>1852</v>
      </c>
      <c r="G299" s="445"/>
      <c r="H299" s="264" t="s">
        <v>1852</v>
      </c>
      <c r="I299" s="265"/>
      <c r="J299" s="265"/>
      <c r="K299" s="448"/>
      <c r="L299" s="266" t="s">
        <v>1852</v>
      </c>
    </row>
    <row r="300" spans="1:12" ht="15.75" thickBot="1">
      <c r="A300" s="445"/>
      <c r="B300" s="264" t="s">
        <v>1853</v>
      </c>
      <c r="C300" s="265"/>
      <c r="D300" s="265"/>
      <c r="E300" s="448"/>
      <c r="F300" s="266" t="s">
        <v>1853</v>
      </c>
      <c r="G300" s="445"/>
      <c r="H300" s="264" t="s">
        <v>1853</v>
      </c>
      <c r="I300" s="265"/>
      <c r="J300" s="265"/>
      <c r="K300" s="448"/>
      <c r="L300" s="266" t="s">
        <v>1853</v>
      </c>
    </row>
    <row r="301" spans="1:12" ht="15.75" thickBot="1">
      <c r="A301" s="445"/>
      <c r="B301" s="264" t="s">
        <v>1854</v>
      </c>
      <c r="C301" s="265"/>
      <c r="D301" s="265"/>
      <c r="E301" s="448"/>
      <c r="F301" s="266" t="s">
        <v>1854</v>
      </c>
      <c r="G301" s="445"/>
      <c r="H301" s="264" t="s">
        <v>1854</v>
      </c>
      <c r="I301" s="265"/>
      <c r="J301" s="265"/>
      <c r="K301" s="448"/>
      <c r="L301" s="266" t="s">
        <v>1854</v>
      </c>
    </row>
    <row r="302" spans="1:12" ht="15.75" thickBot="1">
      <c r="A302" s="445"/>
      <c r="B302" s="264" t="s">
        <v>1855</v>
      </c>
      <c r="C302" s="265"/>
      <c r="D302" s="265"/>
      <c r="E302" s="448"/>
      <c r="F302" s="266" t="s">
        <v>1855</v>
      </c>
      <c r="G302" s="445"/>
      <c r="H302" s="264" t="s">
        <v>1855</v>
      </c>
      <c r="I302" s="265"/>
      <c r="J302" s="265"/>
      <c r="K302" s="448"/>
      <c r="L302" s="266" t="s">
        <v>1855</v>
      </c>
    </row>
    <row r="303" spans="1:12" ht="15.75" thickBot="1">
      <c r="A303" s="445"/>
      <c r="B303" s="264" t="s">
        <v>1856</v>
      </c>
      <c r="C303" s="265"/>
      <c r="D303" s="265"/>
      <c r="E303" s="448"/>
      <c r="F303" s="266" t="s">
        <v>1856</v>
      </c>
      <c r="G303" s="445"/>
      <c r="H303" s="264" t="s">
        <v>1856</v>
      </c>
      <c r="I303" s="265"/>
      <c r="J303" s="265"/>
      <c r="K303" s="448"/>
      <c r="L303" s="266" t="s">
        <v>1856</v>
      </c>
    </row>
    <row r="304" spans="1:12" ht="26.25" thickBot="1">
      <c r="A304" s="445"/>
      <c r="B304" s="264" t="s">
        <v>1857</v>
      </c>
      <c r="C304" s="265"/>
      <c r="D304" s="265"/>
      <c r="E304" s="448"/>
      <c r="F304" s="266" t="s">
        <v>1858</v>
      </c>
      <c r="G304" s="445"/>
      <c r="H304" s="264" t="s">
        <v>1857</v>
      </c>
      <c r="I304" s="265"/>
      <c r="J304" s="265"/>
      <c r="K304" s="448"/>
      <c r="L304" s="266" t="s">
        <v>1858</v>
      </c>
    </row>
    <row r="305" spans="1:12" ht="15.75" thickBot="1">
      <c r="A305" s="446"/>
      <c r="B305" s="264" t="s">
        <v>1859</v>
      </c>
      <c r="C305" s="265"/>
      <c r="D305" s="265">
        <v>100000000</v>
      </c>
      <c r="E305" s="449"/>
      <c r="F305" s="266" t="s">
        <v>1860</v>
      </c>
      <c r="G305" s="446"/>
      <c r="H305" s="264" t="s">
        <v>1859</v>
      </c>
      <c r="I305" s="265"/>
      <c r="J305" s="265">
        <v>100000000</v>
      </c>
      <c r="K305" s="449"/>
      <c r="L305" s="266" t="s">
        <v>1860</v>
      </c>
    </row>
    <row r="306" spans="1:12" ht="17.25" customHeight="1">
      <c r="A306" s="450" t="s">
        <v>19</v>
      </c>
      <c r="B306" s="450"/>
      <c r="C306" s="450"/>
      <c r="D306" s="450"/>
      <c r="E306" s="450"/>
      <c r="F306" s="450"/>
      <c r="G306" s="451" t="s">
        <v>106</v>
      </c>
      <c r="H306" s="451"/>
      <c r="I306" s="451"/>
      <c r="J306" s="451"/>
      <c r="K306" s="451"/>
      <c r="L306" s="451"/>
    </row>
    <row r="307" spans="1:12" ht="17.25" customHeight="1">
      <c r="A307" s="442" t="s">
        <v>2225</v>
      </c>
      <c r="B307" s="442"/>
      <c r="C307" s="442"/>
      <c r="D307" s="443" t="s">
        <v>2226</v>
      </c>
      <c r="E307" s="443"/>
      <c r="F307" s="443"/>
      <c r="G307" s="442" t="s">
        <v>2225</v>
      </c>
      <c r="H307" s="442"/>
      <c r="I307" s="442"/>
      <c r="J307" s="443" t="s">
        <v>2226</v>
      </c>
      <c r="K307" s="443"/>
      <c r="L307" s="443"/>
    </row>
    <row r="308" spans="1:12">
      <c r="A308" s="440"/>
      <c r="B308" s="440"/>
      <c r="C308" s="441" t="s">
        <v>2227</v>
      </c>
      <c r="D308" s="441"/>
      <c r="E308" s="440"/>
      <c r="F308" s="440"/>
      <c r="G308" s="440"/>
      <c r="H308" s="440"/>
      <c r="I308" s="441" t="s">
        <v>2227</v>
      </c>
      <c r="J308" s="441"/>
      <c r="K308" s="440"/>
      <c r="L308" s="440"/>
    </row>
    <row r="309" spans="1:12" ht="23.25">
      <c r="A309" s="440"/>
      <c r="B309" s="440"/>
      <c r="C309" s="263" t="s">
        <v>2228</v>
      </c>
      <c r="D309" s="263" t="s">
        <v>678</v>
      </c>
      <c r="E309" s="440"/>
      <c r="F309" s="440"/>
      <c r="G309" s="440"/>
      <c r="H309" s="440"/>
      <c r="I309" s="263" t="s">
        <v>2228</v>
      </c>
      <c r="J309" s="263" t="s">
        <v>678</v>
      </c>
      <c r="K309" s="440"/>
      <c r="L309" s="440"/>
    </row>
    <row r="310" spans="1:12" ht="15.75" thickBot="1">
      <c r="A310" s="264" t="s">
        <v>2209</v>
      </c>
      <c r="B310" s="264" t="s">
        <v>1859</v>
      </c>
      <c r="C310" s="265"/>
      <c r="D310" s="265">
        <v>101745840</v>
      </c>
      <c r="E310" s="266" t="s">
        <v>2210</v>
      </c>
      <c r="F310" s="266" t="s">
        <v>1860</v>
      </c>
      <c r="G310" s="264" t="s">
        <v>2209</v>
      </c>
      <c r="H310" s="264" t="s">
        <v>1859</v>
      </c>
      <c r="I310" s="265"/>
      <c r="J310" s="265">
        <v>104373153</v>
      </c>
      <c r="K310" s="266" t="s">
        <v>2210</v>
      </c>
      <c r="L310" s="266" t="s">
        <v>1860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570722E-98C4-4BC0-87FA-8F982A68319C}">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92D5-D8D0-49AA-AB4F-37E0CA39D5B6}">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6640625" style="267" bestFit="1" customWidth="1" collapsed="1"/>
    <col min="4" max="16384" width="9.33203125" style="267" collapsed="1"/>
  </cols>
  <sheetData>
    <row r="1" spans="1:3" ht="34.5" customHeight="1">
      <c r="A1" s="452" t="s">
        <v>2229</v>
      </c>
      <c r="B1" s="453"/>
      <c r="C1" s="453"/>
    </row>
    <row r="3" spans="1:3" ht="17.25" customHeight="1">
      <c r="A3" s="268" t="s">
        <v>1738</v>
      </c>
      <c r="B3" s="454" t="s">
        <v>1739</v>
      </c>
      <c r="C3" s="454"/>
    </row>
    <row r="4" spans="1:3">
      <c r="A4" s="269"/>
      <c r="B4" s="270" t="s">
        <v>104</v>
      </c>
    </row>
    <row r="5" spans="1:3" ht="15.75" thickBot="1">
      <c r="A5" s="271" t="s">
        <v>1738</v>
      </c>
      <c r="B5" s="272"/>
      <c r="C5" s="273" t="s">
        <v>1739</v>
      </c>
    </row>
    <row r="6" spans="1:3" ht="75" customHeight="1" thickBot="1">
      <c r="A6" s="274" t="s">
        <v>2230</v>
      </c>
      <c r="B6" s="275" t="s">
        <v>2231</v>
      </c>
      <c r="C6" s="273" t="s">
        <v>2232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6AF6F0-8A49-445E-ABEA-2EF9C42A0990}">
      <formula1>0</formula1>
    </dataValidation>
  </dataValidations>
  <pageMargins left="0.15" right="0.15" top="0.15" bottom="0.15" header="0.5" footer="0.5"/>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8D2FB-50F9-4C47-B122-5D1ECE757C1C}">
  <dimension ref="A1:P287"/>
  <sheetViews>
    <sheetView showGridLines="0" tabSelected="1" workbookViewId="0"/>
  </sheetViews>
  <sheetFormatPr defaultRowHeight="15"/>
  <cols>
    <col min="1" max="1" width="42.6640625" style="456" bestFit="1" customWidth="1" collapsed="1"/>
    <col min="2" max="2" width="19" style="456" bestFit="1" customWidth="1" collapsed="1"/>
    <col min="3" max="3" width="42.6640625" style="456" bestFit="1" customWidth="1" collapsed="1"/>
    <col min="4" max="4" width="38.1640625" style="456" bestFit="1" customWidth="1" collapsed="1"/>
    <col min="5" max="5" width="32.1640625" style="456" bestFit="1" customWidth="1" collapsed="1"/>
    <col min="6" max="6" width="37.83203125" style="456" bestFit="1" customWidth="1" collapsed="1"/>
    <col min="7" max="7" width="42.6640625" style="456" bestFit="1" customWidth="1" collapsed="1"/>
    <col min="8" max="8" width="15.6640625" style="456" bestFit="1" customWidth="1" collapsed="1"/>
    <col min="9" max="9" width="42.6640625" style="456" bestFit="1" customWidth="1" collapsed="1"/>
    <col min="10" max="10" width="19" style="456" bestFit="1" customWidth="1" collapsed="1"/>
    <col min="11" max="11" width="42.6640625" style="456" bestFit="1" customWidth="1" collapsed="1"/>
    <col min="12" max="12" width="38.1640625" style="456" bestFit="1" customWidth="1" collapsed="1"/>
    <col min="13" max="13" width="32.1640625" style="456" bestFit="1" customWidth="1" collapsed="1"/>
    <col min="14" max="14" width="37.83203125" style="456" bestFit="1" customWidth="1" collapsed="1"/>
    <col min="15" max="15" width="42.6640625" style="456" bestFit="1" customWidth="1" collapsed="1"/>
    <col min="16" max="16" width="15.6640625" style="456" bestFit="1" customWidth="1" collapsed="1"/>
    <col min="17" max="16384" width="9.33203125" style="456" collapsed="1"/>
  </cols>
  <sheetData>
    <row r="1" spans="1:16" ht="17.25">
      <c r="A1" s="455" t="s">
        <v>2233</v>
      </c>
    </row>
    <row r="3" spans="1:16" ht="17.25" customHeight="1">
      <c r="A3" s="457" t="s">
        <v>19</v>
      </c>
      <c r="B3" s="457"/>
      <c r="C3" s="457"/>
      <c r="D3" s="457"/>
      <c r="E3" s="457"/>
      <c r="F3" s="457"/>
      <c r="G3" s="457"/>
      <c r="H3" s="457"/>
      <c r="I3" s="458" t="s">
        <v>106</v>
      </c>
      <c r="J3" s="458"/>
      <c r="K3" s="458"/>
      <c r="L3" s="458"/>
      <c r="M3" s="458"/>
      <c r="N3" s="458"/>
      <c r="O3" s="458"/>
      <c r="P3" s="458"/>
    </row>
    <row r="4" spans="1:16" ht="17.25" customHeight="1">
      <c r="A4" s="457" t="s">
        <v>2225</v>
      </c>
      <c r="B4" s="457"/>
      <c r="C4" s="457"/>
      <c r="D4" s="457"/>
      <c r="E4" s="458" t="s">
        <v>2226</v>
      </c>
      <c r="F4" s="458"/>
      <c r="G4" s="458"/>
      <c r="H4" s="458"/>
      <c r="I4" s="457" t="s">
        <v>2225</v>
      </c>
      <c r="J4" s="457"/>
      <c r="K4" s="457"/>
      <c r="L4" s="457"/>
      <c r="M4" s="458" t="s">
        <v>2226</v>
      </c>
      <c r="N4" s="458"/>
      <c r="O4" s="458"/>
      <c r="P4" s="458"/>
    </row>
    <row r="5" spans="1:16">
      <c r="A5" s="459"/>
      <c r="B5" s="459"/>
      <c r="C5" s="460" t="s">
        <v>2227</v>
      </c>
      <c r="D5" s="460"/>
      <c r="E5" s="460"/>
      <c r="F5" s="460"/>
      <c r="G5" s="459"/>
      <c r="H5" s="459"/>
      <c r="I5" s="459"/>
      <c r="J5" s="459"/>
      <c r="K5" s="460" t="s">
        <v>2227</v>
      </c>
      <c r="L5" s="460"/>
      <c r="M5" s="460"/>
      <c r="N5" s="460"/>
      <c r="O5" s="459"/>
      <c r="P5" s="459"/>
    </row>
    <row r="6" spans="1:16" ht="23.25">
      <c r="A6" s="459"/>
      <c r="B6" s="459"/>
      <c r="C6" s="461" t="s">
        <v>2228</v>
      </c>
      <c r="D6" s="461" t="s">
        <v>2234</v>
      </c>
      <c r="E6" s="461" t="s">
        <v>2235</v>
      </c>
      <c r="F6" s="461" t="s">
        <v>2236</v>
      </c>
      <c r="G6" s="459"/>
      <c r="H6" s="459"/>
      <c r="I6" s="459"/>
      <c r="J6" s="459"/>
      <c r="K6" s="461" t="s">
        <v>2228</v>
      </c>
      <c r="L6" s="461" t="s">
        <v>2234</v>
      </c>
      <c r="M6" s="461" t="s">
        <v>2235</v>
      </c>
      <c r="N6" s="461" t="s">
        <v>2236</v>
      </c>
      <c r="O6" s="459"/>
      <c r="P6" s="459"/>
    </row>
    <row r="7" spans="1:16" ht="15.75" thickBot="1">
      <c r="A7" s="462" t="s">
        <v>2183</v>
      </c>
      <c r="B7" s="463" t="s">
        <v>1845</v>
      </c>
      <c r="C7" s="464"/>
      <c r="D7" s="465"/>
      <c r="E7" s="465"/>
      <c r="F7" s="465"/>
      <c r="G7" s="466" t="s">
        <v>2183</v>
      </c>
      <c r="H7" s="467" t="s">
        <v>1845</v>
      </c>
      <c r="I7" s="462" t="s">
        <v>2183</v>
      </c>
      <c r="J7" s="463" t="s">
        <v>1845</v>
      </c>
      <c r="K7" s="464"/>
      <c r="L7" s="465"/>
      <c r="M7" s="465"/>
      <c r="N7" s="465"/>
      <c r="O7" s="466" t="s">
        <v>2183</v>
      </c>
      <c r="P7" s="467" t="s">
        <v>1845</v>
      </c>
    </row>
    <row r="8" spans="1:16" ht="15.75" thickBot="1">
      <c r="A8" s="462"/>
      <c r="B8" s="463" t="s">
        <v>1847</v>
      </c>
      <c r="C8" s="464"/>
      <c r="D8" s="465"/>
      <c r="E8" s="465"/>
      <c r="F8" s="465"/>
      <c r="G8" s="466"/>
      <c r="H8" s="467" t="s">
        <v>1847</v>
      </c>
      <c r="I8" s="462"/>
      <c r="J8" s="463" t="s">
        <v>1847</v>
      </c>
      <c r="K8" s="464"/>
      <c r="L8" s="465"/>
      <c r="M8" s="465"/>
      <c r="N8" s="465"/>
      <c r="O8" s="466"/>
      <c r="P8" s="467" t="s">
        <v>1847</v>
      </c>
    </row>
    <row r="9" spans="1:16" ht="15.75" thickBot="1">
      <c r="A9" s="462"/>
      <c r="B9" s="463" t="s">
        <v>1848</v>
      </c>
      <c r="C9" s="464"/>
      <c r="D9" s="465"/>
      <c r="E9" s="465"/>
      <c r="F9" s="465"/>
      <c r="G9" s="466"/>
      <c r="H9" s="467" t="s">
        <v>1848</v>
      </c>
      <c r="I9" s="462"/>
      <c r="J9" s="463" t="s">
        <v>1848</v>
      </c>
      <c r="K9" s="464"/>
      <c r="L9" s="465"/>
      <c r="M9" s="465"/>
      <c r="N9" s="465"/>
      <c r="O9" s="466"/>
      <c r="P9" s="467" t="s">
        <v>1848</v>
      </c>
    </row>
    <row r="10" spans="1:16" ht="15.75" thickBot="1">
      <c r="A10" s="462"/>
      <c r="B10" s="463" t="s">
        <v>1849</v>
      </c>
      <c r="C10" s="464"/>
      <c r="D10" s="465"/>
      <c r="E10" s="465"/>
      <c r="F10" s="465"/>
      <c r="G10" s="466"/>
      <c r="H10" s="467" t="s">
        <v>1849</v>
      </c>
      <c r="I10" s="462"/>
      <c r="J10" s="463" t="s">
        <v>1849</v>
      </c>
      <c r="K10" s="464"/>
      <c r="L10" s="465"/>
      <c r="M10" s="465"/>
      <c r="N10" s="465"/>
      <c r="O10" s="466"/>
      <c r="P10" s="467" t="s">
        <v>1849</v>
      </c>
    </row>
    <row r="11" spans="1:16" ht="15.75" thickBot="1">
      <c r="A11" s="462"/>
      <c r="B11" s="463" t="s">
        <v>1850</v>
      </c>
      <c r="C11" s="464"/>
      <c r="D11" s="465"/>
      <c r="E11" s="465"/>
      <c r="F11" s="465"/>
      <c r="G11" s="466"/>
      <c r="H11" s="467" t="s">
        <v>1850</v>
      </c>
      <c r="I11" s="462"/>
      <c r="J11" s="463" t="s">
        <v>1850</v>
      </c>
      <c r="K11" s="464"/>
      <c r="L11" s="465"/>
      <c r="M11" s="465"/>
      <c r="N11" s="465"/>
      <c r="O11" s="466"/>
      <c r="P11" s="467" t="s">
        <v>1850</v>
      </c>
    </row>
    <row r="12" spans="1:16" ht="15.75" thickBot="1">
      <c r="A12" s="462"/>
      <c r="B12" s="463" t="s">
        <v>1851</v>
      </c>
      <c r="C12" s="464"/>
      <c r="D12" s="465"/>
      <c r="E12" s="465"/>
      <c r="F12" s="465"/>
      <c r="G12" s="466"/>
      <c r="H12" s="467" t="s">
        <v>1851</v>
      </c>
      <c r="I12" s="462"/>
      <c r="J12" s="463" t="s">
        <v>1851</v>
      </c>
      <c r="K12" s="464"/>
      <c r="L12" s="465"/>
      <c r="M12" s="465"/>
      <c r="N12" s="465"/>
      <c r="O12" s="466"/>
      <c r="P12" s="467" t="s">
        <v>1851</v>
      </c>
    </row>
    <row r="13" spans="1:16" ht="15.75" thickBot="1">
      <c r="A13" s="462"/>
      <c r="B13" s="463" t="s">
        <v>1852</v>
      </c>
      <c r="C13" s="464"/>
      <c r="D13" s="465"/>
      <c r="E13" s="465"/>
      <c r="F13" s="465"/>
      <c r="G13" s="466"/>
      <c r="H13" s="467" t="s">
        <v>1852</v>
      </c>
      <c r="I13" s="462"/>
      <c r="J13" s="463" t="s">
        <v>1852</v>
      </c>
      <c r="K13" s="464"/>
      <c r="L13" s="465"/>
      <c r="M13" s="465"/>
      <c r="N13" s="465"/>
      <c r="O13" s="466"/>
      <c r="P13" s="467" t="s">
        <v>1852</v>
      </c>
    </row>
    <row r="14" spans="1:16" ht="15.75" thickBot="1">
      <c r="A14" s="462"/>
      <c r="B14" s="463" t="s">
        <v>1853</v>
      </c>
      <c r="C14" s="464"/>
      <c r="D14" s="465"/>
      <c r="E14" s="465"/>
      <c r="F14" s="465"/>
      <c r="G14" s="466"/>
      <c r="H14" s="467" t="s">
        <v>1853</v>
      </c>
      <c r="I14" s="462"/>
      <c r="J14" s="463" t="s">
        <v>1853</v>
      </c>
      <c r="K14" s="464"/>
      <c r="L14" s="465"/>
      <c r="M14" s="465"/>
      <c r="N14" s="465"/>
      <c r="O14" s="466"/>
      <c r="P14" s="467" t="s">
        <v>1853</v>
      </c>
    </row>
    <row r="15" spans="1:16" ht="15.75" thickBot="1">
      <c r="A15" s="462"/>
      <c r="B15" s="463" t="s">
        <v>1854</v>
      </c>
      <c r="C15" s="464"/>
      <c r="D15" s="465"/>
      <c r="E15" s="465"/>
      <c r="F15" s="465"/>
      <c r="G15" s="466"/>
      <c r="H15" s="467" t="s">
        <v>1854</v>
      </c>
      <c r="I15" s="462"/>
      <c r="J15" s="463" t="s">
        <v>1854</v>
      </c>
      <c r="K15" s="464"/>
      <c r="L15" s="465"/>
      <c r="M15" s="465"/>
      <c r="N15" s="465"/>
      <c r="O15" s="466"/>
      <c r="P15" s="467" t="s">
        <v>1854</v>
      </c>
    </row>
    <row r="16" spans="1:16" ht="15.75" thickBot="1">
      <c r="A16" s="462"/>
      <c r="B16" s="463" t="s">
        <v>1855</v>
      </c>
      <c r="C16" s="464"/>
      <c r="D16" s="465"/>
      <c r="E16" s="465"/>
      <c r="F16" s="465"/>
      <c r="G16" s="466"/>
      <c r="H16" s="467" t="s">
        <v>1855</v>
      </c>
      <c r="I16" s="462"/>
      <c r="J16" s="463" t="s">
        <v>1855</v>
      </c>
      <c r="K16" s="464"/>
      <c r="L16" s="465"/>
      <c r="M16" s="465"/>
      <c r="N16" s="465"/>
      <c r="O16" s="466"/>
      <c r="P16" s="467" t="s">
        <v>1855</v>
      </c>
    </row>
    <row r="17" spans="1:16" ht="15.75" thickBot="1">
      <c r="A17" s="462"/>
      <c r="B17" s="463" t="s">
        <v>1856</v>
      </c>
      <c r="C17" s="464"/>
      <c r="D17" s="465"/>
      <c r="E17" s="465"/>
      <c r="F17" s="465"/>
      <c r="G17" s="466"/>
      <c r="H17" s="467" t="s">
        <v>1856</v>
      </c>
      <c r="I17" s="462"/>
      <c r="J17" s="463" t="s">
        <v>1856</v>
      </c>
      <c r="K17" s="464"/>
      <c r="L17" s="465"/>
      <c r="M17" s="465"/>
      <c r="N17" s="465"/>
      <c r="O17" s="466"/>
      <c r="P17" s="467" t="s">
        <v>1856</v>
      </c>
    </row>
    <row r="18" spans="1:16" ht="26.25" thickBot="1">
      <c r="A18" s="468"/>
      <c r="B18" s="463" t="s">
        <v>1857</v>
      </c>
      <c r="C18" s="464"/>
      <c r="D18" s="465"/>
      <c r="E18" s="465"/>
      <c r="F18" s="465"/>
      <c r="G18" s="469"/>
      <c r="H18" s="467" t="s">
        <v>1858</v>
      </c>
      <c r="I18" s="468"/>
      <c r="J18" s="463" t="s">
        <v>1857</v>
      </c>
      <c r="K18" s="464"/>
      <c r="L18" s="465"/>
      <c r="M18" s="465"/>
      <c r="N18" s="465"/>
      <c r="O18" s="469"/>
      <c r="P18" s="467" t="s">
        <v>1858</v>
      </c>
    </row>
    <row r="19" spans="1:16" ht="15.75" thickBot="1">
      <c r="A19" s="470" t="s">
        <v>2184</v>
      </c>
      <c r="B19" s="463" t="s">
        <v>1845</v>
      </c>
      <c r="C19" s="464"/>
      <c r="D19" s="465"/>
      <c r="E19" s="465"/>
      <c r="F19" s="465"/>
      <c r="G19" s="471" t="s">
        <v>2184</v>
      </c>
      <c r="H19" s="467" t="s">
        <v>1845</v>
      </c>
      <c r="I19" s="470" t="s">
        <v>2184</v>
      </c>
      <c r="J19" s="463" t="s">
        <v>1845</v>
      </c>
      <c r="K19" s="464"/>
      <c r="L19" s="465"/>
      <c r="M19" s="465"/>
      <c r="N19" s="465"/>
      <c r="O19" s="471" t="s">
        <v>2184</v>
      </c>
      <c r="P19" s="467" t="s">
        <v>1845</v>
      </c>
    </row>
    <row r="20" spans="1:16" ht="15.75" thickBot="1">
      <c r="A20" s="462"/>
      <c r="B20" s="463" t="s">
        <v>1847</v>
      </c>
      <c r="C20" s="464"/>
      <c r="D20" s="465"/>
      <c r="E20" s="465"/>
      <c r="F20" s="465"/>
      <c r="G20" s="466"/>
      <c r="H20" s="467" t="s">
        <v>1847</v>
      </c>
      <c r="I20" s="462"/>
      <c r="J20" s="463" t="s">
        <v>1847</v>
      </c>
      <c r="K20" s="464"/>
      <c r="L20" s="465"/>
      <c r="M20" s="465"/>
      <c r="N20" s="465"/>
      <c r="O20" s="466"/>
      <c r="P20" s="467" t="s">
        <v>1847</v>
      </c>
    </row>
    <row r="21" spans="1:16" ht="15.75" thickBot="1">
      <c r="A21" s="462"/>
      <c r="B21" s="463" t="s">
        <v>1848</v>
      </c>
      <c r="C21" s="464"/>
      <c r="D21" s="465"/>
      <c r="E21" s="465"/>
      <c r="F21" s="465"/>
      <c r="G21" s="466"/>
      <c r="H21" s="467" t="s">
        <v>1848</v>
      </c>
      <c r="I21" s="462"/>
      <c r="J21" s="463" t="s">
        <v>1848</v>
      </c>
      <c r="K21" s="464"/>
      <c r="L21" s="465"/>
      <c r="M21" s="465"/>
      <c r="N21" s="465"/>
      <c r="O21" s="466"/>
      <c r="P21" s="467" t="s">
        <v>1848</v>
      </c>
    </row>
    <row r="22" spans="1:16" ht="15.75" thickBot="1">
      <c r="A22" s="462"/>
      <c r="B22" s="463" t="s">
        <v>1849</v>
      </c>
      <c r="C22" s="464"/>
      <c r="D22" s="465"/>
      <c r="E22" s="465"/>
      <c r="F22" s="465"/>
      <c r="G22" s="466"/>
      <c r="H22" s="467" t="s">
        <v>1849</v>
      </c>
      <c r="I22" s="462"/>
      <c r="J22" s="463" t="s">
        <v>1849</v>
      </c>
      <c r="K22" s="464"/>
      <c r="L22" s="465"/>
      <c r="M22" s="465"/>
      <c r="N22" s="465"/>
      <c r="O22" s="466"/>
      <c r="P22" s="467" t="s">
        <v>1849</v>
      </c>
    </row>
    <row r="23" spans="1:16" ht="15.75" thickBot="1">
      <c r="A23" s="462"/>
      <c r="B23" s="463" t="s">
        <v>1850</v>
      </c>
      <c r="C23" s="464"/>
      <c r="D23" s="465"/>
      <c r="E23" s="465"/>
      <c r="F23" s="465"/>
      <c r="G23" s="466"/>
      <c r="H23" s="467" t="s">
        <v>1850</v>
      </c>
      <c r="I23" s="462"/>
      <c r="J23" s="463" t="s">
        <v>1850</v>
      </c>
      <c r="K23" s="464"/>
      <c r="L23" s="465"/>
      <c r="M23" s="465"/>
      <c r="N23" s="465"/>
      <c r="O23" s="466"/>
      <c r="P23" s="467" t="s">
        <v>1850</v>
      </c>
    </row>
    <row r="24" spans="1:16" ht="15.75" thickBot="1">
      <c r="A24" s="462"/>
      <c r="B24" s="463" t="s">
        <v>1851</v>
      </c>
      <c r="C24" s="464"/>
      <c r="D24" s="465"/>
      <c r="E24" s="465"/>
      <c r="F24" s="465"/>
      <c r="G24" s="466"/>
      <c r="H24" s="467" t="s">
        <v>1851</v>
      </c>
      <c r="I24" s="462"/>
      <c r="J24" s="463" t="s">
        <v>1851</v>
      </c>
      <c r="K24" s="464"/>
      <c r="L24" s="465"/>
      <c r="M24" s="465"/>
      <c r="N24" s="465"/>
      <c r="O24" s="466"/>
      <c r="P24" s="467" t="s">
        <v>1851</v>
      </c>
    </row>
    <row r="25" spans="1:16" ht="15.75" thickBot="1">
      <c r="A25" s="462"/>
      <c r="B25" s="463" t="s">
        <v>1852</v>
      </c>
      <c r="C25" s="464"/>
      <c r="D25" s="465"/>
      <c r="E25" s="465"/>
      <c r="F25" s="465"/>
      <c r="G25" s="466"/>
      <c r="H25" s="467" t="s">
        <v>1852</v>
      </c>
      <c r="I25" s="462"/>
      <c r="J25" s="463" t="s">
        <v>1852</v>
      </c>
      <c r="K25" s="464"/>
      <c r="L25" s="465"/>
      <c r="M25" s="465"/>
      <c r="N25" s="465"/>
      <c r="O25" s="466"/>
      <c r="P25" s="467" t="s">
        <v>1852</v>
      </c>
    </row>
    <row r="26" spans="1:16" ht="15.75" thickBot="1">
      <c r="A26" s="462"/>
      <c r="B26" s="463" t="s">
        <v>1853</v>
      </c>
      <c r="C26" s="464"/>
      <c r="D26" s="465"/>
      <c r="E26" s="465"/>
      <c r="F26" s="465"/>
      <c r="G26" s="466"/>
      <c r="H26" s="467" t="s">
        <v>1853</v>
      </c>
      <c r="I26" s="462"/>
      <c r="J26" s="463" t="s">
        <v>1853</v>
      </c>
      <c r="K26" s="464"/>
      <c r="L26" s="465"/>
      <c r="M26" s="465"/>
      <c r="N26" s="465"/>
      <c r="O26" s="466"/>
      <c r="P26" s="467" t="s">
        <v>1853</v>
      </c>
    </row>
    <row r="27" spans="1:16" ht="15.75" thickBot="1">
      <c r="A27" s="462"/>
      <c r="B27" s="463" t="s">
        <v>1854</v>
      </c>
      <c r="C27" s="464"/>
      <c r="D27" s="465"/>
      <c r="E27" s="465"/>
      <c r="F27" s="465"/>
      <c r="G27" s="466"/>
      <c r="H27" s="467" t="s">
        <v>1854</v>
      </c>
      <c r="I27" s="462"/>
      <c r="J27" s="463" t="s">
        <v>1854</v>
      </c>
      <c r="K27" s="464"/>
      <c r="L27" s="465"/>
      <c r="M27" s="465"/>
      <c r="N27" s="465"/>
      <c r="O27" s="466"/>
      <c r="P27" s="467" t="s">
        <v>1854</v>
      </c>
    </row>
    <row r="28" spans="1:16" ht="15.75" thickBot="1">
      <c r="A28" s="462"/>
      <c r="B28" s="463" t="s">
        <v>1855</v>
      </c>
      <c r="C28" s="464"/>
      <c r="D28" s="465"/>
      <c r="E28" s="465"/>
      <c r="F28" s="465"/>
      <c r="G28" s="466"/>
      <c r="H28" s="467" t="s">
        <v>1855</v>
      </c>
      <c r="I28" s="462"/>
      <c r="J28" s="463" t="s">
        <v>1855</v>
      </c>
      <c r="K28" s="464"/>
      <c r="L28" s="465"/>
      <c r="M28" s="465"/>
      <c r="N28" s="465"/>
      <c r="O28" s="466"/>
      <c r="P28" s="467" t="s">
        <v>1855</v>
      </c>
    </row>
    <row r="29" spans="1:16" ht="15.75" thickBot="1">
      <c r="A29" s="462"/>
      <c r="B29" s="463" t="s">
        <v>1856</v>
      </c>
      <c r="C29" s="464"/>
      <c r="D29" s="465"/>
      <c r="E29" s="465"/>
      <c r="F29" s="465"/>
      <c r="G29" s="466"/>
      <c r="H29" s="467" t="s">
        <v>1856</v>
      </c>
      <c r="I29" s="462"/>
      <c r="J29" s="463" t="s">
        <v>1856</v>
      </c>
      <c r="K29" s="464"/>
      <c r="L29" s="465"/>
      <c r="M29" s="465"/>
      <c r="N29" s="465"/>
      <c r="O29" s="466"/>
      <c r="P29" s="467" t="s">
        <v>1856</v>
      </c>
    </row>
    <row r="30" spans="1:16" ht="26.25" thickBot="1">
      <c r="A30" s="468"/>
      <c r="B30" s="463" t="s">
        <v>1857</v>
      </c>
      <c r="C30" s="464"/>
      <c r="D30" s="465"/>
      <c r="E30" s="465"/>
      <c r="F30" s="465"/>
      <c r="G30" s="469"/>
      <c r="H30" s="467" t="s">
        <v>1858</v>
      </c>
      <c r="I30" s="468"/>
      <c r="J30" s="463" t="s">
        <v>1857</v>
      </c>
      <c r="K30" s="464"/>
      <c r="L30" s="465"/>
      <c r="M30" s="465"/>
      <c r="N30" s="465"/>
      <c r="O30" s="469"/>
      <c r="P30" s="467" t="s">
        <v>1858</v>
      </c>
    </row>
    <row r="31" spans="1:16" ht="15.75" thickBot="1">
      <c r="A31" s="470" t="s">
        <v>2185</v>
      </c>
      <c r="B31" s="463" t="s">
        <v>1845</v>
      </c>
      <c r="C31" s="464"/>
      <c r="D31" s="465"/>
      <c r="E31" s="465"/>
      <c r="F31" s="465"/>
      <c r="G31" s="471" t="s">
        <v>2185</v>
      </c>
      <c r="H31" s="467" t="s">
        <v>1845</v>
      </c>
      <c r="I31" s="470" t="s">
        <v>2185</v>
      </c>
      <c r="J31" s="463" t="s">
        <v>1845</v>
      </c>
      <c r="K31" s="464"/>
      <c r="L31" s="465"/>
      <c r="M31" s="465"/>
      <c r="N31" s="465"/>
      <c r="O31" s="471" t="s">
        <v>2185</v>
      </c>
      <c r="P31" s="467" t="s">
        <v>1845</v>
      </c>
    </row>
    <row r="32" spans="1:16" ht="15.75" thickBot="1">
      <c r="A32" s="462"/>
      <c r="B32" s="463" t="s">
        <v>1847</v>
      </c>
      <c r="C32" s="464"/>
      <c r="D32" s="465"/>
      <c r="E32" s="465"/>
      <c r="F32" s="465"/>
      <c r="G32" s="466"/>
      <c r="H32" s="467" t="s">
        <v>1847</v>
      </c>
      <c r="I32" s="462"/>
      <c r="J32" s="463" t="s">
        <v>1847</v>
      </c>
      <c r="K32" s="464"/>
      <c r="L32" s="465"/>
      <c r="M32" s="465"/>
      <c r="N32" s="465"/>
      <c r="O32" s="466"/>
      <c r="P32" s="467" t="s">
        <v>1847</v>
      </c>
    </row>
    <row r="33" spans="1:16" ht="15.75" thickBot="1">
      <c r="A33" s="462"/>
      <c r="B33" s="463" t="s">
        <v>1848</v>
      </c>
      <c r="C33" s="464"/>
      <c r="D33" s="465"/>
      <c r="E33" s="465"/>
      <c r="F33" s="465"/>
      <c r="G33" s="466"/>
      <c r="H33" s="467" t="s">
        <v>1848</v>
      </c>
      <c r="I33" s="462"/>
      <c r="J33" s="463" t="s">
        <v>1848</v>
      </c>
      <c r="K33" s="464"/>
      <c r="L33" s="465"/>
      <c r="M33" s="465"/>
      <c r="N33" s="465"/>
      <c r="O33" s="466"/>
      <c r="P33" s="467" t="s">
        <v>1848</v>
      </c>
    </row>
    <row r="34" spans="1:16" ht="15.75" thickBot="1">
      <c r="A34" s="462"/>
      <c r="B34" s="463" t="s">
        <v>1849</v>
      </c>
      <c r="C34" s="464"/>
      <c r="D34" s="465"/>
      <c r="E34" s="465"/>
      <c r="F34" s="465"/>
      <c r="G34" s="466"/>
      <c r="H34" s="467" t="s">
        <v>1849</v>
      </c>
      <c r="I34" s="462"/>
      <c r="J34" s="463" t="s">
        <v>1849</v>
      </c>
      <c r="K34" s="464"/>
      <c r="L34" s="465"/>
      <c r="M34" s="465"/>
      <c r="N34" s="465"/>
      <c r="O34" s="466"/>
      <c r="P34" s="467" t="s">
        <v>1849</v>
      </c>
    </row>
    <row r="35" spans="1:16" ht="15.75" thickBot="1">
      <c r="A35" s="462"/>
      <c r="B35" s="463" t="s">
        <v>1850</v>
      </c>
      <c r="C35" s="464"/>
      <c r="D35" s="465"/>
      <c r="E35" s="465"/>
      <c r="F35" s="465"/>
      <c r="G35" s="466"/>
      <c r="H35" s="467" t="s">
        <v>1850</v>
      </c>
      <c r="I35" s="462"/>
      <c r="J35" s="463" t="s">
        <v>1850</v>
      </c>
      <c r="K35" s="464"/>
      <c r="L35" s="465"/>
      <c r="M35" s="465"/>
      <c r="N35" s="465"/>
      <c r="O35" s="466"/>
      <c r="P35" s="467" t="s">
        <v>1850</v>
      </c>
    </row>
    <row r="36" spans="1:16" ht="15.75" thickBot="1">
      <c r="A36" s="462"/>
      <c r="B36" s="463" t="s">
        <v>1851</v>
      </c>
      <c r="C36" s="464"/>
      <c r="D36" s="465"/>
      <c r="E36" s="465"/>
      <c r="F36" s="465"/>
      <c r="G36" s="466"/>
      <c r="H36" s="467" t="s">
        <v>1851</v>
      </c>
      <c r="I36" s="462"/>
      <c r="J36" s="463" t="s">
        <v>1851</v>
      </c>
      <c r="K36" s="464"/>
      <c r="L36" s="465"/>
      <c r="M36" s="465"/>
      <c r="N36" s="465"/>
      <c r="O36" s="466"/>
      <c r="P36" s="467" t="s">
        <v>1851</v>
      </c>
    </row>
    <row r="37" spans="1:16" ht="15.75" thickBot="1">
      <c r="A37" s="462"/>
      <c r="B37" s="463" t="s">
        <v>1852</v>
      </c>
      <c r="C37" s="464"/>
      <c r="D37" s="465"/>
      <c r="E37" s="465"/>
      <c r="F37" s="465"/>
      <c r="G37" s="466"/>
      <c r="H37" s="467" t="s">
        <v>1852</v>
      </c>
      <c r="I37" s="462"/>
      <c r="J37" s="463" t="s">
        <v>1852</v>
      </c>
      <c r="K37" s="464"/>
      <c r="L37" s="465"/>
      <c r="M37" s="465"/>
      <c r="N37" s="465"/>
      <c r="O37" s="466"/>
      <c r="P37" s="467" t="s">
        <v>1852</v>
      </c>
    </row>
    <row r="38" spans="1:16" ht="15.75" thickBot="1">
      <c r="A38" s="462"/>
      <c r="B38" s="463" t="s">
        <v>1853</v>
      </c>
      <c r="C38" s="464"/>
      <c r="D38" s="465"/>
      <c r="E38" s="465"/>
      <c r="F38" s="465"/>
      <c r="G38" s="466"/>
      <c r="H38" s="467" t="s">
        <v>1853</v>
      </c>
      <c r="I38" s="462"/>
      <c r="J38" s="463" t="s">
        <v>1853</v>
      </c>
      <c r="K38" s="464"/>
      <c r="L38" s="465"/>
      <c r="M38" s="465"/>
      <c r="N38" s="465"/>
      <c r="O38" s="466"/>
      <c r="P38" s="467" t="s">
        <v>1853</v>
      </c>
    </row>
    <row r="39" spans="1:16" ht="15.75" thickBot="1">
      <c r="A39" s="462"/>
      <c r="B39" s="463" t="s">
        <v>1854</v>
      </c>
      <c r="C39" s="464"/>
      <c r="D39" s="465"/>
      <c r="E39" s="465"/>
      <c r="F39" s="465"/>
      <c r="G39" s="466"/>
      <c r="H39" s="467" t="s">
        <v>1854</v>
      </c>
      <c r="I39" s="462"/>
      <c r="J39" s="463" t="s">
        <v>1854</v>
      </c>
      <c r="K39" s="464"/>
      <c r="L39" s="465"/>
      <c r="M39" s="465"/>
      <c r="N39" s="465"/>
      <c r="O39" s="466"/>
      <c r="P39" s="467" t="s">
        <v>1854</v>
      </c>
    </row>
    <row r="40" spans="1:16" ht="15.75" thickBot="1">
      <c r="A40" s="462"/>
      <c r="B40" s="463" t="s">
        <v>1855</v>
      </c>
      <c r="C40" s="464"/>
      <c r="D40" s="465"/>
      <c r="E40" s="465"/>
      <c r="F40" s="465"/>
      <c r="G40" s="466"/>
      <c r="H40" s="467" t="s">
        <v>1855</v>
      </c>
      <c r="I40" s="462"/>
      <c r="J40" s="463" t="s">
        <v>1855</v>
      </c>
      <c r="K40" s="464"/>
      <c r="L40" s="465"/>
      <c r="M40" s="465"/>
      <c r="N40" s="465"/>
      <c r="O40" s="466"/>
      <c r="P40" s="467" t="s">
        <v>1855</v>
      </c>
    </row>
    <row r="41" spans="1:16" ht="15.75" thickBot="1">
      <c r="A41" s="462"/>
      <c r="B41" s="463" t="s">
        <v>1856</v>
      </c>
      <c r="C41" s="464"/>
      <c r="D41" s="465"/>
      <c r="E41" s="465"/>
      <c r="F41" s="465"/>
      <c r="G41" s="466"/>
      <c r="H41" s="467" t="s">
        <v>1856</v>
      </c>
      <c r="I41" s="462"/>
      <c r="J41" s="463" t="s">
        <v>1856</v>
      </c>
      <c r="K41" s="464"/>
      <c r="L41" s="465"/>
      <c r="M41" s="465"/>
      <c r="N41" s="465"/>
      <c r="O41" s="466"/>
      <c r="P41" s="467" t="s">
        <v>1856</v>
      </c>
    </row>
    <row r="42" spans="1:16" ht="26.25" thickBot="1">
      <c r="A42" s="468"/>
      <c r="B42" s="463" t="s">
        <v>1857</v>
      </c>
      <c r="C42" s="464"/>
      <c r="D42" s="465"/>
      <c r="E42" s="465"/>
      <c r="F42" s="465"/>
      <c r="G42" s="469"/>
      <c r="H42" s="467" t="s">
        <v>1858</v>
      </c>
      <c r="I42" s="468"/>
      <c r="J42" s="463" t="s">
        <v>1857</v>
      </c>
      <c r="K42" s="464"/>
      <c r="L42" s="465"/>
      <c r="M42" s="465"/>
      <c r="N42" s="465"/>
      <c r="O42" s="469"/>
      <c r="P42" s="467" t="s">
        <v>1858</v>
      </c>
    </row>
    <row r="43" spans="1:16" ht="15.75" thickBot="1">
      <c r="A43" s="470" t="s">
        <v>2186</v>
      </c>
      <c r="B43" s="463" t="s">
        <v>1845</v>
      </c>
      <c r="C43" s="464"/>
      <c r="D43" s="465"/>
      <c r="E43" s="465"/>
      <c r="F43" s="465"/>
      <c r="G43" s="471" t="s">
        <v>2186</v>
      </c>
      <c r="H43" s="467" t="s">
        <v>1845</v>
      </c>
      <c r="I43" s="470" t="s">
        <v>2186</v>
      </c>
      <c r="J43" s="463" t="s">
        <v>1845</v>
      </c>
      <c r="K43" s="464"/>
      <c r="L43" s="465"/>
      <c r="M43" s="465"/>
      <c r="N43" s="465"/>
      <c r="O43" s="471" t="s">
        <v>2186</v>
      </c>
      <c r="P43" s="467" t="s">
        <v>1845</v>
      </c>
    </row>
    <row r="44" spans="1:16" ht="15.75" thickBot="1">
      <c r="A44" s="462"/>
      <c r="B44" s="463" t="s">
        <v>1847</v>
      </c>
      <c r="C44" s="464"/>
      <c r="D44" s="465"/>
      <c r="E44" s="465"/>
      <c r="F44" s="465"/>
      <c r="G44" s="466"/>
      <c r="H44" s="467" t="s">
        <v>1847</v>
      </c>
      <c r="I44" s="462"/>
      <c r="J44" s="463" t="s">
        <v>1847</v>
      </c>
      <c r="K44" s="464"/>
      <c r="L44" s="465"/>
      <c r="M44" s="465"/>
      <c r="N44" s="465"/>
      <c r="O44" s="466"/>
      <c r="P44" s="467" t="s">
        <v>1847</v>
      </c>
    </row>
    <row r="45" spans="1:16" ht="15.75" thickBot="1">
      <c r="A45" s="462"/>
      <c r="B45" s="463" t="s">
        <v>1848</v>
      </c>
      <c r="C45" s="464"/>
      <c r="D45" s="465"/>
      <c r="E45" s="465"/>
      <c r="F45" s="465"/>
      <c r="G45" s="466"/>
      <c r="H45" s="467" t="s">
        <v>1848</v>
      </c>
      <c r="I45" s="462"/>
      <c r="J45" s="463" t="s">
        <v>1848</v>
      </c>
      <c r="K45" s="464"/>
      <c r="L45" s="465"/>
      <c r="M45" s="465"/>
      <c r="N45" s="465"/>
      <c r="O45" s="466"/>
      <c r="P45" s="467" t="s">
        <v>1848</v>
      </c>
    </row>
    <row r="46" spans="1:16" ht="15.75" thickBot="1">
      <c r="A46" s="462"/>
      <c r="B46" s="463" t="s">
        <v>1849</v>
      </c>
      <c r="C46" s="464"/>
      <c r="D46" s="465"/>
      <c r="E46" s="465"/>
      <c r="F46" s="465"/>
      <c r="G46" s="466"/>
      <c r="H46" s="467" t="s">
        <v>1849</v>
      </c>
      <c r="I46" s="462"/>
      <c r="J46" s="463" t="s">
        <v>1849</v>
      </c>
      <c r="K46" s="464"/>
      <c r="L46" s="465"/>
      <c r="M46" s="465"/>
      <c r="N46" s="465"/>
      <c r="O46" s="466"/>
      <c r="P46" s="467" t="s">
        <v>1849</v>
      </c>
    </row>
    <row r="47" spans="1:16" ht="15.75" thickBot="1">
      <c r="A47" s="462"/>
      <c r="B47" s="463" t="s">
        <v>1850</v>
      </c>
      <c r="C47" s="464"/>
      <c r="D47" s="465"/>
      <c r="E47" s="465"/>
      <c r="F47" s="465"/>
      <c r="G47" s="466"/>
      <c r="H47" s="467" t="s">
        <v>1850</v>
      </c>
      <c r="I47" s="462"/>
      <c r="J47" s="463" t="s">
        <v>1850</v>
      </c>
      <c r="K47" s="464"/>
      <c r="L47" s="465"/>
      <c r="M47" s="465"/>
      <c r="N47" s="465"/>
      <c r="O47" s="466"/>
      <c r="P47" s="467" t="s">
        <v>1850</v>
      </c>
    </row>
    <row r="48" spans="1:16" ht="15.75" thickBot="1">
      <c r="A48" s="462"/>
      <c r="B48" s="463" t="s">
        <v>1851</v>
      </c>
      <c r="C48" s="464"/>
      <c r="D48" s="465"/>
      <c r="E48" s="465"/>
      <c r="F48" s="465"/>
      <c r="G48" s="466"/>
      <c r="H48" s="467" t="s">
        <v>1851</v>
      </c>
      <c r="I48" s="462"/>
      <c r="J48" s="463" t="s">
        <v>1851</v>
      </c>
      <c r="K48" s="464"/>
      <c r="L48" s="465"/>
      <c r="M48" s="465"/>
      <c r="N48" s="465"/>
      <c r="O48" s="466"/>
      <c r="P48" s="467" t="s">
        <v>1851</v>
      </c>
    </row>
    <row r="49" spans="1:16" ht="15.75" thickBot="1">
      <c r="A49" s="462"/>
      <c r="B49" s="463" t="s">
        <v>1852</v>
      </c>
      <c r="C49" s="464"/>
      <c r="D49" s="465"/>
      <c r="E49" s="465"/>
      <c r="F49" s="465"/>
      <c r="G49" s="466"/>
      <c r="H49" s="467" t="s">
        <v>1852</v>
      </c>
      <c r="I49" s="462"/>
      <c r="J49" s="463" t="s">
        <v>1852</v>
      </c>
      <c r="K49" s="464"/>
      <c r="L49" s="465"/>
      <c r="M49" s="465"/>
      <c r="N49" s="465"/>
      <c r="O49" s="466"/>
      <c r="P49" s="467" t="s">
        <v>1852</v>
      </c>
    </row>
    <row r="50" spans="1:16" ht="15.75" thickBot="1">
      <c r="A50" s="462"/>
      <c r="B50" s="463" t="s">
        <v>1853</v>
      </c>
      <c r="C50" s="464"/>
      <c r="D50" s="465"/>
      <c r="E50" s="465"/>
      <c r="F50" s="465"/>
      <c r="G50" s="466"/>
      <c r="H50" s="467" t="s">
        <v>1853</v>
      </c>
      <c r="I50" s="462"/>
      <c r="J50" s="463" t="s">
        <v>1853</v>
      </c>
      <c r="K50" s="464"/>
      <c r="L50" s="465"/>
      <c r="M50" s="465"/>
      <c r="N50" s="465"/>
      <c r="O50" s="466"/>
      <c r="P50" s="467" t="s">
        <v>1853</v>
      </c>
    </row>
    <row r="51" spans="1:16" ht="15.75" thickBot="1">
      <c r="A51" s="462"/>
      <c r="B51" s="463" t="s">
        <v>1854</v>
      </c>
      <c r="C51" s="464"/>
      <c r="D51" s="465"/>
      <c r="E51" s="465"/>
      <c r="F51" s="465"/>
      <c r="G51" s="466"/>
      <c r="H51" s="467" t="s">
        <v>1854</v>
      </c>
      <c r="I51" s="462"/>
      <c r="J51" s="463" t="s">
        <v>1854</v>
      </c>
      <c r="K51" s="464"/>
      <c r="L51" s="465"/>
      <c r="M51" s="465"/>
      <c r="N51" s="465"/>
      <c r="O51" s="466"/>
      <c r="P51" s="467" t="s">
        <v>1854</v>
      </c>
    </row>
    <row r="52" spans="1:16" ht="15.75" thickBot="1">
      <c r="A52" s="462"/>
      <c r="B52" s="463" t="s">
        <v>1855</v>
      </c>
      <c r="C52" s="464"/>
      <c r="D52" s="465"/>
      <c r="E52" s="465"/>
      <c r="F52" s="465"/>
      <c r="G52" s="466"/>
      <c r="H52" s="467" t="s">
        <v>1855</v>
      </c>
      <c r="I52" s="462"/>
      <c r="J52" s="463" t="s">
        <v>1855</v>
      </c>
      <c r="K52" s="464"/>
      <c r="L52" s="465"/>
      <c r="M52" s="465"/>
      <c r="N52" s="465"/>
      <c r="O52" s="466"/>
      <c r="P52" s="467" t="s">
        <v>1855</v>
      </c>
    </row>
    <row r="53" spans="1:16" ht="15.75" thickBot="1">
      <c r="A53" s="462"/>
      <c r="B53" s="463" t="s">
        <v>1856</v>
      </c>
      <c r="C53" s="464"/>
      <c r="D53" s="465"/>
      <c r="E53" s="465"/>
      <c r="F53" s="465"/>
      <c r="G53" s="466"/>
      <c r="H53" s="467" t="s">
        <v>1856</v>
      </c>
      <c r="I53" s="462"/>
      <c r="J53" s="463" t="s">
        <v>1856</v>
      </c>
      <c r="K53" s="464"/>
      <c r="L53" s="465"/>
      <c r="M53" s="465"/>
      <c r="N53" s="465"/>
      <c r="O53" s="466"/>
      <c r="P53" s="467" t="s">
        <v>1856</v>
      </c>
    </row>
    <row r="54" spans="1:16" ht="26.25" thickBot="1">
      <c r="A54" s="468"/>
      <c r="B54" s="463" t="s">
        <v>1857</v>
      </c>
      <c r="C54" s="464"/>
      <c r="D54" s="465"/>
      <c r="E54" s="465"/>
      <c r="F54" s="465"/>
      <c r="G54" s="469"/>
      <c r="H54" s="467" t="s">
        <v>1858</v>
      </c>
      <c r="I54" s="468"/>
      <c r="J54" s="463" t="s">
        <v>1857</v>
      </c>
      <c r="K54" s="464"/>
      <c r="L54" s="465"/>
      <c r="M54" s="465"/>
      <c r="N54" s="465"/>
      <c r="O54" s="469"/>
      <c r="P54" s="467" t="s">
        <v>1858</v>
      </c>
    </row>
    <row r="55" spans="1:16" ht="15.75" thickBot="1">
      <c r="A55" s="470" t="s">
        <v>2187</v>
      </c>
      <c r="B55" s="463" t="s">
        <v>1845</v>
      </c>
      <c r="C55" s="464"/>
      <c r="D55" s="465"/>
      <c r="E55" s="465"/>
      <c r="F55" s="465"/>
      <c r="G55" s="471" t="s">
        <v>2187</v>
      </c>
      <c r="H55" s="467" t="s">
        <v>1845</v>
      </c>
      <c r="I55" s="470" t="s">
        <v>2187</v>
      </c>
      <c r="J55" s="463" t="s">
        <v>1845</v>
      </c>
      <c r="K55" s="464"/>
      <c r="L55" s="465"/>
      <c r="M55" s="465"/>
      <c r="N55" s="465"/>
      <c r="O55" s="471" t="s">
        <v>2187</v>
      </c>
      <c r="P55" s="467" t="s">
        <v>1845</v>
      </c>
    </row>
    <row r="56" spans="1:16" ht="15.75" thickBot="1">
      <c r="A56" s="462"/>
      <c r="B56" s="463" t="s">
        <v>1847</v>
      </c>
      <c r="C56" s="464"/>
      <c r="D56" s="465"/>
      <c r="E56" s="465"/>
      <c r="F56" s="465"/>
      <c r="G56" s="466"/>
      <c r="H56" s="467" t="s">
        <v>1847</v>
      </c>
      <c r="I56" s="462"/>
      <c r="J56" s="463" t="s">
        <v>1847</v>
      </c>
      <c r="K56" s="464"/>
      <c r="L56" s="465"/>
      <c r="M56" s="465"/>
      <c r="N56" s="465"/>
      <c r="O56" s="466"/>
      <c r="P56" s="467" t="s">
        <v>1847</v>
      </c>
    </row>
    <row r="57" spans="1:16" ht="15.75" thickBot="1">
      <c r="A57" s="462"/>
      <c r="B57" s="463" t="s">
        <v>1848</v>
      </c>
      <c r="C57" s="464"/>
      <c r="D57" s="465"/>
      <c r="E57" s="465"/>
      <c r="F57" s="465"/>
      <c r="G57" s="466"/>
      <c r="H57" s="467" t="s">
        <v>1848</v>
      </c>
      <c r="I57" s="462"/>
      <c r="J57" s="463" t="s">
        <v>1848</v>
      </c>
      <c r="K57" s="464"/>
      <c r="L57" s="465"/>
      <c r="M57" s="465"/>
      <c r="N57" s="465"/>
      <c r="O57" s="466"/>
      <c r="P57" s="467" t="s">
        <v>1848</v>
      </c>
    </row>
    <row r="58" spans="1:16" ht="15.75" thickBot="1">
      <c r="A58" s="462"/>
      <c r="B58" s="463" t="s">
        <v>1849</v>
      </c>
      <c r="C58" s="464"/>
      <c r="D58" s="465"/>
      <c r="E58" s="465"/>
      <c r="F58" s="465"/>
      <c r="G58" s="466"/>
      <c r="H58" s="467" t="s">
        <v>1849</v>
      </c>
      <c r="I58" s="462"/>
      <c r="J58" s="463" t="s">
        <v>1849</v>
      </c>
      <c r="K58" s="464"/>
      <c r="L58" s="465"/>
      <c r="M58" s="465"/>
      <c r="N58" s="465"/>
      <c r="O58" s="466"/>
      <c r="P58" s="467" t="s">
        <v>1849</v>
      </c>
    </row>
    <row r="59" spans="1:16" ht="15.75" thickBot="1">
      <c r="A59" s="462"/>
      <c r="B59" s="463" t="s">
        <v>1850</v>
      </c>
      <c r="C59" s="464"/>
      <c r="D59" s="465"/>
      <c r="E59" s="465"/>
      <c r="F59" s="465"/>
      <c r="G59" s="466"/>
      <c r="H59" s="467" t="s">
        <v>1850</v>
      </c>
      <c r="I59" s="462"/>
      <c r="J59" s="463" t="s">
        <v>1850</v>
      </c>
      <c r="K59" s="464"/>
      <c r="L59" s="465"/>
      <c r="M59" s="465"/>
      <c r="N59" s="465"/>
      <c r="O59" s="466"/>
      <c r="P59" s="467" t="s">
        <v>1850</v>
      </c>
    </row>
    <row r="60" spans="1:16" ht="15.75" thickBot="1">
      <c r="A60" s="462"/>
      <c r="B60" s="463" t="s">
        <v>1851</v>
      </c>
      <c r="C60" s="464"/>
      <c r="D60" s="465"/>
      <c r="E60" s="465"/>
      <c r="F60" s="465"/>
      <c r="G60" s="466"/>
      <c r="H60" s="467" t="s">
        <v>1851</v>
      </c>
      <c r="I60" s="462"/>
      <c r="J60" s="463" t="s">
        <v>1851</v>
      </c>
      <c r="K60" s="464"/>
      <c r="L60" s="465"/>
      <c r="M60" s="465"/>
      <c r="N60" s="465"/>
      <c r="O60" s="466"/>
      <c r="P60" s="467" t="s">
        <v>1851</v>
      </c>
    </row>
    <row r="61" spans="1:16" ht="15.75" thickBot="1">
      <c r="A61" s="462"/>
      <c r="B61" s="463" t="s">
        <v>1852</v>
      </c>
      <c r="C61" s="464"/>
      <c r="D61" s="465"/>
      <c r="E61" s="465"/>
      <c r="F61" s="465"/>
      <c r="G61" s="466"/>
      <c r="H61" s="467" t="s">
        <v>1852</v>
      </c>
      <c r="I61" s="462"/>
      <c r="J61" s="463" t="s">
        <v>1852</v>
      </c>
      <c r="K61" s="464"/>
      <c r="L61" s="465"/>
      <c r="M61" s="465"/>
      <c r="N61" s="465"/>
      <c r="O61" s="466"/>
      <c r="P61" s="467" t="s">
        <v>1852</v>
      </c>
    </row>
    <row r="62" spans="1:16" ht="15.75" thickBot="1">
      <c r="A62" s="462"/>
      <c r="B62" s="463" t="s">
        <v>1853</v>
      </c>
      <c r="C62" s="464"/>
      <c r="D62" s="465"/>
      <c r="E62" s="465"/>
      <c r="F62" s="465"/>
      <c r="G62" s="466"/>
      <c r="H62" s="467" t="s">
        <v>1853</v>
      </c>
      <c r="I62" s="462"/>
      <c r="J62" s="463" t="s">
        <v>1853</v>
      </c>
      <c r="K62" s="464"/>
      <c r="L62" s="465"/>
      <c r="M62" s="465"/>
      <c r="N62" s="465"/>
      <c r="O62" s="466"/>
      <c r="P62" s="467" t="s">
        <v>1853</v>
      </c>
    </row>
    <row r="63" spans="1:16" ht="15.75" thickBot="1">
      <c r="A63" s="462"/>
      <c r="B63" s="463" t="s">
        <v>1854</v>
      </c>
      <c r="C63" s="464"/>
      <c r="D63" s="465"/>
      <c r="E63" s="465"/>
      <c r="F63" s="465"/>
      <c r="G63" s="466"/>
      <c r="H63" s="467" t="s">
        <v>1854</v>
      </c>
      <c r="I63" s="462"/>
      <c r="J63" s="463" t="s">
        <v>1854</v>
      </c>
      <c r="K63" s="464"/>
      <c r="L63" s="465"/>
      <c r="M63" s="465"/>
      <c r="N63" s="465"/>
      <c r="O63" s="466"/>
      <c r="P63" s="467" t="s">
        <v>1854</v>
      </c>
    </row>
    <row r="64" spans="1:16" ht="15.75" thickBot="1">
      <c r="A64" s="462"/>
      <c r="B64" s="463" t="s">
        <v>1855</v>
      </c>
      <c r="C64" s="464"/>
      <c r="D64" s="465"/>
      <c r="E64" s="465"/>
      <c r="F64" s="465"/>
      <c r="G64" s="466"/>
      <c r="H64" s="467" t="s">
        <v>1855</v>
      </c>
      <c r="I64" s="462"/>
      <c r="J64" s="463" t="s">
        <v>1855</v>
      </c>
      <c r="K64" s="464"/>
      <c r="L64" s="465"/>
      <c r="M64" s="465"/>
      <c r="N64" s="465"/>
      <c r="O64" s="466"/>
      <c r="P64" s="467" t="s">
        <v>1855</v>
      </c>
    </row>
    <row r="65" spans="1:16" ht="15.75" thickBot="1">
      <c r="A65" s="462"/>
      <c r="B65" s="463" t="s">
        <v>1856</v>
      </c>
      <c r="C65" s="464"/>
      <c r="D65" s="465"/>
      <c r="E65" s="465"/>
      <c r="F65" s="465"/>
      <c r="G65" s="466"/>
      <c r="H65" s="467" t="s">
        <v>1856</v>
      </c>
      <c r="I65" s="462"/>
      <c r="J65" s="463" t="s">
        <v>1856</v>
      </c>
      <c r="K65" s="464"/>
      <c r="L65" s="465"/>
      <c r="M65" s="465"/>
      <c r="N65" s="465"/>
      <c r="O65" s="466"/>
      <c r="P65" s="467" t="s">
        <v>1856</v>
      </c>
    </row>
    <row r="66" spans="1:16" ht="26.25" thickBot="1">
      <c r="A66" s="468"/>
      <c r="B66" s="463" t="s">
        <v>1857</v>
      </c>
      <c r="C66" s="464"/>
      <c r="D66" s="465"/>
      <c r="E66" s="465"/>
      <c r="F66" s="465"/>
      <c r="G66" s="469"/>
      <c r="H66" s="467" t="s">
        <v>1858</v>
      </c>
      <c r="I66" s="468"/>
      <c r="J66" s="463" t="s">
        <v>1857</v>
      </c>
      <c r="K66" s="464"/>
      <c r="L66" s="465"/>
      <c r="M66" s="465"/>
      <c r="N66" s="465"/>
      <c r="O66" s="469"/>
      <c r="P66" s="467" t="s">
        <v>1858</v>
      </c>
    </row>
    <row r="67" spans="1:16" ht="15.75" thickBot="1">
      <c r="A67" s="470" t="s">
        <v>2188</v>
      </c>
      <c r="B67" s="463" t="s">
        <v>1845</v>
      </c>
      <c r="C67" s="464"/>
      <c r="D67" s="465"/>
      <c r="E67" s="465"/>
      <c r="F67" s="465"/>
      <c r="G67" s="471" t="s">
        <v>2188</v>
      </c>
      <c r="H67" s="467" t="s">
        <v>1845</v>
      </c>
      <c r="I67" s="470" t="s">
        <v>2188</v>
      </c>
      <c r="J67" s="463" t="s">
        <v>1845</v>
      </c>
      <c r="K67" s="464"/>
      <c r="L67" s="465"/>
      <c r="M67" s="465"/>
      <c r="N67" s="465"/>
      <c r="O67" s="471" t="s">
        <v>2188</v>
      </c>
      <c r="P67" s="467" t="s">
        <v>1845</v>
      </c>
    </row>
    <row r="68" spans="1:16" ht="15.75" thickBot="1">
      <c r="A68" s="462"/>
      <c r="B68" s="463" t="s">
        <v>1847</v>
      </c>
      <c r="C68" s="464"/>
      <c r="D68" s="465"/>
      <c r="E68" s="465"/>
      <c r="F68" s="465"/>
      <c r="G68" s="466"/>
      <c r="H68" s="467" t="s">
        <v>1847</v>
      </c>
      <c r="I68" s="462"/>
      <c r="J68" s="463" t="s">
        <v>1847</v>
      </c>
      <c r="K68" s="464"/>
      <c r="L68" s="465"/>
      <c r="M68" s="465"/>
      <c r="N68" s="465"/>
      <c r="O68" s="466"/>
      <c r="P68" s="467" t="s">
        <v>1847</v>
      </c>
    </row>
    <row r="69" spans="1:16" ht="15.75" thickBot="1">
      <c r="A69" s="462"/>
      <c r="B69" s="463" t="s">
        <v>1848</v>
      </c>
      <c r="C69" s="464"/>
      <c r="D69" s="465"/>
      <c r="E69" s="465"/>
      <c r="F69" s="465"/>
      <c r="G69" s="466"/>
      <c r="H69" s="467" t="s">
        <v>1848</v>
      </c>
      <c r="I69" s="462"/>
      <c r="J69" s="463" t="s">
        <v>1848</v>
      </c>
      <c r="K69" s="464"/>
      <c r="L69" s="465"/>
      <c r="M69" s="465"/>
      <c r="N69" s="465"/>
      <c r="O69" s="466"/>
      <c r="P69" s="467" t="s">
        <v>1848</v>
      </c>
    </row>
    <row r="70" spans="1:16" ht="15.75" thickBot="1">
      <c r="A70" s="462"/>
      <c r="B70" s="463" t="s">
        <v>1849</v>
      </c>
      <c r="C70" s="464"/>
      <c r="D70" s="465"/>
      <c r="E70" s="465"/>
      <c r="F70" s="465"/>
      <c r="G70" s="466"/>
      <c r="H70" s="467" t="s">
        <v>1849</v>
      </c>
      <c r="I70" s="462"/>
      <c r="J70" s="463" t="s">
        <v>1849</v>
      </c>
      <c r="K70" s="464"/>
      <c r="L70" s="465"/>
      <c r="M70" s="465"/>
      <c r="N70" s="465"/>
      <c r="O70" s="466"/>
      <c r="P70" s="467" t="s">
        <v>1849</v>
      </c>
    </row>
    <row r="71" spans="1:16" ht="15.75" thickBot="1">
      <c r="A71" s="462"/>
      <c r="B71" s="463" t="s">
        <v>1850</v>
      </c>
      <c r="C71" s="464"/>
      <c r="D71" s="465"/>
      <c r="E71" s="465"/>
      <c r="F71" s="465"/>
      <c r="G71" s="466"/>
      <c r="H71" s="467" t="s">
        <v>1850</v>
      </c>
      <c r="I71" s="462"/>
      <c r="J71" s="463" t="s">
        <v>1850</v>
      </c>
      <c r="K71" s="464"/>
      <c r="L71" s="465"/>
      <c r="M71" s="465"/>
      <c r="N71" s="465"/>
      <c r="O71" s="466"/>
      <c r="P71" s="467" t="s">
        <v>1850</v>
      </c>
    </row>
    <row r="72" spans="1:16" ht="15.75" thickBot="1">
      <c r="A72" s="462"/>
      <c r="B72" s="463" t="s">
        <v>1851</v>
      </c>
      <c r="C72" s="464"/>
      <c r="D72" s="465"/>
      <c r="E72" s="465"/>
      <c r="F72" s="465"/>
      <c r="G72" s="466"/>
      <c r="H72" s="467" t="s">
        <v>1851</v>
      </c>
      <c r="I72" s="462"/>
      <c r="J72" s="463" t="s">
        <v>1851</v>
      </c>
      <c r="K72" s="464"/>
      <c r="L72" s="465"/>
      <c r="M72" s="465"/>
      <c r="N72" s="465"/>
      <c r="O72" s="466"/>
      <c r="P72" s="467" t="s">
        <v>1851</v>
      </c>
    </row>
    <row r="73" spans="1:16" ht="15.75" thickBot="1">
      <c r="A73" s="462"/>
      <c r="B73" s="463" t="s">
        <v>1852</v>
      </c>
      <c r="C73" s="464"/>
      <c r="D73" s="465"/>
      <c r="E73" s="465"/>
      <c r="F73" s="465"/>
      <c r="G73" s="466"/>
      <c r="H73" s="467" t="s">
        <v>1852</v>
      </c>
      <c r="I73" s="462"/>
      <c r="J73" s="463" t="s">
        <v>1852</v>
      </c>
      <c r="K73" s="464"/>
      <c r="L73" s="465"/>
      <c r="M73" s="465"/>
      <c r="N73" s="465"/>
      <c r="O73" s="466"/>
      <c r="P73" s="467" t="s">
        <v>1852</v>
      </c>
    </row>
    <row r="74" spans="1:16" ht="15.75" thickBot="1">
      <c r="A74" s="462"/>
      <c r="B74" s="463" t="s">
        <v>1853</v>
      </c>
      <c r="C74" s="464"/>
      <c r="D74" s="465"/>
      <c r="E74" s="465"/>
      <c r="F74" s="465"/>
      <c r="G74" s="466"/>
      <c r="H74" s="467" t="s">
        <v>1853</v>
      </c>
      <c r="I74" s="462"/>
      <c r="J74" s="463" t="s">
        <v>1853</v>
      </c>
      <c r="K74" s="464"/>
      <c r="L74" s="465"/>
      <c r="M74" s="465"/>
      <c r="N74" s="465"/>
      <c r="O74" s="466"/>
      <c r="P74" s="467" t="s">
        <v>1853</v>
      </c>
    </row>
    <row r="75" spans="1:16" ht="15.75" thickBot="1">
      <c r="A75" s="462"/>
      <c r="B75" s="463" t="s">
        <v>1854</v>
      </c>
      <c r="C75" s="464"/>
      <c r="D75" s="465"/>
      <c r="E75" s="465"/>
      <c r="F75" s="465"/>
      <c r="G75" s="466"/>
      <c r="H75" s="467" t="s">
        <v>1854</v>
      </c>
      <c r="I75" s="462"/>
      <c r="J75" s="463" t="s">
        <v>1854</v>
      </c>
      <c r="K75" s="464"/>
      <c r="L75" s="465"/>
      <c r="M75" s="465"/>
      <c r="N75" s="465"/>
      <c r="O75" s="466"/>
      <c r="P75" s="467" t="s">
        <v>1854</v>
      </c>
    </row>
    <row r="76" spans="1:16" ht="15.75" thickBot="1">
      <c r="A76" s="462"/>
      <c r="B76" s="463" t="s">
        <v>1855</v>
      </c>
      <c r="C76" s="464"/>
      <c r="D76" s="465"/>
      <c r="E76" s="465"/>
      <c r="F76" s="465"/>
      <c r="G76" s="466"/>
      <c r="H76" s="467" t="s">
        <v>1855</v>
      </c>
      <c r="I76" s="462"/>
      <c r="J76" s="463" t="s">
        <v>1855</v>
      </c>
      <c r="K76" s="464"/>
      <c r="L76" s="465"/>
      <c r="M76" s="465"/>
      <c r="N76" s="465"/>
      <c r="O76" s="466"/>
      <c r="P76" s="467" t="s">
        <v>1855</v>
      </c>
    </row>
    <row r="77" spans="1:16" ht="15.75" thickBot="1">
      <c r="A77" s="462"/>
      <c r="B77" s="463" t="s">
        <v>1856</v>
      </c>
      <c r="C77" s="464"/>
      <c r="D77" s="465"/>
      <c r="E77" s="465"/>
      <c r="F77" s="465"/>
      <c r="G77" s="466"/>
      <c r="H77" s="467" t="s">
        <v>1856</v>
      </c>
      <c r="I77" s="462"/>
      <c r="J77" s="463" t="s">
        <v>1856</v>
      </c>
      <c r="K77" s="464"/>
      <c r="L77" s="465"/>
      <c r="M77" s="465"/>
      <c r="N77" s="465"/>
      <c r="O77" s="466"/>
      <c r="P77" s="467" t="s">
        <v>1856</v>
      </c>
    </row>
    <row r="78" spans="1:16" ht="26.25" thickBot="1">
      <c r="A78" s="468"/>
      <c r="B78" s="463" t="s">
        <v>1857</v>
      </c>
      <c r="C78" s="464"/>
      <c r="D78" s="465"/>
      <c r="E78" s="465"/>
      <c r="F78" s="465"/>
      <c r="G78" s="469"/>
      <c r="H78" s="467" t="s">
        <v>1858</v>
      </c>
      <c r="I78" s="468"/>
      <c r="J78" s="463" t="s">
        <v>1857</v>
      </c>
      <c r="K78" s="464"/>
      <c r="L78" s="465"/>
      <c r="M78" s="465"/>
      <c r="N78" s="465"/>
      <c r="O78" s="469"/>
      <c r="P78" s="467" t="s">
        <v>1858</v>
      </c>
    </row>
    <row r="79" spans="1:16" ht="15.75" thickBot="1">
      <c r="A79" s="470" t="s">
        <v>2189</v>
      </c>
      <c r="B79" s="463" t="s">
        <v>1845</v>
      </c>
      <c r="C79" s="464"/>
      <c r="D79" s="465"/>
      <c r="E79" s="465"/>
      <c r="F79" s="465"/>
      <c r="G79" s="471" t="s">
        <v>2189</v>
      </c>
      <c r="H79" s="467" t="s">
        <v>1845</v>
      </c>
      <c r="I79" s="470" t="s">
        <v>2189</v>
      </c>
      <c r="J79" s="463" t="s">
        <v>1845</v>
      </c>
      <c r="K79" s="464"/>
      <c r="L79" s="465"/>
      <c r="M79" s="465"/>
      <c r="N79" s="465"/>
      <c r="O79" s="471" t="s">
        <v>2189</v>
      </c>
      <c r="P79" s="467" t="s">
        <v>1845</v>
      </c>
    </row>
    <row r="80" spans="1:16" ht="15.75" thickBot="1">
      <c r="A80" s="462"/>
      <c r="B80" s="463" t="s">
        <v>1847</v>
      </c>
      <c r="C80" s="464"/>
      <c r="D80" s="465"/>
      <c r="E80" s="465"/>
      <c r="F80" s="465"/>
      <c r="G80" s="466"/>
      <c r="H80" s="467" t="s">
        <v>1847</v>
      </c>
      <c r="I80" s="462"/>
      <c r="J80" s="463" t="s">
        <v>1847</v>
      </c>
      <c r="K80" s="464"/>
      <c r="L80" s="465"/>
      <c r="M80" s="465"/>
      <c r="N80" s="465"/>
      <c r="O80" s="466"/>
      <c r="P80" s="467" t="s">
        <v>1847</v>
      </c>
    </row>
    <row r="81" spans="1:16" ht="15.75" thickBot="1">
      <c r="A81" s="462"/>
      <c r="B81" s="463" t="s">
        <v>1848</v>
      </c>
      <c r="C81" s="464"/>
      <c r="D81" s="465"/>
      <c r="E81" s="465"/>
      <c r="F81" s="465"/>
      <c r="G81" s="466"/>
      <c r="H81" s="467" t="s">
        <v>1848</v>
      </c>
      <c r="I81" s="462"/>
      <c r="J81" s="463" t="s">
        <v>1848</v>
      </c>
      <c r="K81" s="464"/>
      <c r="L81" s="465"/>
      <c r="M81" s="465"/>
      <c r="N81" s="465"/>
      <c r="O81" s="466"/>
      <c r="P81" s="467" t="s">
        <v>1848</v>
      </c>
    </row>
    <row r="82" spans="1:16" ht="15.75" thickBot="1">
      <c r="A82" s="462"/>
      <c r="B82" s="463" t="s">
        <v>1849</v>
      </c>
      <c r="C82" s="464"/>
      <c r="D82" s="465"/>
      <c r="E82" s="465"/>
      <c r="F82" s="465"/>
      <c r="G82" s="466"/>
      <c r="H82" s="467" t="s">
        <v>1849</v>
      </c>
      <c r="I82" s="462"/>
      <c r="J82" s="463" t="s">
        <v>1849</v>
      </c>
      <c r="K82" s="464"/>
      <c r="L82" s="465"/>
      <c r="M82" s="465"/>
      <c r="N82" s="465"/>
      <c r="O82" s="466"/>
      <c r="P82" s="467" t="s">
        <v>1849</v>
      </c>
    </row>
    <row r="83" spans="1:16" ht="15.75" thickBot="1">
      <c r="A83" s="462"/>
      <c r="B83" s="463" t="s">
        <v>1850</v>
      </c>
      <c r="C83" s="464"/>
      <c r="D83" s="465"/>
      <c r="E83" s="465"/>
      <c r="F83" s="465"/>
      <c r="G83" s="466"/>
      <c r="H83" s="467" t="s">
        <v>1850</v>
      </c>
      <c r="I83" s="462"/>
      <c r="J83" s="463" t="s">
        <v>1850</v>
      </c>
      <c r="K83" s="464"/>
      <c r="L83" s="465"/>
      <c r="M83" s="465"/>
      <c r="N83" s="465"/>
      <c r="O83" s="466"/>
      <c r="P83" s="467" t="s">
        <v>1850</v>
      </c>
    </row>
    <row r="84" spans="1:16" ht="15.75" thickBot="1">
      <c r="A84" s="462"/>
      <c r="B84" s="463" t="s">
        <v>1851</v>
      </c>
      <c r="C84" s="464"/>
      <c r="D84" s="465"/>
      <c r="E84" s="465"/>
      <c r="F84" s="465"/>
      <c r="G84" s="466"/>
      <c r="H84" s="467" t="s">
        <v>1851</v>
      </c>
      <c r="I84" s="462"/>
      <c r="J84" s="463" t="s">
        <v>1851</v>
      </c>
      <c r="K84" s="464"/>
      <c r="L84" s="465"/>
      <c r="M84" s="465"/>
      <c r="N84" s="465"/>
      <c r="O84" s="466"/>
      <c r="P84" s="467" t="s">
        <v>1851</v>
      </c>
    </row>
    <row r="85" spans="1:16" ht="15.75" thickBot="1">
      <c r="A85" s="462"/>
      <c r="B85" s="463" t="s">
        <v>1852</v>
      </c>
      <c r="C85" s="464"/>
      <c r="D85" s="465"/>
      <c r="E85" s="465"/>
      <c r="F85" s="465"/>
      <c r="G85" s="466"/>
      <c r="H85" s="467" t="s">
        <v>1852</v>
      </c>
      <c r="I85" s="462"/>
      <c r="J85" s="463" t="s">
        <v>1852</v>
      </c>
      <c r="K85" s="464"/>
      <c r="L85" s="465"/>
      <c r="M85" s="465"/>
      <c r="N85" s="465"/>
      <c r="O85" s="466"/>
      <c r="P85" s="467" t="s">
        <v>1852</v>
      </c>
    </row>
    <row r="86" spans="1:16" ht="15.75" thickBot="1">
      <c r="A86" s="462"/>
      <c r="B86" s="463" t="s">
        <v>1853</v>
      </c>
      <c r="C86" s="464"/>
      <c r="D86" s="465"/>
      <c r="E86" s="465"/>
      <c r="F86" s="465"/>
      <c r="G86" s="466"/>
      <c r="H86" s="467" t="s">
        <v>1853</v>
      </c>
      <c r="I86" s="462"/>
      <c r="J86" s="463" t="s">
        <v>1853</v>
      </c>
      <c r="K86" s="464"/>
      <c r="L86" s="465"/>
      <c r="M86" s="465"/>
      <c r="N86" s="465"/>
      <c r="O86" s="466"/>
      <c r="P86" s="467" t="s">
        <v>1853</v>
      </c>
    </row>
    <row r="87" spans="1:16" ht="15.75" thickBot="1">
      <c r="A87" s="462"/>
      <c r="B87" s="463" t="s">
        <v>1854</v>
      </c>
      <c r="C87" s="464"/>
      <c r="D87" s="465"/>
      <c r="E87" s="465"/>
      <c r="F87" s="465"/>
      <c r="G87" s="466"/>
      <c r="H87" s="467" t="s">
        <v>1854</v>
      </c>
      <c r="I87" s="462"/>
      <c r="J87" s="463" t="s">
        <v>1854</v>
      </c>
      <c r="K87" s="464"/>
      <c r="L87" s="465"/>
      <c r="M87" s="465"/>
      <c r="N87" s="465"/>
      <c r="O87" s="466"/>
      <c r="P87" s="467" t="s">
        <v>1854</v>
      </c>
    </row>
    <row r="88" spans="1:16" ht="15.75" thickBot="1">
      <c r="A88" s="462"/>
      <c r="B88" s="463" t="s">
        <v>1855</v>
      </c>
      <c r="C88" s="464"/>
      <c r="D88" s="465"/>
      <c r="E88" s="465"/>
      <c r="F88" s="465"/>
      <c r="G88" s="466"/>
      <c r="H88" s="467" t="s">
        <v>1855</v>
      </c>
      <c r="I88" s="462"/>
      <c r="J88" s="463" t="s">
        <v>1855</v>
      </c>
      <c r="K88" s="464"/>
      <c r="L88" s="465"/>
      <c r="M88" s="465"/>
      <c r="N88" s="465"/>
      <c r="O88" s="466"/>
      <c r="P88" s="467" t="s">
        <v>1855</v>
      </c>
    </row>
    <row r="89" spans="1:16" ht="15.75" thickBot="1">
      <c r="A89" s="462"/>
      <c r="B89" s="463" t="s">
        <v>1856</v>
      </c>
      <c r="C89" s="464"/>
      <c r="D89" s="465"/>
      <c r="E89" s="465"/>
      <c r="F89" s="465"/>
      <c r="G89" s="466"/>
      <c r="H89" s="467" t="s">
        <v>1856</v>
      </c>
      <c r="I89" s="462"/>
      <c r="J89" s="463" t="s">
        <v>1856</v>
      </c>
      <c r="K89" s="464"/>
      <c r="L89" s="465"/>
      <c r="M89" s="465"/>
      <c r="N89" s="465"/>
      <c r="O89" s="466"/>
      <c r="P89" s="467" t="s">
        <v>1856</v>
      </c>
    </row>
    <row r="90" spans="1:16" ht="26.25" thickBot="1">
      <c r="A90" s="468"/>
      <c r="B90" s="463" t="s">
        <v>1857</v>
      </c>
      <c r="C90" s="464"/>
      <c r="D90" s="465"/>
      <c r="E90" s="465"/>
      <c r="F90" s="465"/>
      <c r="G90" s="469"/>
      <c r="H90" s="467" t="s">
        <v>1858</v>
      </c>
      <c r="I90" s="468"/>
      <c r="J90" s="463" t="s">
        <v>1857</v>
      </c>
      <c r="K90" s="464"/>
      <c r="L90" s="465"/>
      <c r="M90" s="465"/>
      <c r="N90" s="465"/>
      <c r="O90" s="469"/>
      <c r="P90" s="467" t="s">
        <v>1858</v>
      </c>
    </row>
    <row r="91" spans="1:16" ht="15.75" thickBot="1">
      <c r="A91" s="470" t="s">
        <v>2190</v>
      </c>
      <c r="B91" s="463" t="s">
        <v>1845</v>
      </c>
      <c r="C91" s="464"/>
      <c r="D91" s="465"/>
      <c r="E91" s="465"/>
      <c r="F91" s="465"/>
      <c r="G91" s="471" t="s">
        <v>2190</v>
      </c>
      <c r="H91" s="467" t="s">
        <v>1845</v>
      </c>
      <c r="I91" s="470" t="s">
        <v>2190</v>
      </c>
      <c r="J91" s="463" t="s">
        <v>1845</v>
      </c>
      <c r="K91" s="464"/>
      <c r="L91" s="465"/>
      <c r="M91" s="465"/>
      <c r="N91" s="465"/>
      <c r="O91" s="471" t="s">
        <v>2190</v>
      </c>
      <c r="P91" s="467" t="s">
        <v>1845</v>
      </c>
    </row>
    <row r="92" spans="1:16" ht="15.75" thickBot="1">
      <c r="A92" s="462"/>
      <c r="B92" s="463" t="s">
        <v>1847</v>
      </c>
      <c r="C92" s="464"/>
      <c r="D92" s="465"/>
      <c r="E92" s="465"/>
      <c r="F92" s="465"/>
      <c r="G92" s="466"/>
      <c r="H92" s="467" t="s">
        <v>1847</v>
      </c>
      <c r="I92" s="462"/>
      <c r="J92" s="463" t="s">
        <v>1847</v>
      </c>
      <c r="K92" s="464"/>
      <c r="L92" s="465"/>
      <c r="M92" s="465"/>
      <c r="N92" s="465"/>
      <c r="O92" s="466"/>
      <c r="P92" s="467" t="s">
        <v>1847</v>
      </c>
    </row>
    <row r="93" spans="1:16" ht="15.75" thickBot="1">
      <c r="A93" s="462"/>
      <c r="B93" s="463" t="s">
        <v>1848</v>
      </c>
      <c r="C93" s="464"/>
      <c r="D93" s="465"/>
      <c r="E93" s="465"/>
      <c r="F93" s="465"/>
      <c r="G93" s="466"/>
      <c r="H93" s="467" t="s">
        <v>1848</v>
      </c>
      <c r="I93" s="462"/>
      <c r="J93" s="463" t="s">
        <v>1848</v>
      </c>
      <c r="K93" s="464"/>
      <c r="L93" s="465"/>
      <c r="M93" s="465"/>
      <c r="N93" s="465"/>
      <c r="O93" s="466"/>
      <c r="P93" s="467" t="s">
        <v>1848</v>
      </c>
    </row>
    <row r="94" spans="1:16" ht="15.75" thickBot="1">
      <c r="A94" s="462"/>
      <c r="B94" s="463" t="s">
        <v>1849</v>
      </c>
      <c r="C94" s="464"/>
      <c r="D94" s="465"/>
      <c r="E94" s="465"/>
      <c r="F94" s="465"/>
      <c r="G94" s="466"/>
      <c r="H94" s="467" t="s">
        <v>1849</v>
      </c>
      <c r="I94" s="462"/>
      <c r="J94" s="463" t="s">
        <v>1849</v>
      </c>
      <c r="K94" s="464"/>
      <c r="L94" s="465"/>
      <c r="M94" s="465"/>
      <c r="N94" s="465"/>
      <c r="O94" s="466"/>
      <c r="P94" s="467" t="s">
        <v>1849</v>
      </c>
    </row>
    <row r="95" spans="1:16" ht="15.75" thickBot="1">
      <c r="A95" s="462"/>
      <c r="B95" s="463" t="s">
        <v>1850</v>
      </c>
      <c r="C95" s="464"/>
      <c r="D95" s="465"/>
      <c r="E95" s="465"/>
      <c r="F95" s="465"/>
      <c r="G95" s="466"/>
      <c r="H95" s="467" t="s">
        <v>1850</v>
      </c>
      <c r="I95" s="462"/>
      <c r="J95" s="463" t="s">
        <v>1850</v>
      </c>
      <c r="K95" s="464"/>
      <c r="L95" s="465"/>
      <c r="M95" s="465"/>
      <c r="N95" s="465"/>
      <c r="O95" s="466"/>
      <c r="P95" s="467" t="s">
        <v>1850</v>
      </c>
    </row>
    <row r="96" spans="1:16" ht="15.75" thickBot="1">
      <c r="A96" s="462"/>
      <c r="B96" s="463" t="s">
        <v>1851</v>
      </c>
      <c r="C96" s="464"/>
      <c r="D96" s="465"/>
      <c r="E96" s="465"/>
      <c r="F96" s="465"/>
      <c r="G96" s="466"/>
      <c r="H96" s="467" t="s">
        <v>1851</v>
      </c>
      <c r="I96" s="462"/>
      <c r="J96" s="463" t="s">
        <v>1851</v>
      </c>
      <c r="K96" s="464"/>
      <c r="L96" s="465"/>
      <c r="M96" s="465"/>
      <c r="N96" s="465"/>
      <c r="O96" s="466"/>
      <c r="P96" s="467" t="s">
        <v>1851</v>
      </c>
    </row>
    <row r="97" spans="1:16" ht="15.75" thickBot="1">
      <c r="A97" s="462"/>
      <c r="B97" s="463" t="s">
        <v>1852</v>
      </c>
      <c r="C97" s="464"/>
      <c r="D97" s="465"/>
      <c r="E97" s="465"/>
      <c r="F97" s="465"/>
      <c r="G97" s="466"/>
      <c r="H97" s="467" t="s">
        <v>1852</v>
      </c>
      <c r="I97" s="462"/>
      <c r="J97" s="463" t="s">
        <v>1852</v>
      </c>
      <c r="K97" s="464"/>
      <c r="L97" s="465"/>
      <c r="M97" s="465"/>
      <c r="N97" s="465"/>
      <c r="O97" s="466"/>
      <c r="P97" s="467" t="s">
        <v>1852</v>
      </c>
    </row>
    <row r="98" spans="1:16" ht="15.75" thickBot="1">
      <c r="A98" s="462"/>
      <c r="B98" s="463" t="s">
        <v>1853</v>
      </c>
      <c r="C98" s="464"/>
      <c r="D98" s="465"/>
      <c r="E98" s="465"/>
      <c r="F98" s="465"/>
      <c r="G98" s="466"/>
      <c r="H98" s="467" t="s">
        <v>1853</v>
      </c>
      <c r="I98" s="462"/>
      <c r="J98" s="463" t="s">
        <v>1853</v>
      </c>
      <c r="K98" s="464"/>
      <c r="L98" s="465"/>
      <c r="M98" s="465"/>
      <c r="N98" s="465"/>
      <c r="O98" s="466"/>
      <c r="P98" s="467" t="s">
        <v>1853</v>
      </c>
    </row>
    <row r="99" spans="1:16" ht="15.75" thickBot="1">
      <c r="A99" s="462"/>
      <c r="B99" s="463" t="s">
        <v>1854</v>
      </c>
      <c r="C99" s="464"/>
      <c r="D99" s="465"/>
      <c r="E99" s="465"/>
      <c r="F99" s="465"/>
      <c r="G99" s="466"/>
      <c r="H99" s="467" t="s">
        <v>1854</v>
      </c>
      <c r="I99" s="462"/>
      <c r="J99" s="463" t="s">
        <v>1854</v>
      </c>
      <c r="K99" s="464"/>
      <c r="L99" s="465"/>
      <c r="M99" s="465"/>
      <c r="N99" s="465"/>
      <c r="O99" s="466"/>
      <c r="P99" s="467" t="s">
        <v>1854</v>
      </c>
    </row>
    <row r="100" spans="1:16" ht="15.75" thickBot="1">
      <c r="A100" s="462"/>
      <c r="B100" s="463" t="s">
        <v>1855</v>
      </c>
      <c r="C100" s="464"/>
      <c r="D100" s="465"/>
      <c r="E100" s="465"/>
      <c r="F100" s="465"/>
      <c r="G100" s="466"/>
      <c r="H100" s="467" t="s">
        <v>1855</v>
      </c>
      <c r="I100" s="462"/>
      <c r="J100" s="463" t="s">
        <v>1855</v>
      </c>
      <c r="K100" s="464"/>
      <c r="L100" s="465"/>
      <c r="M100" s="465"/>
      <c r="N100" s="465"/>
      <c r="O100" s="466"/>
      <c r="P100" s="467" t="s">
        <v>1855</v>
      </c>
    </row>
    <row r="101" spans="1:16" ht="15.75" thickBot="1">
      <c r="A101" s="462"/>
      <c r="B101" s="463" t="s">
        <v>1856</v>
      </c>
      <c r="C101" s="464"/>
      <c r="D101" s="465"/>
      <c r="E101" s="465"/>
      <c r="F101" s="465"/>
      <c r="G101" s="466"/>
      <c r="H101" s="467" t="s">
        <v>1856</v>
      </c>
      <c r="I101" s="462"/>
      <c r="J101" s="463" t="s">
        <v>1856</v>
      </c>
      <c r="K101" s="464"/>
      <c r="L101" s="465"/>
      <c r="M101" s="465"/>
      <c r="N101" s="465"/>
      <c r="O101" s="466"/>
      <c r="P101" s="467" t="s">
        <v>1856</v>
      </c>
    </row>
    <row r="102" spans="1:16" ht="26.25" thickBot="1">
      <c r="A102" s="468"/>
      <c r="B102" s="463" t="s">
        <v>1857</v>
      </c>
      <c r="C102" s="464"/>
      <c r="D102" s="465"/>
      <c r="E102" s="465"/>
      <c r="F102" s="465"/>
      <c r="G102" s="469"/>
      <c r="H102" s="467" t="s">
        <v>1858</v>
      </c>
      <c r="I102" s="468"/>
      <c r="J102" s="463" t="s">
        <v>1857</v>
      </c>
      <c r="K102" s="464"/>
      <c r="L102" s="465"/>
      <c r="M102" s="465"/>
      <c r="N102" s="465"/>
      <c r="O102" s="469"/>
      <c r="P102" s="467" t="s">
        <v>1858</v>
      </c>
    </row>
    <row r="103" spans="1:16" ht="15.75" thickBot="1">
      <c r="A103" s="470" t="s">
        <v>2191</v>
      </c>
      <c r="B103" s="463" t="s">
        <v>1845</v>
      </c>
      <c r="C103" s="464"/>
      <c r="D103" s="465"/>
      <c r="E103" s="465"/>
      <c r="F103" s="465"/>
      <c r="G103" s="471" t="s">
        <v>2191</v>
      </c>
      <c r="H103" s="467" t="s">
        <v>1845</v>
      </c>
      <c r="I103" s="470" t="s">
        <v>2191</v>
      </c>
      <c r="J103" s="463" t="s">
        <v>1845</v>
      </c>
      <c r="K103" s="464"/>
      <c r="L103" s="465"/>
      <c r="M103" s="465"/>
      <c r="N103" s="465"/>
      <c r="O103" s="471" t="s">
        <v>2191</v>
      </c>
      <c r="P103" s="467" t="s">
        <v>1845</v>
      </c>
    </row>
    <row r="104" spans="1:16" ht="15.75" thickBot="1">
      <c r="A104" s="462"/>
      <c r="B104" s="463" t="s">
        <v>1847</v>
      </c>
      <c r="C104" s="464"/>
      <c r="D104" s="465"/>
      <c r="E104" s="465"/>
      <c r="F104" s="465"/>
      <c r="G104" s="466"/>
      <c r="H104" s="467" t="s">
        <v>1847</v>
      </c>
      <c r="I104" s="462"/>
      <c r="J104" s="463" t="s">
        <v>1847</v>
      </c>
      <c r="K104" s="464"/>
      <c r="L104" s="465"/>
      <c r="M104" s="465"/>
      <c r="N104" s="465"/>
      <c r="O104" s="466"/>
      <c r="P104" s="467" t="s">
        <v>1847</v>
      </c>
    </row>
    <row r="105" spans="1:16" ht="15.75" thickBot="1">
      <c r="A105" s="462"/>
      <c r="B105" s="463" t="s">
        <v>1848</v>
      </c>
      <c r="C105" s="464"/>
      <c r="D105" s="465"/>
      <c r="E105" s="465"/>
      <c r="F105" s="465"/>
      <c r="G105" s="466"/>
      <c r="H105" s="467" t="s">
        <v>1848</v>
      </c>
      <c r="I105" s="462"/>
      <c r="J105" s="463" t="s">
        <v>1848</v>
      </c>
      <c r="K105" s="464"/>
      <c r="L105" s="465"/>
      <c r="M105" s="465"/>
      <c r="N105" s="465"/>
      <c r="O105" s="466"/>
      <c r="P105" s="467" t="s">
        <v>1848</v>
      </c>
    </row>
    <row r="106" spans="1:16" ht="15.75" thickBot="1">
      <c r="A106" s="462"/>
      <c r="B106" s="463" t="s">
        <v>1849</v>
      </c>
      <c r="C106" s="464"/>
      <c r="D106" s="465"/>
      <c r="E106" s="465"/>
      <c r="F106" s="465"/>
      <c r="G106" s="466"/>
      <c r="H106" s="467" t="s">
        <v>1849</v>
      </c>
      <c r="I106" s="462"/>
      <c r="J106" s="463" t="s">
        <v>1849</v>
      </c>
      <c r="K106" s="464"/>
      <c r="L106" s="465"/>
      <c r="M106" s="465"/>
      <c r="N106" s="465"/>
      <c r="O106" s="466"/>
      <c r="P106" s="467" t="s">
        <v>1849</v>
      </c>
    </row>
    <row r="107" spans="1:16" ht="15.75" thickBot="1">
      <c r="A107" s="462"/>
      <c r="B107" s="463" t="s">
        <v>1850</v>
      </c>
      <c r="C107" s="464"/>
      <c r="D107" s="465"/>
      <c r="E107" s="465"/>
      <c r="F107" s="465"/>
      <c r="G107" s="466"/>
      <c r="H107" s="467" t="s">
        <v>1850</v>
      </c>
      <c r="I107" s="462"/>
      <c r="J107" s="463" t="s">
        <v>1850</v>
      </c>
      <c r="K107" s="464"/>
      <c r="L107" s="465"/>
      <c r="M107" s="465"/>
      <c r="N107" s="465"/>
      <c r="O107" s="466"/>
      <c r="P107" s="467" t="s">
        <v>1850</v>
      </c>
    </row>
    <row r="108" spans="1:16" ht="15.75" thickBot="1">
      <c r="A108" s="462"/>
      <c r="B108" s="463" t="s">
        <v>1851</v>
      </c>
      <c r="C108" s="464"/>
      <c r="D108" s="465"/>
      <c r="E108" s="465"/>
      <c r="F108" s="465"/>
      <c r="G108" s="466"/>
      <c r="H108" s="467" t="s">
        <v>1851</v>
      </c>
      <c r="I108" s="462"/>
      <c r="J108" s="463" t="s">
        <v>1851</v>
      </c>
      <c r="K108" s="464"/>
      <c r="L108" s="465"/>
      <c r="M108" s="465"/>
      <c r="N108" s="465"/>
      <c r="O108" s="466"/>
      <c r="P108" s="467" t="s">
        <v>1851</v>
      </c>
    </row>
    <row r="109" spans="1:16" ht="15.75" thickBot="1">
      <c r="A109" s="462"/>
      <c r="B109" s="463" t="s">
        <v>1852</v>
      </c>
      <c r="C109" s="464"/>
      <c r="D109" s="465"/>
      <c r="E109" s="465"/>
      <c r="F109" s="465"/>
      <c r="G109" s="466"/>
      <c r="H109" s="467" t="s">
        <v>1852</v>
      </c>
      <c r="I109" s="462"/>
      <c r="J109" s="463" t="s">
        <v>1852</v>
      </c>
      <c r="K109" s="464"/>
      <c r="L109" s="465"/>
      <c r="M109" s="465"/>
      <c r="N109" s="465"/>
      <c r="O109" s="466"/>
      <c r="P109" s="467" t="s">
        <v>1852</v>
      </c>
    </row>
    <row r="110" spans="1:16" ht="15.75" thickBot="1">
      <c r="A110" s="462"/>
      <c r="B110" s="463" t="s">
        <v>1853</v>
      </c>
      <c r="C110" s="464"/>
      <c r="D110" s="465"/>
      <c r="E110" s="465"/>
      <c r="F110" s="465"/>
      <c r="G110" s="466"/>
      <c r="H110" s="467" t="s">
        <v>1853</v>
      </c>
      <c r="I110" s="462"/>
      <c r="J110" s="463" t="s">
        <v>1853</v>
      </c>
      <c r="K110" s="464"/>
      <c r="L110" s="465"/>
      <c r="M110" s="465"/>
      <c r="N110" s="465"/>
      <c r="O110" s="466"/>
      <c r="P110" s="467" t="s">
        <v>1853</v>
      </c>
    </row>
    <row r="111" spans="1:16" ht="15.75" thickBot="1">
      <c r="A111" s="462"/>
      <c r="B111" s="463" t="s">
        <v>1854</v>
      </c>
      <c r="C111" s="464"/>
      <c r="D111" s="465"/>
      <c r="E111" s="465"/>
      <c r="F111" s="465"/>
      <c r="G111" s="466"/>
      <c r="H111" s="467" t="s">
        <v>1854</v>
      </c>
      <c r="I111" s="462"/>
      <c r="J111" s="463" t="s">
        <v>1854</v>
      </c>
      <c r="K111" s="464"/>
      <c r="L111" s="465"/>
      <c r="M111" s="465"/>
      <c r="N111" s="465"/>
      <c r="O111" s="466"/>
      <c r="P111" s="467" t="s">
        <v>1854</v>
      </c>
    </row>
    <row r="112" spans="1:16" ht="15.75" thickBot="1">
      <c r="A112" s="462"/>
      <c r="B112" s="463" t="s">
        <v>1855</v>
      </c>
      <c r="C112" s="464"/>
      <c r="D112" s="465"/>
      <c r="E112" s="465"/>
      <c r="F112" s="465"/>
      <c r="G112" s="466"/>
      <c r="H112" s="467" t="s">
        <v>1855</v>
      </c>
      <c r="I112" s="462"/>
      <c r="J112" s="463" t="s">
        <v>1855</v>
      </c>
      <c r="K112" s="464"/>
      <c r="L112" s="465"/>
      <c r="M112" s="465"/>
      <c r="N112" s="465"/>
      <c r="O112" s="466"/>
      <c r="P112" s="467" t="s">
        <v>1855</v>
      </c>
    </row>
    <row r="113" spans="1:16" ht="15.75" thickBot="1">
      <c r="A113" s="462"/>
      <c r="B113" s="463" t="s">
        <v>1856</v>
      </c>
      <c r="C113" s="464"/>
      <c r="D113" s="465"/>
      <c r="E113" s="465"/>
      <c r="F113" s="465"/>
      <c r="G113" s="466"/>
      <c r="H113" s="467" t="s">
        <v>1856</v>
      </c>
      <c r="I113" s="462"/>
      <c r="J113" s="463" t="s">
        <v>1856</v>
      </c>
      <c r="K113" s="464"/>
      <c r="L113" s="465"/>
      <c r="M113" s="465"/>
      <c r="N113" s="465"/>
      <c r="O113" s="466"/>
      <c r="P113" s="467" t="s">
        <v>1856</v>
      </c>
    </row>
    <row r="114" spans="1:16" ht="26.25" thickBot="1">
      <c r="A114" s="468"/>
      <c r="B114" s="463" t="s">
        <v>1857</v>
      </c>
      <c r="C114" s="464"/>
      <c r="D114" s="465"/>
      <c r="E114" s="465"/>
      <c r="F114" s="465"/>
      <c r="G114" s="469"/>
      <c r="H114" s="467" t="s">
        <v>1858</v>
      </c>
      <c r="I114" s="468"/>
      <c r="J114" s="463" t="s">
        <v>1857</v>
      </c>
      <c r="K114" s="464"/>
      <c r="L114" s="465"/>
      <c r="M114" s="465"/>
      <c r="N114" s="465"/>
      <c r="O114" s="469"/>
      <c r="P114" s="467" t="s">
        <v>1858</v>
      </c>
    </row>
    <row r="115" spans="1:16" ht="15.75" thickBot="1">
      <c r="A115" s="470" t="s">
        <v>2192</v>
      </c>
      <c r="B115" s="463" t="s">
        <v>1845</v>
      </c>
      <c r="C115" s="464"/>
      <c r="D115" s="465"/>
      <c r="E115" s="465"/>
      <c r="F115" s="465"/>
      <c r="G115" s="471" t="s">
        <v>2192</v>
      </c>
      <c r="H115" s="467" t="s">
        <v>1845</v>
      </c>
      <c r="I115" s="470" t="s">
        <v>2192</v>
      </c>
      <c r="J115" s="463" t="s">
        <v>1845</v>
      </c>
      <c r="K115" s="464"/>
      <c r="L115" s="465"/>
      <c r="M115" s="465"/>
      <c r="N115" s="465"/>
      <c r="O115" s="471" t="s">
        <v>2192</v>
      </c>
      <c r="P115" s="467" t="s">
        <v>1845</v>
      </c>
    </row>
    <row r="116" spans="1:16" ht="15.75" thickBot="1">
      <c r="A116" s="462"/>
      <c r="B116" s="463" t="s">
        <v>1847</v>
      </c>
      <c r="C116" s="464"/>
      <c r="D116" s="465"/>
      <c r="E116" s="465"/>
      <c r="F116" s="465"/>
      <c r="G116" s="466"/>
      <c r="H116" s="467" t="s">
        <v>1847</v>
      </c>
      <c r="I116" s="462"/>
      <c r="J116" s="463" t="s">
        <v>1847</v>
      </c>
      <c r="K116" s="464"/>
      <c r="L116" s="465"/>
      <c r="M116" s="465"/>
      <c r="N116" s="465"/>
      <c r="O116" s="466"/>
      <c r="P116" s="467" t="s">
        <v>1847</v>
      </c>
    </row>
    <row r="117" spans="1:16" ht="15.75" thickBot="1">
      <c r="A117" s="462"/>
      <c r="B117" s="463" t="s">
        <v>1848</v>
      </c>
      <c r="C117" s="464"/>
      <c r="D117" s="465"/>
      <c r="E117" s="465"/>
      <c r="F117" s="465"/>
      <c r="G117" s="466"/>
      <c r="H117" s="467" t="s">
        <v>1848</v>
      </c>
      <c r="I117" s="462"/>
      <c r="J117" s="463" t="s">
        <v>1848</v>
      </c>
      <c r="K117" s="464"/>
      <c r="L117" s="465"/>
      <c r="M117" s="465"/>
      <c r="N117" s="465"/>
      <c r="O117" s="466"/>
      <c r="P117" s="467" t="s">
        <v>1848</v>
      </c>
    </row>
    <row r="118" spans="1:16" ht="15.75" thickBot="1">
      <c r="A118" s="462"/>
      <c r="B118" s="463" t="s">
        <v>1849</v>
      </c>
      <c r="C118" s="464"/>
      <c r="D118" s="465"/>
      <c r="E118" s="465"/>
      <c r="F118" s="465"/>
      <c r="G118" s="466"/>
      <c r="H118" s="467" t="s">
        <v>1849</v>
      </c>
      <c r="I118" s="462"/>
      <c r="J118" s="463" t="s">
        <v>1849</v>
      </c>
      <c r="K118" s="464"/>
      <c r="L118" s="465"/>
      <c r="M118" s="465"/>
      <c r="N118" s="465"/>
      <c r="O118" s="466"/>
      <c r="P118" s="467" t="s">
        <v>1849</v>
      </c>
    </row>
    <row r="119" spans="1:16" ht="15.75" thickBot="1">
      <c r="A119" s="462"/>
      <c r="B119" s="463" t="s">
        <v>1850</v>
      </c>
      <c r="C119" s="464"/>
      <c r="D119" s="465"/>
      <c r="E119" s="465"/>
      <c r="F119" s="465"/>
      <c r="G119" s="466"/>
      <c r="H119" s="467" t="s">
        <v>1850</v>
      </c>
      <c r="I119" s="462"/>
      <c r="J119" s="463" t="s">
        <v>1850</v>
      </c>
      <c r="K119" s="464"/>
      <c r="L119" s="465"/>
      <c r="M119" s="465"/>
      <c r="N119" s="465"/>
      <c r="O119" s="466"/>
      <c r="P119" s="467" t="s">
        <v>1850</v>
      </c>
    </row>
    <row r="120" spans="1:16" ht="15.75" thickBot="1">
      <c r="A120" s="462"/>
      <c r="B120" s="463" t="s">
        <v>1851</v>
      </c>
      <c r="C120" s="464"/>
      <c r="D120" s="465"/>
      <c r="E120" s="465"/>
      <c r="F120" s="465"/>
      <c r="G120" s="466"/>
      <c r="H120" s="467" t="s">
        <v>1851</v>
      </c>
      <c r="I120" s="462"/>
      <c r="J120" s="463" t="s">
        <v>1851</v>
      </c>
      <c r="K120" s="464"/>
      <c r="L120" s="465"/>
      <c r="M120" s="465"/>
      <c r="N120" s="465"/>
      <c r="O120" s="466"/>
      <c r="P120" s="467" t="s">
        <v>1851</v>
      </c>
    </row>
    <row r="121" spans="1:16" ht="15.75" thickBot="1">
      <c r="A121" s="462"/>
      <c r="B121" s="463" t="s">
        <v>1852</v>
      </c>
      <c r="C121" s="464"/>
      <c r="D121" s="465"/>
      <c r="E121" s="465"/>
      <c r="F121" s="465"/>
      <c r="G121" s="466"/>
      <c r="H121" s="467" t="s">
        <v>1852</v>
      </c>
      <c r="I121" s="462"/>
      <c r="J121" s="463" t="s">
        <v>1852</v>
      </c>
      <c r="K121" s="464"/>
      <c r="L121" s="465"/>
      <c r="M121" s="465"/>
      <c r="N121" s="465"/>
      <c r="O121" s="466"/>
      <c r="P121" s="467" t="s">
        <v>1852</v>
      </c>
    </row>
    <row r="122" spans="1:16" ht="15.75" thickBot="1">
      <c r="A122" s="462"/>
      <c r="B122" s="463" t="s">
        <v>1853</v>
      </c>
      <c r="C122" s="464"/>
      <c r="D122" s="465"/>
      <c r="E122" s="465"/>
      <c r="F122" s="465"/>
      <c r="G122" s="466"/>
      <c r="H122" s="467" t="s">
        <v>1853</v>
      </c>
      <c r="I122" s="462"/>
      <c r="J122" s="463" t="s">
        <v>1853</v>
      </c>
      <c r="K122" s="464"/>
      <c r="L122" s="465"/>
      <c r="M122" s="465"/>
      <c r="N122" s="465"/>
      <c r="O122" s="466"/>
      <c r="P122" s="467" t="s">
        <v>1853</v>
      </c>
    </row>
    <row r="123" spans="1:16" ht="15.75" thickBot="1">
      <c r="A123" s="462"/>
      <c r="B123" s="463" t="s">
        <v>1854</v>
      </c>
      <c r="C123" s="464"/>
      <c r="D123" s="465"/>
      <c r="E123" s="465"/>
      <c r="F123" s="465"/>
      <c r="G123" s="466"/>
      <c r="H123" s="467" t="s">
        <v>1854</v>
      </c>
      <c r="I123" s="462"/>
      <c r="J123" s="463" t="s">
        <v>1854</v>
      </c>
      <c r="K123" s="464"/>
      <c r="L123" s="465"/>
      <c r="M123" s="465"/>
      <c r="N123" s="465"/>
      <c r="O123" s="466"/>
      <c r="P123" s="467" t="s">
        <v>1854</v>
      </c>
    </row>
    <row r="124" spans="1:16" ht="15.75" thickBot="1">
      <c r="A124" s="462"/>
      <c r="B124" s="463" t="s">
        <v>1855</v>
      </c>
      <c r="C124" s="464"/>
      <c r="D124" s="465"/>
      <c r="E124" s="465"/>
      <c r="F124" s="465"/>
      <c r="G124" s="466"/>
      <c r="H124" s="467" t="s">
        <v>1855</v>
      </c>
      <c r="I124" s="462"/>
      <c r="J124" s="463" t="s">
        <v>1855</v>
      </c>
      <c r="K124" s="464"/>
      <c r="L124" s="465"/>
      <c r="M124" s="465"/>
      <c r="N124" s="465"/>
      <c r="O124" s="466"/>
      <c r="P124" s="467" t="s">
        <v>1855</v>
      </c>
    </row>
    <row r="125" spans="1:16" ht="15.75" thickBot="1">
      <c r="A125" s="462"/>
      <c r="B125" s="463" t="s">
        <v>1856</v>
      </c>
      <c r="C125" s="464"/>
      <c r="D125" s="465"/>
      <c r="E125" s="465"/>
      <c r="F125" s="465"/>
      <c r="G125" s="466"/>
      <c r="H125" s="467" t="s">
        <v>1856</v>
      </c>
      <c r="I125" s="462"/>
      <c r="J125" s="463" t="s">
        <v>1856</v>
      </c>
      <c r="K125" s="464"/>
      <c r="L125" s="465"/>
      <c r="M125" s="465"/>
      <c r="N125" s="465"/>
      <c r="O125" s="466"/>
      <c r="P125" s="467" t="s">
        <v>1856</v>
      </c>
    </row>
    <row r="126" spans="1:16" ht="26.25" thickBot="1">
      <c r="A126" s="468"/>
      <c r="B126" s="463" t="s">
        <v>1857</v>
      </c>
      <c r="C126" s="464"/>
      <c r="D126" s="465"/>
      <c r="E126" s="465"/>
      <c r="F126" s="465"/>
      <c r="G126" s="469"/>
      <c r="H126" s="467" t="s">
        <v>1858</v>
      </c>
      <c r="I126" s="468"/>
      <c r="J126" s="463" t="s">
        <v>1857</v>
      </c>
      <c r="K126" s="464"/>
      <c r="L126" s="465"/>
      <c r="M126" s="465"/>
      <c r="N126" s="465"/>
      <c r="O126" s="469"/>
      <c r="P126" s="467" t="s">
        <v>1858</v>
      </c>
    </row>
    <row r="127" spans="1:16" ht="15.75" thickBot="1">
      <c r="A127" s="470" t="s">
        <v>2193</v>
      </c>
      <c r="B127" s="463" t="s">
        <v>1845</v>
      </c>
      <c r="C127" s="464"/>
      <c r="D127" s="465"/>
      <c r="E127" s="465"/>
      <c r="F127" s="465"/>
      <c r="G127" s="471" t="s">
        <v>2193</v>
      </c>
      <c r="H127" s="467" t="s">
        <v>1845</v>
      </c>
      <c r="I127" s="470" t="s">
        <v>2193</v>
      </c>
      <c r="J127" s="463" t="s">
        <v>1845</v>
      </c>
      <c r="K127" s="464"/>
      <c r="L127" s="465"/>
      <c r="M127" s="465"/>
      <c r="N127" s="465"/>
      <c r="O127" s="471" t="s">
        <v>2193</v>
      </c>
      <c r="P127" s="467" t="s">
        <v>1845</v>
      </c>
    </row>
    <row r="128" spans="1:16" ht="15.75" thickBot="1">
      <c r="A128" s="462"/>
      <c r="B128" s="463" t="s">
        <v>1847</v>
      </c>
      <c r="C128" s="464"/>
      <c r="D128" s="465"/>
      <c r="E128" s="465"/>
      <c r="F128" s="465"/>
      <c r="G128" s="466"/>
      <c r="H128" s="467" t="s">
        <v>1847</v>
      </c>
      <c r="I128" s="462"/>
      <c r="J128" s="463" t="s">
        <v>1847</v>
      </c>
      <c r="K128" s="464"/>
      <c r="L128" s="465"/>
      <c r="M128" s="465"/>
      <c r="N128" s="465"/>
      <c r="O128" s="466"/>
      <c r="P128" s="467" t="s">
        <v>1847</v>
      </c>
    </row>
    <row r="129" spans="1:16" ht="15.75" thickBot="1">
      <c r="A129" s="462"/>
      <c r="B129" s="463" t="s">
        <v>1848</v>
      </c>
      <c r="C129" s="464"/>
      <c r="D129" s="465"/>
      <c r="E129" s="465"/>
      <c r="F129" s="465"/>
      <c r="G129" s="466"/>
      <c r="H129" s="467" t="s">
        <v>1848</v>
      </c>
      <c r="I129" s="462"/>
      <c r="J129" s="463" t="s">
        <v>1848</v>
      </c>
      <c r="K129" s="464"/>
      <c r="L129" s="465"/>
      <c r="M129" s="465"/>
      <c r="N129" s="465"/>
      <c r="O129" s="466"/>
      <c r="P129" s="467" t="s">
        <v>1848</v>
      </c>
    </row>
    <row r="130" spans="1:16" ht="15.75" thickBot="1">
      <c r="A130" s="462"/>
      <c r="B130" s="463" t="s">
        <v>1849</v>
      </c>
      <c r="C130" s="464"/>
      <c r="D130" s="465"/>
      <c r="E130" s="465"/>
      <c r="F130" s="465"/>
      <c r="G130" s="466"/>
      <c r="H130" s="467" t="s">
        <v>1849</v>
      </c>
      <c r="I130" s="462"/>
      <c r="J130" s="463" t="s">
        <v>1849</v>
      </c>
      <c r="K130" s="464"/>
      <c r="L130" s="465"/>
      <c r="M130" s="465"/>
      <c r="N130" s="465"/>
      <c r="O130" s="466"/>
      <c r="P130" s="467" t="s">
        <v>1849</v>
      </c>
    </row>
    <row r="131" spans="1:16" ht="15.75" thickBot="1">
      <c r="A131" s="462"/>
      <c r="B131" s="463" t="s">
        <v>1850</v>
      </c>
      <c r="C131" s="464"/>
      <c r="D131" s="465"/>
      <c r="E131" s="465"/>
      <c r="F131" s="465"/>
      <c r="G131" s="466"/>
      <c r="H131" s="467" t="s">
        <v>1850</v>
      </c>
      <c r="I131" s="462"/>
      <c r="J131" s="463" t="s">
        <v>1850</v>
      </c>
      <c r="K131" s="464"/>
      <c r="L131" s="465"/>
      <c r="M131" s="465"/>
      <c r="N131" s="465"/>
      <c r="O131" s="466"/>
      <c r="P131" s="467" t="s">
        <v>1850</v>
      </c>
    </row>
    <row r="132" spans="1:16" ht="15.75" thickBot="1">
      <c r="A132" s="462"/>
      <c r="B132" s="463" t="s">
        <v>1851</v>
      </c>
      <c r="C132" s="464"/>
      <c r="D132" s="465"/>
      <c r="E132" s="465"/>
      <c r="F132" s="465"/>
      <c r="G132" s="466"/>
      <c r="H132" s="467" t="s">
        <v>1851</v>
      </c>
      <c r="I132" s="462"/>
      <c r="J132" s="463" t="s">
        <v>1851</v>
      </c>
      <c r="K132" s="464"/>
      <c r="L132" s="465"/>
      <c r="M132" s="465"/>
      <c r="N132" s="465"/>
      <c r="O132" s="466"/>
      <c r="P132" s="467" t="s">
        <v>1851</v>
      </c>
    </row>
    <row r="133" spans="1:16" ht="15.75" thickBot="1">
      <c r="A133" s="462"/>
      <c r="B133" s="463" t="s">
        <v>1852</v>
      </c>
      <c r="C133" s="464"/>
      <c r="D133" s="465"/>
      <c r="E133" s="465"/>
      <c r="F133" s="465"/>
      <c r="G133" s="466"/>
      <c r="H133" s="467" t="s">
        <v>1852</v>
      </c>
      <c r="I133" s="462"/>
      <c r="J133" s="463" t="s">
        <v>1852</v>
      </c>
      <c r="K133" s="464"/>
      <c r="L133" s="465"/>
      <c r="M133" s="465"/>
      <c r="N133" s="465"/>
      <c r="O133" s="466"/>
      <c r="P133" s="467" t="s">
        <v>1852</v>
      </c>
    </row>
    <row r="134" spans="1:16" ht="15.75" thickBot="1">
      <c r="A134" s="462"/>
      <c r="B134" s="463" t="s">
        <v>1853</v>
      </c>
      <c r="C134" s="464"/>
      <c r="D134" s="465"/>
      <c r="E134" s="465"/>
      <c r="F134" s="465"/>
      <c r="G134" s="466"/>
      <c r="H134" s="467" t="s">
        <v>1853</v>
      </c>
      <c r="I134" s="462"/>
      <c r="J134" s="463" t="s">
        <v>1853</v>
      </c>
      <c r="K134" s="464"/>
      <c r="L134" s="465"/>
      <c r="M134" s="465"/>
      <c r="N134" s="465"/>
      <c r="O134" s="466"/>
      <c r="P134" s="467" t="s">
        <v>1853</v>
      </c>
    </row>
    <row r="135" spans="1:16" ht="15.75" thickBot="1">
      <c r="A135" s="462"/>
      <c r="B135" s="463" t="s">
        <v>1854</v>
      </c>
      <c r="C135" s="464"/>
      <c r="D135" s="465"/>
      <c r="E135" s="465"/>
      <c r="F135" s="465"/>
      <c r="G135" s="466"/>
      <c r="H135" s="467" t="s">
        <v>1854</v>
      </c>
      <c r="I135" s="462"/>
      <c r="J135" s="463" t="s">
        <v>1854</v>
      </c>
      <c r="K135" s="464"/>
      <c r="L135" s="465"/>
      <c r="M135" s="465"/>
      <c r="N135" s="465"/>
      <c r="O135" s="466"/>
      <c r="P135" s="467" t="s">
        <v>1854</v>
      </c>
    </row>
    <row r="136" spans="1:16" ht="15.75" thickBot="1">
      <c r="A136" s="462"/>
      <c r="B136" s="463" t="s">
        <v>1855</v>
      </c>
      <c r="C136" s="464"/>
      <c r="D136" s="465"/>
      <c r="E136" s="465"/>
      <c r="F136" s="465"/>
      <c r="G136" s="466"/>
      <c r="H136" s="467" t="s">
        <v>1855</v>
      </c>
      <c r="I136" s="462"/>
      <c r="J136" s="463" t="s">
        <v>1855</v>
      </c>
      <c r="K136" s="464"/>
      <c r="L136" s="465"/>
      <c r="M136" s="465"/>
      <c r="N136" s="465"/>
      <c r="O136" s="466"/>
      <c r="P136" s="467" t="s">
        <v>1855</v>
      </c>
    </row>
    <row r="137" spans="1:16" ht="15.75" thickBot="1">
      <c r="A137" s="462"/>
      <c r="B137" s="463" t="s">
        <v>1856</v>
      </c>
      <c r="C137" s="464"/>
      <c r="D137" s="465"/>
      <c r="E137" s="465"/>
      <c r="F137" s="465"/>
      <c r="G137" s="466"/>
      <c r="H137" s="467" t="s">
        <v>1856</v>
      </c>
      <c r="I137" s="462"/>
      <c r="J137" s="463" t="s">
        <v>1856</v>
      </c>
      <c r="K137" s="464"/>
      <c r="L137" s="465"/>
      <c r="M137" s="465"/>
      <c r="N137" s="465"/>
      <c r="O137" s="466"/>
      <c r="P137" s="467" t="s">
        <v>1856</v>
      </c>
    </row>
    <row r="138" spans="1:16" ht="26.25" thickBot="1">
      <c r="A138" s="468"/>
      <c r="B138" s="463" t="s">
        <v>1857</v>
      </c>
      <c r="C138" s="464"/>
      <c r="D138" s="465"/>
      <c r="E138" s="465"/>
      <c r="F138" s="465"/>
      <c r="G138" s="469"/>
      <c r="H138" s="467" t="s">
        <v>1858</v>
      </c>
      <c r="I138" s="468"/>
      <c r="J138" s="463" t="s">
        <v>1857</v>
      </c>
      <c r="K138" s="464"/>
      <c r="L138" s="465"/>
      <c r="M138" s="465"/>
      <c r="N138" s="465"/>
      <c r="O138" s="469"/>
      <c r="P138" s="467" t="s">
        <v>1858</v>
      </c>
    </row>
    <row r="139" spans="1:16" ht="15.75" thickBot="1">
      <c r="A139" s="470" t="s">
        <v>2194</v>
      </c>
      <c r="B139" s="463" t="s">
        <v>1845</v>
      </c>
      <c r="C139" s="464"/>
      <c r="D139" s="465"/>
      <c r="E139" s="465"/>
      <c r="F139" s="465"/>
      <c r="G139" s="471" t="s">
        <v>2194</v>
      </c>
      <c r="H139" s="467" t="s">
        <v>1845</v>
      </c>
      <c r="I139" s="470" t="s">
        <v>2194</v>
      </c>
      <c r="J139" s="463" t="s">
        <v>1845</v>
      </c>
      <c r="K139" s="464"/>
      <c r="L139" s="465"/>
      <c r="M139" s="465"/>
      <c r="N139" s="465"/>
      <c r="O139" s="471" t="s">
        <v>2194</v>
      </c>
      <c r="P139" s="467" t="s">
        <v>1845</v>
      </c>
    </row>
    <row r="140" spans="1:16" ht="15.75" thickBot="1">
      <c r="A140" s="462"/>
      <c r="B140" s="463" t="s">
        <v>1847</v>
      </c>
      <c r="C140" s="464"/>
      <c r="D140" s="465"/>
      <c r="E140" s="465"/>
      <c r="F140" s="465"/>
      <c r="G140" s="466"/>
      <c r="H140" s="467" t="s">
        <v>1847</v>
      </c>
      <c r="I140" s="462"/>
      <c r="J140" s="463" t="s">
        <v>1847</v>
      </c>
      <c r="K140" s="464"/>
      <c r="L140" s="465"/>
      <c r="M140" s="465"/>
      <c r="N140" s="465"/>
      <c r="O140" s="466"/>
      <c r="P140" s="467" t="s">
        <v>1847</v>
      </c>
    </row>
    <row r="141" spans="1:16" ht="15.75" thickBot="1">
      <c r="A141" s="462"/>
      <c r="B141" s="463" t="s">
        <v>1848</v>
      </c>
      <c r="C141" s="464"/>
      <c r="D141" s="465"/>
      <c r="E141" s="465"/>
      <c r="F141" s="465"/>
      <c r="G141" s="466"/>
      <c r="H141" s="467" t="s">
        <v>1848</v>
      </c>
      <c r="I141" s="462"/>
      <c r="J141" s="463" t="s">
        <v>1848</v>
      </c>
      <c r="K141" s="464"/>
      <c r="L141" s="465"/>
      <c r="M141" s="465"/>
      <c r="N141" s="465"/>
      <c r="O141" s="466"/>
      <c r="P141" s="467" t="s">
        <v>1848</v>
      </c>
    </row>
    <row r="142" spans="1:16" ht="15.75" thickBot="1">
      <c r="A142" s="462"/>
      <c r="B142" s="463" t="s">
        <v>1849</v>
      </c>
      <c r="C142" s="464"/>
      <c r="D142" s="465"/>
      <c r="E142" s="465"/>
      <c r="F142" s="465"/>
      <c r="G142" s="466"/>
      <c r="H142" s="467" t="s">
        <v>1849</v>
      </c>
      <c r="I142" s="462"/>
      <c r="J142" s="463" t="s">
        <v>1849</v>
      </c>
      <c r="K142" s="464"/>
      <c r="L142" s="465"/>
      <c r="M142" s="465"/>
      <c r="N142" s="465"/>
      <c r="O142" s="466"/>
      <c r="P142" s="467" t="s">
        <v>1849</v>
      </c>
    </row>
    <row r="143" spans="1:16" ht="15.75" thickBot="1">
      <c r="A143" s="462"/>
      <c r="B143" s="463" t="s">
        <v>1850</v>
      </c>
      <c r="C143" s="464"/>
      <c r="D143" s="465"/>
      <c r="E143" s="465"/>
      <c r="F143" s="465"/>
      <c r="G143" s="466"/>
      <c r="H143" s="467" t="s">
        <v>1850</v>
      </c>
      <c r="I143" s="462"/>
      <c r="J143" s="463" t="s">
        <v>1850</v>
      </c>
      <c r="K143" s="464"/>
      <c r="L143" s="465"/>
      <c r="M143" s="465"/>
      <c r="N143" s="465"/>
      <c r="O143" s="466"/>
      <c r="P143" s="467" t="s">
        <v>1850</v>
      </c>
    </row>
    <row r="144" spans="1:16" ht="15.75" thickBot="1">
      <c r="A144" s="462"/>
      <c r="B144" s="463" t="s">
        <v>1851</v>
      </c>
      <c r="C144" s="464"/>
      <c r="D144" s="465"/>
      <c r="E144" s="465"/>
      <c r="F144" s="465"/>
      <c r="G144" s="466"/>
      <c r="H144" s="467" t="s">
        <v>1851</v>
      </c>
      <c r="I144" s="462"/>
      <c r="J144" s="463" t="s">
        <v>1851</v>
      </c>
      <c r="K144" s="464"/>
      <c r="L144" s="465"/>
      <c r="M144" s="465"/>
      <c r="N144" s="465"/>
      <c r="O144" s="466"/>
      <c r="P144" s="467" t="s">
        <v>1851</v>
      </c>
    </row>
    <row r="145" spans="1:16" ht="15.75" thickBot="1">
      <c r="A145" s="462"/>
      <c r="B145" s="463" t="s">
        <v>1852</v>
      </c>
      <c r="C145" s="464"/>
      <c r="D145" s="465"/>
      <c r="E145" s="465"/>
      <c r="F145" s="465"/>
      <c r="G145" s="466"/>
      <c r="H145" s="467" t="s">
        <v>1852</v>
      </c>
      <c r="I145" s="462"/>
      <c r="J145" s="463" t="s">
        <v>1852</v>
      </c>
      <c r="K145" s="464"/>
      <c r="L145" s="465"/>
      <c r="M145" s="465"/>
      <c r="N145" s="465"/>
      <c r="O145" s="466"/>
      <c r="P145" s="467" t="s">
        <v>1852</v>
      </c>
    </row>
    <row r="146" spans="1:16" ht="15.75" thickBot="1">
      <c r="A146" s="462"/>
      <c r="B146" s="463" t="s">
        <v>1853</v>
      </c>
      <c r="C146" s="464"/>
      <c r="D146" s="465"/>
      <c r="E146" s="465"/>
      <c r="F146" s="465"/>
      <c r="G146" s="466"/>
      <c r="H146" s="467" t="s">
        <v>1853</v>
      </c>
      <c r="I146" s="462"/>
      <c r="J146" s="463" t="s">
        <v>1853</v>
      </c>
      <c r="K146" s="464"/>
      <c r="L146" s="465"/>
      <c r="M146" s="465"/>
      <c r="N146" s="465"/>
      <c r="O146" s="466"/>
      <c r="P146" s="467" t="s">
        <v>1853</v>
      </c>
    </row>
    <row r="147" spans="1:16" ht="15.75" thickBot="1">
      <c r="A147" s="462"/>
      <c r="B147" s="463" t="s">
        <v>1854</v>
      </c>
      <c r="C147" s="464"/>
      <c r="D147" s="465"/>
      <c r="E147" s="465"/>
      <c r="F147" s="465"/>
      <c r="G147" s="466"/>
      <c r="H147" s="467" t="s">
        <v>1854</v>
      </c>
      <c r="I147" s="462"/>
      <c r="J147" s="463" t="s">
        <v>1854</v>
      </c>
      <c r="K147" s="464"/>
      <c r="L147" s="465"/>
      <c r="M147" s="465"/>
      <c r="N147" s="465"/>
      <c r="O147" s="466"/>
      <c r="P147" s="467" t="s">
        <v>1854</v>
      </c>
    </row>
    <row r="148" spans="1:16" ht="15.75" thickBot="1">
      <c r="A148" s="462"/>
      <c r="B148" s="463" t="s">
        <v>1855</v>
      </c>
      <c r="C148" s="464"/>
      <c r="D148" s="465"/>
      <c r="E148" s="465"/>
      <c r="F148" s="465"/>
      <c r="G148" s="466"/>
      <c r="H148" s="467" t="s">
        <v>1855</v>
      </c>
      <c r="I148" s="462"/>
      <c r="J148" s="463" t="s">
        <v>1855</v>
      </c>
      <c r="K148" s="464"/>
      <c r="L148" s="465"/>
      <c r="M148" s="465"/>
      <c r="N148" s="465"/>
      <c r="O148" s="466"/>
      <c r="P148" s="467" t="s">
        <v>1855</v>
      </c>
    </row>
    <row r="149" spans="1:16" ht="15.75" thickBot="1">
      <c r="A149" s="462"/>
      <c r="B149" s="463" t="s">
        <v>1856</v>
      </c>
      <c r="C149" s="464"/>
      <c r="D149" s="465"/>
      <c r="E149" s="465"/>
      <c r="F149" s="465"/>
      <c r="G149" s="466"/>
      <c r="H149" s="467" t="s">
        <v>1856</v>
      </c>
      <c r="I149" s="462"/>
      <c r="J149" s="463" t="s">
        <v>1856</v>
      </c>
      <c r="K149" s="464"/>
      <c r="L149" s="465"/>
      <c r="M149" s="465"/>
      <c r="N149" s="465"/>
      <c r="O149" s="466"/>
      <c r="P149" s="467" t="s">
        <v>1856</v>
      </c>
    </row>
    <row r="150" spans="1:16" ht="26.25" thickBot="1">
      <c r="A150" s="468"/>
      <c r="B150" s="463" t="s">
        <v>1857</v>
      </c>
      <c r="C150" s="464"/>
      <c r="D150" s="465"/>
      <c r="E150" s="465"/>
      <c r="F150" s="465"/>
      <c r="G150" s="469"/>
      <c r="H150" s="467" t="s">
        <v>1858</v>
      </c>
      <c r="I150" s="468"/>
      <c r="J150" s="463" t="s">
        <v>1857</v>
      </c>
      <c r="K150" s="464"/>
      <c r="L150" s="465"/>
      <c r="M150" s="465"/>
      <c r="N150" s="465"/>
      <c r="O150" s="469"/>
      <c r="P150" s="467" t="s">
        <v>1858</v>
      </c>
    </row>
    <row r="151" spans="1:16" ht="15.75" thickBot="1">
      <c r="A151" s="470" t="s">
        <v>2195</v>
      </c>
      <c r="B151" s="463" t="s">
        <v>1845</v>
      </c>
      <c r="C151" s="464"/>
      <c r="D151" s="465"/>
      <c r="E151" s="465"/>
      <c r="F151" s="465"/>
      <c r="G151" s="471" t="s">
        <v>2195</v>
      </c>
      <c r="H151" s="467" t="s">
        <v>1845</v>
      </c>
      <c r="I151" s="470" t="s">
        <v>2195</v>
      </c>
      <c r="J151" s="463" t="s">
        <v>1845</v>
      </c>
      <c r="K151" s="464"/>
      <c r="L151" s="465"/>
      <c r="M151" s="465"/>
      <c r="N151" s="465"/>
      <c r="O151" s="471" t="s">
        <v>2195</v>
      </c>
      <c r="P151" s="467" t="s">
        <v>1845</v>
      </c>
    </row>
    <row r="152" spans="1:16" ht="15.75" thickBot="1">
      <c r="A152" s="462"/>
      <c r="B152" s="463" t="s">
        <v>1847</v>
      </c>
      <c r="C152" s="464"/>
      <c r="D152" s="465"/>
      <c r="E152" s="465"/>
      <c r="F152" s="465"/>
      <c r="G152" s="466"/>
      <c r="H152" s="467" t="s">
        <v>1847</v>
      </c>
      <c r="I152" s="462"/>
      <c r="J152" s="463" t="s">
        <v>1847</v>
      </c>
      <c r="K152" s="464"/>
      <c r="L152" s="465"/>
      <c r="M152" s="465"/>
      <c r="N152" s="465"/>
      <c r="O152" s="466"/>
      <c r="P152" s="467" t="s">
        <v>1847</v>
      </c>
    </row>
    <row r="153" spans="1:16" ht="15.75" thickBot="1">
      <c r="A153" s="462"/>
      <c r="B153" s="463" t="s">
        <v>1848</v>
      </c>
      <c r="C153" s="464"/>
      <c r="D153" s="465"/>
      <c r="E153" s="465"/>
      <c r="F153" s="465"/>
      <c r="G153" s="466"/>
      <c r="H153" s="467" t="s">
        <v>1848</v>
      </c>
      <c r="I153" s="462"/>
      <c r="J153" s="463" t="s">
        <v>1848</v>
      </c>
      <c r="K153" s="464"/>
      <c r="L153" s="465"/>
      <c r="M153" s="465"/>
      <c r="N153" s="465"/>
      <c r="O153" s="466"/>
      <c r="P153" s="467" t="s">
        <v>1848</v>
      </c>
    </row>
    <row r="154" spans="1:16" ht="15.75" thickBot="1">
      <c r="A154" s="462"/>
      <c r="B154" s="463" t="s">
        <v>1849</v>
      </c>
      <c r="C154" s="464"/>
      <c r="D154" s="465"/>
      <c r="E154" s="465"/>
      <c r="F154" s="465"/>
      <c r="G154" s="466"/>
      <c r="H154" s="467" t="s">
        <v>1849</v>
      </c>
      <c r="I154" s="462"/>
      <c r="J154" s="463" t="s">
        <v>1849</v>
      </c>
      <c r="K154" s="464"/>
      <c r="L154" s="465"/>
      <c r="M154" s="465"/>
      <c r="N154" s="465"/>
      <c r="O154" s="466"/>
      <c r="P154" s="467" t="s">
        <v>1849</v>
      </c>
    </row>
    <row r="155" spans="1:16" ht="15.75" thickBot="1">
      <c r="A155" s="462"/>
      <c r="B155" s="463" t="s">
        <v>1850</v>
      </c>
      <c r="C155" s="464"/>
      <c r="D155" s="465"/>
      <c r="E155" s="465"/>
      <c r="F155" s="465"/>
      <c r="G155" s="466"/>
      <c r="H155" s="467" t="s">
        <v>1850</v>
      </c>
      <c r="I155" s="462"/>
      <c r="J155" s="463" t="s">
        <v>1850</v>
      </c>
      <c r="K155" s="464"/>
      <c r="L155" s="465"/>
      <c r="M155" s="465"/>
      <c r="N155" s="465"/>
      <c r="O155" s="466"/>
      <c r="P155" s="467" t="s">
        <v>1850</v>
      </c>
    </row>
    <row r="156" spans="1:16" ht="15.75" thickBot="1">
      <c r="A156" s="462"/>
      <c r="B156" s="463" t="s">
        <v>1851</v>
      </c>
      <c r="C156" s="464"/>
      <c r="D156" s="465"/>
      <c r="E156" s="465"/>
      <c r="F156" s="465"/>
      <c r="G156" s="466"/>
      <c r="H156" s="467" t="s">
        <v>1851</v>
      </c>
      <c r="I156" s="462"/>
      <c r="J156" s="463" t="s">
        <v>1851</v>
      </c>
      <c r="K156" s="464"/>
      <c r="L156" s="465"/>
      <c r="M156" s="465"/>
      <c r="N156" s="465"/>
      <c r="O156" s="466"/>
      <c r="P156" s="467" t="s">
        <v>1851</v>
      </c>
    </row>
    <row r="157" spans="1:16" ht="15.75" thickBot="1">
      <c r="A157" s="462"/>
      <c r="B157" s="463" t="s">
        <v>1852</v>
      </c>
      <c r="C157" s="464"/>
      <c r="D157" s="465"/>
      <c r="E157" s="465"/>
      <c r="F157" s="465"/>
      <c r="G157" s="466"/>
      <c r="H157" s="467" t="s">
        <v>1852</v>
      </c>
      <c r="I157" s="462"/>
      <c r="J157" s="463" t="s">
        <v>1852</v>
      </c>
      <c r="K157" s="464"/>
      <c r="L157" s="465"/>
      <c r="M157" s="465"/>
      <c r="N157" s="465"/>
      <c r="O157" s="466"/>
      <c r="P157" s="467" t="s">
        <v>1852</v>
      </c>
    </row>
    <row r="158" spans="1:16" ht="15.75" thickBot="1">
      <c r="A158" s="462"/>
      <c r="B158" s="463" t="s">
        <v>1853</v>
      </c>
      <c r="C158" s="464"/>
      <c r="D158" s="465"/>
      <c r="E158" s="465"/>
      <c r="F158" s="465"/>
      <c r="G158" s="466"/>
      <c r="H158" s="467" t="s">
        <v>1853</v>
      </c>
      <c r="I158" s="462"/>
      <c r="J158" s="463" t="s">
        <v>1853</v>
      </c>
      <c r="K158" s="464"/>
      <c r="L158" s="465"/>
      <c r="M158" s="465"/>
      <c r="N158" s="465"/>
      <c r="O158" s="466"/>
      <c r="P158" s="467" t="s">
        <v>1853</v>
      </c>
    </row>
    <row r="159" spans="1:16" ht="15.75" thickBot="1">
      <c r="A159" s="462"/>
      <c r="B159" s="463" t="s">
        <v>1854</v>
      </c>
      <c r="C159" s="464"/>
      <c r="D159" s="465"/>
      <c r="E159" s="465"/>
      <c r="F159" s="465"/>
      <c r="G159" s="466"/>
      <c r="H159" s="467" t="s">
        <v>1854</v>
      </c>
      <c r="I159" s="462"/>
      <c r="J159" s="463" t="s">
        <v>1854</v>
      </c>
      <c r="K159" s="464"/>
      <c r="L159" s="465"/>
      <c r="M159" s="465"/>
      <c r="N159" s="465"/>
      <c r="O159" s="466"/>
      <c r="P159" s="467" t="s">
        <v>1854</v>
      </c>
    </row>
    <row r="160" spans="1:16" ht="15.75" thickBot="1">
      <c r="A160" s="462"/>
      <c r="B160" s="463" t="s">
        <v>1855</v>
      </c>
      <c r="C160" s="464"/>
      <c r="D160" s="465"/>
      <c r="E160" s="465"/>
      <c r="F160" s="465"/>
      <c r="G160" s="466"/>
      <c r="H160" s="467" t="s">
        <v>1855</v>
      </c>
      <c r="I160" s="462"/>
      <c r="J160" s="463" t="s">
        <v>1855</v>
      </c>
      <c r="K160" s="464"/>
      <c r="L160" s="465"/>
      <c r="M160" s="465"/>
      <c r="N160" s="465"/>
      <c r="O160" s="466"/>
      <c r="P160" s="467" t="s">
        <v>1855</v>
      </c>
    </row>
    <row r="161" spans="1:16" ht="15.75" thickBot="1">
      <c r="A161" s="462"/>
      <c r="B161" s="463" t="s">
        <v>1856</v>
      </c>
      <c r="C161" s="464"/>
      <c r="D161" s="465"/>
      <c r="E161" s="465"/>
      <c r="F161" s="465"/>
      <c r="G161" s="466"/>
      <c r="H161" s="467" t="s">
        <v>1856</v>
      </c>
      <c r="I161" s="462"/>
      <c r="J161" s="463" t="s">
        <v>1856</v>
      </c>
      <c r="K161" s="464"/>
      <c r="L161" s="465"/>
      <c r="M161" s="465"/>
      <c r="N161" s="465"/>
      <c r="O161" s="466"/>
      <c r="P161" s="467" t="s">
        <v>1856</v>
      </c>
    </row>
    <row r="162" spans="1:16" ht="26.25" thickBot="1">
      <c r="A162" s="468"/>
      <c r="B162" s="463" t="s">
        <v>1857</v>
      </c>
      <c r="C162" s="464"/>
      <c r="D162" s="465"/>
      <c r="E162" s="465"/>
      <c r="F162" s="465"/>
      <c r="G162" s="469"/>
      <c r="H162" s="467" t="s">
        <v>1858</v>
      </c>
      <c r="I162" s="468"/>
      <c r="J162" s="463" t="s">
        <v>1857</v>
      </c>
      <c r="K162" s="464"/>
      <c r="L162" s="465"/>
      <c r="M162" s="465"/>
      <c r="N162" s="465"/>
      <c r="O162" s="469"/>
      <c r="P162" s="467" t="s">
        <v>1858</v>
      </c>
    </row>
    <row r="163" spans="1:16" ht="15.75" thickBot="1">
      <c r="A163" s="470" t="s">
        <v>2196</v>
      </c>
      <c r="B163" s="463" t="s">
        <v>1845</v>
      </c>
      <c r="C163" s="464"/>
      <c r="D163" s="465"/>
      <c r="E163" s="465"/>
      <c r="F163" s="465"/>
      <c r="G163" s="471" t="s">
        <v>2196</v>
      </c>
      <c r="H163" s="467" t="s">
        <v>1845</v>
      </c>
      <c r="I163" s="470" t="s">
        <v>2196</v>
      </c>
      <c r="J163" s="463" t="s">
        <v>1845</v>
      </c>
      <c r="K163" s="464"/>
      <c r="L163" s="465"/>
      <c r="M163" s="465"/>
      <c r="N163" s="465"/>
      <c r="O163" s="471" t="s">
        <v>2196</v>
      </c>
      <c r="P163" s="467" t="s">
        <v>1845</v>
      </c>
    </row>
    <row r="164" spans="1:16" ht="15.75" thickBot="1">
      <c r="A164" s="462"/>
      <c r="B164" s="463" t="s">
        <v>1847</v>
      </c>
      <c r="C164" s="464"/>
      <c r="D164" s="465"/>
      <c r="E164" s="465"/>
      <c r="F164" s="465"/>
      <c r="G164" s="466"/>
      <c r="H164" s="467" t="s">
        <v>1847</v>
      </c>
      <c r="I164" s="462"/>
      <c r="J164" s="463" t="s">
        <v>1847</v>
      </c>
      <c r="K164" s="464"/>
      <c r="L164" s="465"/>
      <c r="M164" s="465"/>
      <c r="N164" s="465"/>
      <c r="O164" s="466"/>
      <c r="P164" s="467" t="s">
        <v>1847</v>
      </c>
    </row>
    <row r="165" spans="1:16" ht="15.75" thickBot="1">
      <c r="A165" s="462"/>
      <c r="B165" s="463" t="s">
        <v>1848</v>
      </c>
      <c r="C165" s="464"/>
      <c r="D165" s="465"/>
      <c r="E165" s="465"/>
      <c r="F165" s="465"/>
      <c r="G165" s="466"/>
      <c r="H165" s="467" t="s">
        <v>1848</v>
      </c>
      <c r="I165" s="462"/>
      <c r="J165" s="463" t="s">
        <v>1848</v>
      </c>
      <c r="K165" s="464"/>
      <c r="L165" s="465"/>
      <c r="M165" s="465"/>
      <c r="N165" s="465"/>
      <c r="O165" s="466"/>
      <c r="P165" s="467" t="s">
        <v>1848</v>
      </c>
    </row>
    <row r="166" spans="1:16" ht="15.75" thickBot="1">
      <c r="A166" s="462"/>
      <c r="B166" s="463" t="s">
        <v>1849</v>
      </c>
      <c r="C166" s="464"/>
      <c r="D166" s="465"/>
      <c r="E166" s="465"/>
      <c r="F166" s="465"/>
      <c r="G166" s="466"/>
      <c r="H166" s="467" t="s">
        <v>1849</v>
      </c>
      <c r="I166" s="462"/>
      <c r="J166" s="463" t="s">
        <v>1849</v>
      </c>
      <c r="K166" s="464"/>
      <c r="L166" s="465"/>
      <c r="M166" s="465"/>
      <c r="N166" s="465"/>
      <c r="O166" s="466"/>
      <c r="P166" s="467" t="s">
        <v>1849</v>
      </c>
    </row>
    <row r="167" spans="1:16" ht="15.75" thickBot="1">
      <c r="A167" s="462"/>
      <c r="B167" s="463" t="s">
        <v>1850</v>
      </c>
      <c r="C167" s="464"/>
      <c r="D167" s="465"/>
      <c r="E167" s="465"/>
      <c r="F167" s="465"/>
      <c r="G167" s="466"/>
      <c r="H167" s="467" t="s">
        <v>1850</v>
      </c>
      <c r="I167" s="462"/>
      <c r="J167" s="463" t="s">
        <v>1850</v>
      </c>
      <c r="K167" s="464"/>
      <c r="L167" s="465"/>
      <c r="M167" s="465"/>
      <c r="N167" s="465"/>
      <c r="O167" s="466"/>
      <c r="P167" s="467" t="s">
        <v>1850</v>
      </c>
    </row>
    <row r="168" spans="1:16" ht="15.75" thickBot="1">
      <c r="A168" s="462"/>
      <c r="B168" s="463" t="s">
        <v>1851</v>
      </c>
      <c r="C168" s="464"/>
      <c r="D168" s="465"/>
      <c r="E168" s="465"/>
      <c r="F168" s="465"/>
      <c r="G168" s="466"/>
      <c r="H168" s="467" t="s">
        <v>1851</v>
      </c>
      <c r="I168" s="462"/>
      <c r="J168" s="463" t="s">
        <v>1851</v>
      </c>
      <c r="K168" s="464"/>
      <c r="L168" s="465"/>
      <c r="M168" s="465"/>
      <c r="N168" s="465"/>
      <c r="O168" s="466"/>
      <c r="P168" s="467" t="s">
        <v>1851</v>
      </c>
    </row>
    <row r="169" spans="1:16" ht="15.75" thickBot="1">
      <c r="A169" s="462"/>
      <c r="B169" s="463" t="s">
        <v>1852</v>
      </c>
      <c r="C169" s="464"/>
      <c r="D169" s="465"/>
      <c r="E169" s="465"/>
      <c r="F169" s="465"/>
      <c r="G169" s="466"/>
      <c r="H169" s="467" t="s">
        <v>1852</v>
      </c>
      <c r="I169" s="462"/>
      <c r="J169" s="463" t="s">
        <v>1852</v>
      </c>
      <c r="K169" s="464"/>
      <c r="L169" s="465"/>
      <c r="M169" s="465"/>
      <c r="N169" s="465"/>
      <c r="O169" s="466"/>
      <c r="P169" s="467" t="s">
        <v>1852</v>
      </c>
    </row>
    <row r="170" spans="1:16" ht="15.75" thickBot="1">
      <c r="A170" s="462"/>
      <c r="B170" s="463" t="s">
        <v>1853</v>
      </c>
      <c r="C170" s="464"/>
      <c r="D170" s="465"/>
      <c r="E170" s="465"/>
      <c r="F170" s="465"/>
      <c r="G170" s="466"/>
      <c r="H170" s="467" t="s">
        <v>1853</v>
      </c>
      <c r="I170" s="462"/>
      <c r="J170" s="463" t="s">
        <v>1853</v>
      </c>
      <c r="K170" s="464"/>
      <c r="L170" s="465"/>
      <c r="M170" s="465"/>
      <c r="N170" s="465"/>
      <c r="O170" s="466"/>
      <c r="P170" s="467" t="s">
        <v>1853</v>
      </c>
    </row>
    <row r="171" spans="1:16" ht="15.75" thickBot="1">
      <c r="A171" s="462"/>
      <c r="B171" s="463" t="s">
        <v>1854</v>
      </c>
      <c r="C171" s="464"/>
      <c r="D171" s="465"/>
      <c r="E171" s="465"/>
      <c r="F171" s="465"/>
      <c r="G171" s="466"/>
      <c r="H171" s="467" t="s">
        <v>1854</v>
      </c>
      <c r="I171" s="462"/>
      <c r="J171" s="463" t="s">
        <v>1854</v>
      </c>
      <c r="K171" s="464"/>
      <c r="L171" s="465"/>
      <c r="M171" s="465"/>
      <c r="N171" s="465"/>
      <c r="O171" s="466"/>
      <c r="P171" s="467" t="s">
        <v>1854</v>
      </c>
    </row>
    <row r="172" spans="1:16" ht="15.75" thickBot="1">
      <c r="A172" s="462"/>
      <c r="B172" s="463" t="s">
        <v>1855</v>
      </c>
      <c r="C172" s="464"/>
      <c r="D172" s="465"/>
      <c r="E172" s="465"/>
      <c r="F172" s="465"/>
      <c r="G172" s="466"/>
      <c r="H172" s="467" t="s">
        <v>1855</v>
      </c>
      <c r="I172" s="462"/>
      <c r="J172" s="463" t="s">
        <v>1855</v>
      </c>
      <c r="K172" s="464"/>
      <c r="L172" s="465"/>
      <c r="M172" s="465"/>
      <c r="N172" s="465"/>
      <c r="O172" s="466"/>
      <c r="P172" s="467" t="s">
        <v>1855</v>
      </c>
    </row>
    <row r="173" spans="1:16" ht="15.75" thickBot="1">
      <c r="A173" s="462"/>
      <c r="B173" s="463" t="s">
        <v>1856</v>
      </c>
      <c r="C173" s="464"/>
      <c r="D173" s="465"/>
      <c r="E173" s="465"/>
      <c r="F173" s="465"/>
      <c r="G173" s="466"/>
      <c r="H173" s="467" t="s">
        <v>1856</v>
      </c>
      <c r="I173" s="462"/>
      <c r="J173" s="463" t="s">
        <v>1856</v>
      </c>
      <c r="K173" s="464"/>
      <c r="L173" s="465"/>
      <c r="M173" s="465"/>
      <c r="N173" s="465"/>
      <c r="O173" s="466"/>
      <c r="P173" s="467" t="s">
        <v>1856</v>
      </c>
    </row>
    <row r="174" spans="1:16" ht="26.25" thickBot="1">
      <c r="A174" s="468"/>
      <c r="B174" s="463" t="s">
        <v>1857</v>
      </c>
      <c r="C174" s="464"/>
      <c r="D174" s="465"/>
      <c r="E174" s="465"/>
      <c r="F174" s="465"/>
      <c r="G174" s="469"/>
      <c r="H174" s="467" t="s">
        <v>1858</v>
      </c>
      <c r="I174" s="468"/>
      <c r="J174" s="463" t="s">
        <v>1857</v>
      </c>
      <c r="K174" s="464"/>
      <c r="L174" s="465"/>
      <c r="M174" s="465"/>
      <c r="N174" s="465"/>
      <c r="O174" s="469"/>
      <c r="P174" s="467" t="s">
        <v>1858</v>
      </c>
    </row>
    <row r="175" spans="1:16" ht="15.75" thickBot="1">
      <c r="A175" s="470" t="s">
        <v>2197</v>
      </c>
      <c r="B175" s="463" t="s">
        <v>1845</v>
      </c>
      <c r="C175" s="464"/>
      <c r="D175" s="465"/>
      <c r="E175" s="465"/>
      <c r="F175" s="465"/>
      <c r="G175" s="471" t="s">
        <v>2197</v>
      </c>
      <c r="H175" s="467" t="s">
        <v>1845</v>
      </c>
      <c r="I175" s="470" t="s">
        <v>2197</v>
      </c>
      <c r="J175" s="463" t="s">
        <v>1845</v>
      </c>
      <c r="K175" s="464"/>
      <c r="L175" s="465"/>
      <c r="M175" s="465"/>
      <c r="N175" s="465"/>
      <c r="O175" s="471" t="s">
        <v>2197</v>
      </c>
      <c r="P175" s="467" t="s">
        <v>1845</v>
      </c>
    </row>
    <row r="176" spans="1:16" ht="15.75" thickBot="1">
      <c r="A176" s="462"/>
      <c r="B176" s="463" t="s">
        <v>1847</v>
      </c>
      <c r="C176" s="464"/>
      <c r="D176" s="465"/>
      <c r="E176" s="465"/>
      <c r="F176" s="465"/>
      <c r="G176" s="466"/>
      <c r="H176" s="467" t="s">
        <v>1847</v>
      </c>
      <c r="I176" s="462"/>
      <c r="J176" s="463" t="s">
        <v>1847</v>
      </c>
      <c r="K176" s="464"/>
      <c r="L176" s="465"/>
      <c r="M176" s="465"/>
      <c r="N176" s="465"/>
      <c r="O176" s="466"/>
      <c r="P176" s="467" t="s">
        <v>1847</v>
      </c>
    </row>
    <row r="177" spans="1:16" ht="15.75" thickBot="1">
      <c r="A177" s="462"/>
      <c r="B177" s="463" t="s">
        <v>1848</v>
      </c>
      <c r="C177" s="464"/>
      <c r="D177" s="465"/>
      <c r="E177" s="465"/>
      <c r="F177" s="465"/>
      <c r="G177" s="466"/>
      <c r="H177" s="467" t="s">
        <v>1848</v>
      </c>
      <c r="I177" s="462"/>
      <c r="J177" s="463" t="s">
        <v>1848</v>
      </c>
      <c r="K177" s="464"/>
      <c r="L177" s="465"/>
      <c r="M177" s="465"/>
      <c r="N177" s="465"/>
      <c r="O177" s="466"/>
      <c r="P177" s="467" t="s">
        <v>1848</v>
      </c>
    </row>
    <row r="178" spans="1:16" ht="15.75" thickBot="1">
      <c r="A178" s="462"/>
      <c r="B178" s="463" t="s">
        <v>1849</v>
      </c>
      <c r="C178" s="464"/>
      <c r="D178" s="465"/>
      <c r="E178" s="465"/>
      <c r="F178" s="465"/>
      <c r="G178" s="466"/>
      <c r="H178" s="467" t="s">
        <v>1849</v>
      </c>
      <c r="I178" s="462"/>
      <c r="J178" s="463" t="s">
        <v>1849</v>
      </c>
      <c r="K178" s="464"/>
      <c r="L178" s="465"/>
      <c r="M178" s="465"/>
      <c r="N178" s="465"/>
      <c r="O178" s="466"/>
      <c r="P178" s="467" t="s">
        <v>1849</v>
      </c>
    </row>
    <row r="179" spans="1:16" ht="15.75" thickBot="1">
      <c r="A179" s="462"/>
      <c r="B179" s="463" t="s">
        <v>1850</v>
      </c>
      <c r="C179" s="464"/>
      <c r="D179" s="465"/>
      <c r="E179" s="465"/>
      <c r="F179" s="465"/>
      <c r="G179" s="466"/>
      <c r="H179" s="467" t="s">
        <v>1850</v>
      </c>
      <c r="I179" s="462"/>
      <c r="J179" s="463" t="s">
        <v>1850</v>
      </c>
      <c r="K179" s="464"/>
      <c r="L179" s="465"/>
      <c r="M179" s="465"/>
      <c r="N179" s="465"/>
      <c r="O179" s="466"/>
      <c r="P179" s="467" t="s">
        <v>1850</v>
      </c>
    </row>
    <row r="180" spans="1:16" ht="15.75" thickBot="1">
      <c r="A180" s="462"/>
      <c r="B180" s="463" t="s">
        <v>1851</v>
      </c>
      <c r="C180" s="464"/>
      <c r="D180" s="465"/>
      <c r="E180" s="465"/>
      <c r="F180" s="465"/>
      <c r="G180" s="466"/>
      <c r="H180" s="467" t="s">
        <v>1851</v>
      </c>
      <c r="I180" s="462"/>
      <c r="J180" s="463" t="s">
        <v>1851</v>
      </c>
      <c r="K180" s="464"/>
      <c r="L180" s="465"/>
      <c r="M180" s="465"/>
      <c r="N180" s="465"/>
      <c r="O180" s="466"/>
      <c r="P180" s="467" t="s">
        <v>1851</v>
      </c>
    </row>
    <row r="181" spans="1:16" ht="15.75" thickBot="1">
      <c r="A181" s="462"/>
      <c r="B181" s="463" t="s">
        <v>1852</v>
      </c>
      <c r="C181" s="464"/>
      <c r="D181" s="465"/>
      <c r="E181" s="465"/>
      <c r="F181" s="465"/>
      <c r="G181" s="466"/>
      <c r="H181" s="467" t="s">
        <v>1852</v>
      </c>
      <c r="I181" s="462"/>
      <c r="J181" s="463" t="s">
        <v>1852</v>
      </c>
      <c r="K181" s="464"/>
      <c r="L181" s="465"/>
      <c r="M181" s="465"/>
      <c r="N181" s="465"/>
      <c r="O181" s="466"/>
      <c r="P181" s="467" t="s">
        <v>1852</v>
      </c>
    </row>
    <row r="182" spans="1:16" ht="15.75" thickBot="1">
      <c r="A182" s="462"/>
      <c r="B182" s="463" t="s">
        <v>1853</v>
      </c>
      <c r="C182" s="464"/>
      <c r="D182" s="465"/>
      <c r="E182" s="465"/>
      <c r="F182" s="465"/>
      <c r="G182" s="466"/>
      <c r="H182" s="467" t="s">
        <v>1853</v>
      </c>
      <c r="I182" s="462"/>
      <c r="J182" s="463" t="s">
        <v>1853</v>
      </c>
      <c r="K182" s="464"/>
      <c r="L182" s="465"/>
      <c r="M182" s="465"/>
      <c r="N182" s="465"/>
      <c r="O182" s="466"/>
      <c r="P182" s="467" t="s">
        <v>1853</v>
      </c>
    </row>
    <row r="183" spans="1:16" ht="15.75" thickBot="1">
      <c r="A183" s="462"/>
      <c r="B183" s="463" t="s">
        <v>1854</v>
      </c>
      <c r="C183" s="464"/>
      <c r="D183" s="465"/>
      <c r="E183" s="465"/>
      <c r="F183" s="465"/>
      <c r="G183" s="466"/>
      <c r="H183" s="467" t="s">
        <v>1854</v>
      </c>
      <c r="I183" s="462"/>
      <c r="J183" s="463" t="s">
        <v>1854</v>
      </c>
      <c r="K183" s="464"/>
      <c r="L183" s="465"/>
      <c r="M183" s="465"/>
      <c r="N183" s="465"/>
      <c r="O183" s="466"/>
      <c r="P183" s="467" t="s">
        <v>1854</v>
      </c>
    </row>
    <row r="184" spans="1:16" ht="15.75" thickBot="1">
      <c r="A184" s="462"/>
      <c r="B184" s="463" t="s">
        <v>1855</v>
      </c>
      <c r="C184" s="464"/>
      <c r="D184" s="465"/>
      <c r="E184" s="465"/>
      <c r="F184" s="465"/>
      <c r="G184" s="466"/>
      <c r="H184" s="467" t="s">
        <v>1855</v>
      </c>
      <c r="I184" s="462"/>
      <c r="J184" s="463" t="s">
        <v>1855</v>
      </c>
      <c r="K184" s="464"/>
      <c r="L184" s="465"/>
      <c r="M184" s="465"/>
      <c r="N184" s="465"/>
      <c r="O184" s="466"/>
      <c r="P184" s="467" t="s">
        <v>1855</v>
      </c>
    </row>
    <row r="185" spans="1:16" ht="15.75" thickBot="1">
      <c r="A185" s="462"/>
      <c r="B185" s="463" t="s">
        <v>1856</v>
      </c>
      <c r="C185" s="464"/>
      <c r="D185" s="465"/>
      <c r="E185" s="465"/>
      <c r="F185" s="465"/>
      <c r="G185" s="466"/>
      <c r="H185" s="467" t="s">
        <v>1856</v>
      </c>
      <c r="I185" s="462"/>
      <c r="J185" s="463" t="s">
        <v>1856</v>
      </c>
      <c r="K185" s="464"/>
      <c r="L185" s="465"/>
      <c r="M185" s="465"/>
      <c r="N185" s="465"/>
      <c r="O185" s="466"/>
      <c r="P185" s="467" t="s">
        <v>1856</v>
      </c>
    </row>
    <row r="186" spans="1:16" ht="26.25" thickBot="1">
      <c r="A186" s="468"/>
      <c r="B186" s="463" t="s">
        <v>1857</v>
      </c>
      <c r="C186" s="464"/>
      <c r="D186" s="465"/>
      <c r="E186" s="465"/>
      <c r="F186" s="465"/>
      <c r="G186" s="469"/>
      <c r="H186" s="467" t="s">
        <v>1858</v>
      </c>
      <c r="I186" s="468"/>
      <c r="J186" s="463" t="s">
        <v>1857</v>
      </c>
      <c r="K186" s="464"/>
      <c r="L186" s="465"/>
      <c r="M186" s="465"/>
      <c r="N186" s="465"/>
      <c r="O186" s="469"/>
      <c r="P186" s="467" t="s">
        <v>1858</v>
      </c>
    </row>
    <row r="187" spans="1:16" ht="15.75" thickBot="1">
      <c r="A187" s="470" t="s">
        <v>2198</v>
      </c>
      <c r="B187" s="463" t="s">
        <v>1845</v>
      </c>
      <c r="C187" s="464"/>
      <c r="D187" s="465"/>
      <c r="E187" s="465"/>
      <c r="F187" s="465"/>
      <c r="G187" s="471" t="s">
        <v>2198</v>
      </c>
      <c r="H187" s="467" t="s">
        <v>1845</v>
      </c>
      <c r="I187" s="470" t="s">
        <v>2198</v>
      </c>
      <c r="J187" s="463" t="s">
        <v>1845</v>
      </c>
      <c r="K187" s="464"/>
      <c r="L187" s="465"/>
      <c r="M187" s="465"/>
      <c r="N187" s="465"/>
      <c r="O187" s="471" t="s">
        <v>2198</v>
      </c>
      <c r="P187" s="467" t="s">
        <v>1845</v>
      </c>
    </row>
    <row r="188" spans="1:16" ht="15.75" thickBot="1">
      <c r="A188" s="462"/>
      <c r="B188" s="463" t="s">
        <v>1847</v>
      </c>
      <c r="C188" s="464"/>
      <c r="D188" s="465"/>
      <c r="E188" s="465"/>
      <c r="F188" s="465"/>
      <c r="G188" s="466"/>
      <c r="H188" s="467" t="s">
        <v>1847</v>
      </c>
      <c r="I188" s="462"/>
      <c r="J188" s="463" t="s">
        <v>1847</v>
      </c>
      <c r="K188" s="464"/>
      <c r="L188" s="465"/>
      <c r="M188" s="465"/>
      <c r="N188" s="465"/>
      <c r="O188" s="466"/>
      <c r="P188" s="467" t="s">
        <v>1847</v>
      </c>
    </row>
    <row r="189" spans="1:16" ht="15.75" thickBot="1">
      <c r="A189" s="462"/>
      <c r="B189" s="463" t="s">
        <v>1848</v>
      </c>
      <c r="C189" s="464"/>
      <c r="D189" s="465"/>
      <c r="E189" s="465"/>
      <c r="F189" s="465"/>
      <c r="G189" s="466"/>
      <c r="H189" s="467" t="s">
        <v>1848</v>
      </c>
      <c r="I189" s="462"/>
      <c r="J189" s="463" t="s">
        <v>1848</v>
      </c>
      <c r="K189" s="464"/>
      <c r="L189" s="465"/>
      <c r="M189" s="465"/>
      <c r="N189" s="465"/>
      <c r="O189" s="466"/>
      <c r="P189" s="467" t="s">
        <v>1848</v>
      </c>
    </row>
    <row r="190" spans="1:16" ht="15.75" thickBot="1">
      <c r="A190" s="462"/>
      <c r="B190" s="463" t="s">
        <v>1849</v>
      </c>
      <c r="C190" s="464"/>
      <c r="D190" s="465"/>
      <c r="E190" s="465"/>
      <c r="F190" s="465"/>
      <c r="G190" s="466"/>
      <c r="H190" s="467" t="s">
        <v>1849</v>
      </c>
      <c r="I190" s="462"/>
      <c r="J190" s="463" t="s">
        <v>1849</v>
      </c>
      <c r="K190" s="464"/>
      <c r="L190" s="465"/>
      <c r="M190" s="465"/>
      <c r="N190" s="465"/>
      <c r="O190" s="466"/>
      <c r="P190" s="467" t="s">
        <v>1849</v>
      </c>
    </row>
    <row r="191" spans="1:16" ht="15.75" thickBot="1">
      <c r="A191" s="462"/>
      <c r="B191" s="463" t="s">
        <v>1850</v>
      </c>
      <c r="C191" s="464"/>
      <c r="D191" s="465"/>
      <c r="E191" s="465"/>
      <c r="F191" s="465"/>
      <c r="G191" s="466"/>
      <c r="H191" s="467" t="s">
        <v>1850</v>
      </c>
      <c r="I191" s="462"/>
      <c r="J191" s="463" t="s">
        <v>1850</v>
      </c>
      <c r="K191" s="464"/>
      <c r="L191" s="465"/>
      <c r="M191" s="465"/>
      <c r="N191" s="465"/>
      <c r="O191" s="466"/>
      <c r="P191" s="467" t="s">
        <v>1850</v>
      </c>
    </row>
    <row r="192" spans="1:16" ht="15.75" thickBot="1">
      <c r="A192" s="462"/>
      <c r="B192" s="463" t="s">
        <v>1851</v>
      </c>
      <c r="C192" s="464"/>
      <c r="D192" s="465"/>
      <c r="E192" s="465"/>
      <c r="F192" s="465"/>
      <c r="G192" s="466"/>
      <c r="H192" s="467" t="s">
        <v>1851</v>
      </c>
      <c r="I192" s="462"/>
      <c r="J192" s="463" t="s">
        <v>1851</v>
      </c>
      <c r="K192" s="464"/>
      <c r="L192" s="465"/>
      <c r="M192" s="465"/>
      <c r="N192" s="465"/>
      <c r="O192" s="466"/>
      <c r="P192" s="467" t="s">
        <v>1851</v>
      </c>
    </row>
    <row r="193" spans="1:16" ht="15.75" thickBot="1">
      <c r="A193" s="462"/>
      <c r="B193" s="463" t="s">
        <v>1852</v>
      </c>
      <c r="C193" s="464"/>
      <c r="D193" s="465"/>
      <c r="E193" s="465"/>
      <c r="F193" s="465"/>
      <c r="G193" s="466"/>
      <c r="H193" s="467" t="s">
        <v>1852</v>
      </c>
      <c r="I193" s="462"/>
      <c r="J193" s="463" t="s">
        <v>1852</v>
      </c>
      <c r="K193" s="464"/>
      <c r="L193" s="465"/>
      <c r="M193" s="465"/>
      <c r="N193" s="465"/>
      <c r="O193" s="466"/>
      <c r="P193" s="467" t="s">
        <v>1852</v>
      </c>
    </row>
    <row r="194" spans="1:16" ht="15.75" thickBot="1">
      <c r="A194" s="462"/>
      <c r="B194" s="463" t="s">
        <v>1853</v>
      </c>
      <c r="C194" s="464"/>
      <c r="D194" s="465"/>
      <c r="E194" s="465"/>
      <c r="F194" s="465"/>
      <c r="G194" s="466"/>
      <c r="H194" s="467" t="s">
        <v>1853</v>
      </c>
      <c r="I194" s="462"/>
      <c r="J194" s="463" t="s">
        <v>1853</v>
      </c>
      <c r="K194" s="464"/>
      <c r="L194" s="465"/>
      <c r="M194" s="465"/>
      <c r="N194" s="465"/>
      <c r="O194" s="466"/>
      <c r="P194" s="467" t="s">
        <v>1853</v>
      </c>
    </row>
    <row r="195" spans="1:16" ht="15.75" thickBot="1">
      <c r="A195" s="462"/>
      <c r="B195" s="463" t="s">
        <v>1854</v>
      </c>
      <c r="C195" s="464"/>
      <c r="D195" s="465"/>
      <c r="E195" s="465"/>
      <c r="F195" s="465"/>
      <c r="G195" s="466"/>
      <c r="H195" s="467" t="s">
        <v>1854</v>
      </c>
      <c r="I195" s="462"/>
      <c r="J195" s="463" t="s">
        <v>1854</v>
      </c>
      <c r="K195" s="464"/>
      <c r="L195" s="465"/>
      <c r="M195" s="465"/>
      <c r="N195" s="465"/>
      <c r="O195" s="466"/>
      <c r="P195" s="467" t="s">
        <v>1854</v>
      </c>
    </row>
    <row r="196" spans="1:16" ht="15.75" thickBot="1">
      <c r="A196" s="462"/>
      <c r="B196" s="463" t="s">
        <v>1855</v>
      </c>
      <c r="C196" s="464"/>
      <c r="D196" s="465"/>
      <c r="E196" s="465"/>
      <c r="F196" s="465"/>
      <c r="G196" s="466"/>
      <c r="H196" s="467" t="s">
        <v>1855</v>
      </c>
      <c r="I196" s="462"/>
      <c r="J196" s="463" t="s">
        <v>1855</v>
      </c>
      <c r="K196" s="464"/>
      <c r="L196" s="465"/>
      <c r="M196" s="465"/>
      <c r="N196" s="465"/>
      <c r="O196" s="466"/>
      <c r="P196" s="467" t="s">
        <v>1855</v>
      </c>
    </row>
    <row r="197" spans="1:16" ht="15.75" thickBot="1">
      <c r="A197" s="462"/>
      <c r="B197" s="463" t="s">
        <v>1856</v>
      </c>
      <c r="C197" s="464"/>
      <c r="D197" s="465"/>
      <c r="E197" s="465"/>
      <c r="F197" s="465"/>
      <c r="G197" s="466"/>
      <c r="H197" s="467" t="s">
        <v>1856</v>
      </c>
      <c r="I197" s="462"/>
      <c r="J197" s="463" t="s">
        <v>1856</v>
      </c>
      <c r="K197" s="464"/>
      <c r="L197" s="465"/>
      <c r="M197" s="465"/>
      <c r="N197" s="465"/>
      <c r="O197" s="466"/>
      <c r="P197" s="467" t="s">
        <v>1856</v>
      </c>
    </row>
    <row r="198" spans="1:16" ht="26.25" thickBot="1">
      <c r="A198" s="468"/>
      <c r="B198" s="463" t="s">
        <v>1857</v>
      </c>
      <c r="C198" s="464"/>
      <c r="D198" s="465"/>
      <c r="E198" s="465"/>
      <c r="F198" s="465"/>
      <c r="G198" s="469"/>
      <c r="H198" s="467" t="s">
        <v>1858</v>
      </c>
      <c r="I198" s="468"/>
      <c r="J198" s="463" t="s">
        <v>1857</v>
      </c>
      <c r="K198" s="464"/>
      <c r="L198" s="465"/>
      <c r="M198" s="465"/>
      <c r="N198" s="465"/>
      <c r="O198" s="469"/>
      <c r="P198" s="467" t="s">
        <v>1858</v>
      </c>
    </row>
    <row r="199" spans="1:16" ht="15.75" thickBot="1">
      <c r="A199" s="470" t="s">
        <v>2199</v>
      </c>
      <c r="B199" s="463" t="s">
        <v>1845</v>
      </c>
      <c r="C199" s="464"/>
      <c r="D199" s="465"/>
      <c r="E199" s="465"/>
      <c r="F199" s="465"/>
      <c r="G199" s="471" t="s">
        <v>2199</v>
      </c>
      <c r="H199" s="467" t="s">
        <v>1845</v>
      </c>
      <c r="I199" s="470" t="s">
        <v>2199</v>
      </c>
      <c r="J199" s="463" t="s">
        <v>1845</v>
      </c>
      <c r="K199" s="464"/>
      <c r="L199" s="465"/>
      <c r="M199" s="465"/>
      <c r="N199" s="465"/>
      <c r="O199" s="471" t="s">
        <v>2199</v>
      </c>
      <c r="P199" s="467" t="s">
        <v>1845</v>
      </c>
    </row>
    <row r="200" spans="1:16" ht="15.75" thickBot="1">
      <c r="A200" s="462"/>
      <c r="B200" s="463" t="s">
        <v>1847</v>
      </c>
      <c r="C200" s="464"/>
      <c r="D200" s="465"/>
      <c r="E200" s="465"/>
      <c r="F200" s="465"/>
      <c r="G200" s="466"/>
      <c r="H200" s="467" t="s">
        <v>1847</v>
      </c>
      <c r="I200" s="462"/>
      <c r="J200" s="463" t="s">
        <v>1847</v>
      </c>
      <c r="K200" s="464"/>
      <c r="L200" s="465"/>
      <c r="M200" s="465"/>
      <c r="N200" s="465"/>
      <c r="O200" s="466"/>
      <c r="P200" s="467" t="s">
        <v>1847</v>
      </c>
    </row>
    <row r="201" spans="1:16" ht="15.75" thickBot="1">
      <c r="A201" s="462"/>
      <c r="B201" s="463" t="s">
        <v>1848</v>
      </c>
      <c r="C201" s="464"/>
      <c r="D201" s="465"/>
      <c r="E201" s="465"/>
      <c r="F201" s="465"/>
      <c r="G201" s="466"/>
      <c r="H201" s="467" t="s">
        <v>1848</v>
      </c>
      <c r="I201" s="462"/>
      <c r="J201" s="463" t="s">
        <v>1848</v>
      </c>
      <c r="K201" s="464"/>
      <c r="L201" s="465"/>
      <c r="M201" s="465"/>
      <c r="N201" s="465"/>
      <c r="O201" s="466"/>
      <c r="P201" s="467" t="s">
        <v>1848</v>
      </c>
    </row>
    <row r="202" spans="1:16" ht="15.75" thickBot="1">
      <c r="A202" s="462"/>
      <c r="B202" s="463" t="s">
        <v>1849</v>
      </c>
      <c r="C202" s="464"/>
      <c r="D202" s="465"/>
      <c r="E202" s="465"/>
      <c r="F202" s="465"/>
      <c r="G202" s="466"/>
      <c r="H202" s="467" t="s">
        <v>1849</v>
      </c>
      <c r="I202" s="462"/>
      <c r="J202" s="463" t="s">
        <v>1849</v>
      </c>
      <c r="K202" s="464"/>
      <c r="L202" s="465"/>
      <c r="M202" s="465"/>
      <c r="N202" s="465"/>
      <c r="O202" s="466"/>
      <c r="P202" s="467" t="s">
        <v>1849</v>
      </c>
    </row>
    <row r="203" spans="1:16" ht="15.75" thickBot="1">
      <c r="A203" s="462"/>
      <c r="B203" s="463" t="s">
        <v>1850</v>
      </c>
      <c r="C203" s="464"/>
      <c r="D203" s="465"/>
      <c r="E203" s="465"/>
      <c r="F203" s="465"/>
      <c r="G203" s="466"/>
      <c r="H203" s="467" t="s">
        <v>1850</v>
      </c>
      <c r="I203" s="462"/>
      <c r="J203" s="463" t="s">
        <v>1850</v>
      </c>
      <c r="K203" s="464"/>
      <c r="L203" s="465"/>
      <c r="M203" s="465"/>
      <c r="N203" s="465"/>
      <c r="O203" s="466"/>
      <c r="P203" s="467" t="s">
        <v>1850</v>
      </c>
    </row>
    <row r="204" spans="1:16" ht="15.75" thickBot="1">
      <c r="A204" s="462"/>
      <c r="B204" s="463" t="s">
        <v>1851</v>
      </c>
      <c r="C204" s="464"/>
      <c r="D204" s="465"/>
      <c r="E204" s="465"/>
      <c r="F204" s="465"/>
      <c r="G204" s="466"/>
      <c r="H204" s="467" t="s">
        <v>1851</v>
      </c>
      <c r="I204" s="462"/>
      <c r="J204" s="463" t="s">
        <v>1851</v>
      </c>
      <c r="K204" s="464"/>
      <c r="L204" s="465"/>
      <c r="M204" s="465"/>
      <c r="N204" s="465"/>
      <c r="O204" s="466"/>
      <c r="P204" s="467" t="s">
        <v>1851</v>
      </c>
    </row>
    <row r="205" spans="1:16" ht="15.75" thickBot="1">
      <c r="A205" s="462"/>
      <c r="B205" s="463" t="s">
        <v>1852</v>
      </c>
      <c r="C205" s="464"/>
      <c r="D205" s="465"/>
      <c r="E205" s="465"/>
      <c r="F205" s="465"/>
      <c r="G205" s="466"/>
      <c r="H205" s="467" t="s">
        <v>1852</v>
      </c>
      <c r="I205" s="462"/>
      <c r="J205" s="463" t="s">
        <v>1852</v>
      </c>
      <c r="K205" s="464"/>
      <c r="L205" s="465"/>
      <c r="M205" s="465"/>
      <c r="N205" s="465"/>
      <c r="O205" s="466"/>
      <c r="P205" s="467" t="s">
        <v>1852</v>
      </c>
    </row>
    <row r="206" spans="1:16" ht="15.75" thickBot="1">
      <c r="A206" s="462"/>
      <c r="B206" s="463" t="s">
        <v>1853</v>
      </c>
      <c r="C206" s="464"/>
      <c r="D206" s="465"/>
      <c r="E206" s="465"/>
      <c r="F206" s="465"/>
      <c r="G206" s="466"/>
      <c r="H206" s="467" t="s">
        <v>1853</v>
      </c>
      <c r="I206" s="462"/>
      <c r="J206" s="463" t="s">
        <v>1853</v>
      </c>
      <c r="K206" s="464"/>
      <c r="L206" s="465"/>
      <c r="M206" s="465"/>
      <c r="N206" s="465"/>
      <c r="O206" s="466"/>
      <c r="P206" s="467" t="s">
        <v>1853</v>
      </c>
    </row>
    <row r="207" spans="1:16" ht="15.75" thickBot="1">
      <c r="A207" s="462"/>
      <c r="B207" s="463" t="s">
        <v>1854</v>
      </c>
      <c r="C207" s="464"/>
      <c r="D207" s="465"/>
      <c r="E207" s="465"/>
      <c r="F207" s="465"/>
      <c r="G207" s="466"/>
      <c r="H207" s="467" t="s">
        <v>1854</v>
      </c>
      <c r="I207" s="462"/>
      <c r="J207" s="463" t="s">
        <v>1854</v>
      </c>
      <c r="K207" s="464"/>
      <c r="L207" s="465"/>
      <c r="M207" s="465"/>
      <c r="N207" s="465"/>
      <c r="O207" s="466"/>
      <c r="P207" s="467" t="s">
        <v>1854</v>
      </c>
    </row>
    <row r="208" spans="1:16" ht="15.75" thickBot="1">
      <c r="A208" s="462"/>
      <c r="B208" s="463" t="s">
        <v>1855</v>
      </c>
      <c r="C208" s="464"/>
      <c r="D208" s="465"/>
      <c r="E208" s="465"/>
      <c r="F208" s="465"/>
      <c r="G208" s="466"/>
      <c r="H208" s="467" t="s">
        <v>1855</v>
      </c>
      <c r="I208" s="462"/>
      <c r="J208" s="463" t="s">
        <v>1855</v>
      </c>
      <c r="K208" s="464"/>
      <c r="L208" s="465"/>
      <c r="M208" s="465"/>
      <c r="N208" s="465"/>
      <c r="O208" s="466"/>
      <c r="P208" s="467" t="s">
        <v>1855</v>
      </c>
    </row>
    <row r="209" spans="1:16" ht="15.75" thickBot="1">
      <c r="A209" s="462"/>
      <c r="B209" s="463" t="s">
        <v>1856</v>
      </c>
      <c r="C209" s="464"/>
      <c r="D209" s="465"/>
      <c r="E209" s="465"/>
      <c r="F209" s="465"/>
      <c r="G209" s="466"/>
      <c r="H209" s="467" t="s">
        <v>1856</v>
      </c>
      <c r="I209" s="462"/>
      <c r="J209" s="463" t="s">
        <v>1856</v>
      </c>
      <c r="K209" s="464"/>
      <c r="L209" s="465"/>
      <c r="M209" s="465"/>
      <c r="N209" s="465"/>
      <c r="O209" s="466"/>
      <c r="P209" s="467" t="s">
        <v>1856</v>
      </c>
    </row>
    <row r="210" spans="1:16" ht="26.25" thickBot="1">
      <c r="A210" s="468"/>
      <c r="B210" s="463" t="s">
        <v>1857</v>
      </c>
      <c r="C210" s="464"/>
      <c r="D210" s="465"/>
      <c r="E210" s="465"/>
      <c r="F210" s="465"/>
      <c r="G210" s="469"/>
      <c r="H210" s="467" t="s">
        <v>1858</v>
      </c>
      <c r="I210" s="468"/>
      <c r="J210" s="463" t="s">
        <v>1857</v>
      </c>
      <c r="K210" s="464"/>
      <c r="L210" s="465"/>
      <c r="M210" s="465"/>
      <c r="N210" s="465"/>
      <c r="O210" s="469"/>
      <c r="P210" s="467" t="s">
        <v>1858</v>
      </c>
    </row>
    <row r="211" spans="1:16" ht="15.75" thickBot="1">
      <c r="A211" s="470" t="s">
        <v>2200</v>
      </c>
      <c r="B211" s="463" t="s">
        <v>1845</v>
      </c>
      <c r="C211" s="464"/>
      <c r="D211" s="465"/>
      <c r="E211" s="465"/>
      <c r="F211" s="465"/>
      <c r="G211" s="471" t="s">
        <v>2200</v>
      </c>
      <c r="H211" s="467" t="s">
        <v>1845</v>
      </c>
      <c r="I211" s="470" t="s">
        <v>2200</v>
      </c>
      <c r="J211" s="463" t="s">
        <v>1845</v>
      </c>
      <c r="K211" s="464"/>
      <c r="L211" s="465"/>
      <c r="M211" s="465"/>
      <c r="N211" s="465"/>
      <c r="O211" s="471" t="s">
        <v>2200</v>
      </c>
      <c r="P211" s="467" t="s">
        <v>1845</v>
      </c>
    </row>
    <row r="212" spans="1:16" ht="15.75" thickBot="1">
      <c r="A212" s="462"/>
      <c r="B212" s="463" t="s">
        <v>1847</v>
      </c>
      <c r="C212" s="464"/>
      <c r="D212" s="465"/>
      <c r="E212" s="465"/>
      <c r="F212" s="465"/>
      <c r="G212" s="466"/>
      <c r="H212" s="467" t="s">
        <v>1847</v>
      </c>
      <c r="I212" s="462"/>
      <c r="J212" s="463" t="s">
        <v>1847</v>
      </c>
      <c r="K212" s="464"/>
      <c r="L212" s="465"/>
      <c r="M212" s="465"/>
      <c r="N212" s="465"/>
      <c r="O212" s="466"/>
      <c r="P212" s="467" t="s">
        <v>1847</v>
      </c>
    </row>
    <row r="213" spans="1:16" ht="15.75" thickBot="1">
      <c r="A213" s="462"/>
      <c r="B213" s="463" t="s">
        <v>1848</v>
      </c>
      <c r="C213" s="464"/>
      <c r="D213" s="465"/>
      <c r="E213" s="465"/>
      <c r="F213" s="465"/>
      <c r="G213" s="466"/>
      <c r="H213" s="467" t="s">
        <v>1848</v>
      </c>
      <c r="I213" s="462"/>
      <c r="J213" s="463" t="s">
        <v>1848</v>
      </c>
      <c r="K213" s="464"/>
      <c r="L213" s="465"/>
      <c r="M213" s="465"/>
      <c r="N213" s="465"/>
      <c r="O213" s="466"/>
      <c r="P213" s="467" t="s">
        <v>1848</v>
      </c>
    </row>
    <row r="214" spans="1:16" ht="15.75" thickBot="1">
      <c r="A214" s="462"/>
      <c r="B214" s="463" t="s">
        <v>1849</v>
      </c>
      <c r="C214" s="464"/>
      <c r="D214" s="465"/>
      <c r="E214" s="465"/>
      <c r="F214" s="465"/>
      <c r="G214" s="466"/>
      <c r="H214" s="467" t="s">
        <v>1849</v>
      </c>
      <c r="I214" s="462"/>
      <c r="J214" s="463" t="s">
        <v>1849</v>
      </c>
      <c r="K214" s="464"/>
      <c r="L214" s="465"/>
      <c r="M214" s="465"/>
      <c r="N214" s="465"/>
      <c r="O214" s="466"/>
      <c r="P214" s="467" t="s">
        <v>1849</v>
      </c>
    </row>
    <row r="215" spans="1:16" ht="15.75" thickBot="1">
      <c r="A215" s="462"/>
      <c r="B215" s="463" t="s">
        <v>1850</v>
      </c>
      <c r="C215" s="464"/>
      <c r="D215" s="465"/>
      <c r="E215" s="465"/>
      <c r="F215" s="465"/>
      <c r="G215" s="466"/>
      <c r="H215" s="467" t="s">
        <v>1850</v>
      </c>
      <c r="I215" s="462"/>
      <c r="J215" s="463" t="s">
        <v>1850</v>
      </c>
      <c r="K215" s="464"/>
      <c r="L215" s="465"/>
      <c r="M215" s="465"/>
      <c r="N215" s="465"/>
      <c r="O215" s="466"/>
      <c r="P215" s="467" t="s">
        <v>1850</v>
      </c>
    </row>
    <row r="216" spans="1:16" ht="15.75" thickBot="1">
      <c r="A216" s="462"/>
      <c r="B216" s="463" t="s">
        <v>1851</v>
      </c>
      <c r="C216" s="464"/>
      <c r="D216" s="465"/>
      <c r="E216" s="465"/>
      <c r="F216" s="465"/>
      <c r="G216" s="466"/>
      <c r="H216" s="467" t="s">
        <v>1851</v>
      </c>
      <c r="I216" s="462"/>
      <c r="J216" s="463" t="s">
        <v>1851</v>
      </c>
      <c r="K216" s="464"/>
      <c r="L216" s="465"/>
      <c r="M216" s="465"/>
      <c r="N216" s="465"/>
      <c r="O216" s="466"/>
      <c r="P216" s="467" t="s">
        <v>1851</v>
      </c>
    </row>
    <row r="217" spans="1:16" ht="15.75" thickBot="1">
      <c r="A217" s="462"/>
      <c r="B217" s="463" t="s">
        <v>1852</v>
      </c>
      <c r="C217" s="464"/>
      <c r="D217" s="465"/>
      <c r="E217" s="465"/>
      <c r="F217" s="465"/>
      <c r="G217" s="466"/>
      <c r="H217" s="467" t="s">
        <v>1852</v>
      </c>
      <c r="I217" s="462"/>
      <c r="J217" s="463" t="s">
        <v>1852</v>
      </c>
      <c r="K217" s="464"/>
      <c r="L217" s="465"/>
      <c r="M217" s="465"/>
      <c r="N217" s="465"/>
      <c r="O217" s="466"/>
      <c r="P217" s="467" t="s">
        <v>1852</v>
      </c>
    </row>
    <row r="218" spans="1:16" ht="15.75" thickBot="1">
      <c r="A218" s="462"/>
      <c r="B218" s="463" t="s">
        <v>1853</v>
      </c>
      <c r="C218" s="464"/>
      <c r="D218" s="465"/>
      <c r="E218" s="465"/>
      <c r="F218" s="465"/>
      <c r="G218" s="466"/>
      <c r="H218" s="467" t="s">
        <v>1853</v>
      </c>
      <c r="I218" s="462"/>
      <c r="J218" s="463" t="s">
        <v>1853</v>
      </c>
      <c r="K218" s="464"/>
      <c r="L218" s="465"/>
      <c r="M218" s="465"/>
      <c r="N218" s="465"/>
      <c r="O218" s="466"/>
      <c r="P218" s="467" t="s">
        <v>1853</v>
      </c>
    </row>
    <row r="219" spans="1:16" ht="15.75" thickBot="1">
      <c r="A219" s="462"/>
      <c r="B219" s="463" t="s">
        <v>1854</v>
      </c>
      <c r="C219" s="464"/>
      <c r="D219" s="465"/>
      <c r="E219" s="465"/>
      <c r="F219" s="465"/>
      <c r="G219" s="466"/>
      <c r="H219" s="467" t="s">
        <v>1854</v>
      </c>
      <c r="I219" s="462"/>
      <c r="J219" s="463" t="s">
        <v>1854</v>
      </c>
      <c r="K219" s="464"/>
      <c r="L219" s="465"/>
      <c r="M219" s="465"/>
      <c r="N219" s="465"/>
      <c r="O219" s="466"/>
      <c r="P219" s="467" t="s">
        <v>1854</v>
      </c>
    </row>
    <row r="220" spans="1:16" ht="15.75" thickBot="1">
      <c r="A220" s="462"/>
      <c r="B220" s="463" t="s">
        <v>1855</v>
      </c>
      <c r="C220" s="464"/>
      <c r="D220" s="465"/>
      <c r="E220" s="465"/>
      <c r="F220" s="465"/>
      <c r="G220" s="466"/>
      <c r="H220" s="467" t="s">
        <v>1855</v>
      </c>
      <c r="I220" s="462"/>
      <c r="J220" s="463" t="s">
        <v>1855</v>
      </c>
      <c r="K220" s="464"/>
      <c r="L220" s="465"/>
      <c r="M220" s="465"/>
      <c r="N220" s="465"/>
      <c r="O220" s="466"/>
      <c r="P220" s="467" t="s">
        <v>1855</v>
      </c>
    </row>
    <row r="221" spans="1:16" ht="15.75" thickBot="1">
      <c r="A221" s="462"/>
      <c r="B221" s="463" t="s">
        <v>1856</v>
      </c>
      <c r="C221" s="464"/>
      <c r="D221" s="465"/>
      <c r="E221" s="465"/>
      <c r="F221" s="465"/>
      <c r="G221" s="466"/>
      <c r="H221" s="467" t="s">
        <v>1856</v>
      </c>
      <c r="I221" s="462"/>
      <c r="J221" s="463" t="s">
        <v>1856</v>
      </c>
      <c r="K221" s="464"/>
      <c r="L221" s="465"/>
      <c r="M221" s="465"/>
      <c r="N221" s="465"/>
      <c r="O221" s="466"/>
      <c r="P221" s="467" t="s">
        <v>1856</v>
      </c>
    </row>
    <row r="222" spans="1:16" ht="26.25" thickBot="1">
      <c r="A222" s="468"/>
      <c r="B222" s="463" t="s">
        <v>1857</v>
      </c>
      <c r="C222" s="464"/>
      <c r="D222" s="465"/>
      <c r="E222" s="465"/>
      <c r="F222" s="465"/>
      <c r="G222" s="469"/>
      <c r="H222" s="467" t="s">
        <v>1858</v>
      </c>
      <c r="I222" s="468"/>
      <c r="J222" s="463" t="s">
        <v>1857</v>
      </c>
      <c r="K222" s="464"/>
      <c r="L222" s="465"/>
      <c r="M222" s="465"/>
      <c r="N222" s="465"/>
      <c r="O222" s="469"/>
      <c r="P222" s="467" t="s">
        <v>1858</v>
      </c>
    </row>
    <row r="223" spans="1:16" ht="15.75" thickBot="1">
      <c r="A223" s="470" t="s">
        <v>2201</v>
      </c>
      <c r="B223" s="463" t="s">
        <v>1845</v>
      </c>
      <c r="C223" s="464"/>
      <c r="D223" s="465"/>
      <c r="E223" s="465"/>
      <c r="F223" s="465"/>
      <c r="G223" s="471" t="s">
        <v>2201</v>
      </c>
      <c r="H223" s="467" t="s">
        <v>1845</v>
      </c>
      <c r="I223" s="470" t="s">
        <v>2201</v>
      </c>
      <c r="J223" s="463" t="s">
        <v>1845</v>
      </c>
      <c r="K223" s="464"/>
      <c r="L223" s="465"/>
      <c r="M223" s="465"/>
      <c r="N223" s="465"/>
      <c r="O223" s="471" t="s">
        <v>2201</v>
      </c>
      <c r="P223" s="467" t="s">
        <v>1845</v>
      </c>
    </row>
    <row r="224" spans="1:16" ht="15.75" thickBot="1">
      <c r="A224" s="462"/>
      <c r="B224" s="463" t="s">
        <v>1847</v>
      </c>
      <c r="C224" s="464"/>
      <c r="D224" s="465"/>
      <c r="E224" s="465"/>
      <c r="F224" s="465"/>
      <c r="G224" s="466"/>
      <c r="H224" s="467" t="s">
        <v>1847</v>
      </c>
      <c r="I224" s="462"/>
      <c r="J224" s="463" t="s">
        <v>1847</v>
      </c>
      <c r="K224" s="464"/>
      <c r="L224" s="465"/>
      <c r="M224" s="465"/>
      <c r="N224" s="465"/>
      <c r="O224" s="466"/>
      <c r="P224" s="467" t="s">
        <v>1847</v>
      </c>
    </row>
    <row r="225" spans="1:16" ht="15.75" thickBot="1">
      <c r="A225" s="462"/>
      <c r="B225" s="463" t="s">
        <v>1848</v>
      </c>
      <c r="C225" s="464"/>
      <c r="D225" s="465"/>
      <c r="E225" s="465"/>
      <c r="F225" s="465"/>
      <c r="G225" s="466"/>
      <c r="H225" s="467" t="s">
        <v>1848</v>
      </c>
      <c r="I225" s="462"/>
      <c r="J225" s="463" t="s">
        <v>1848</v>
      </c>
      <c r="K225" s="464"/>
      <c r="L225" s="465"/>
      <c r="M225" s="465"/>
      <c r="N225" s="465"/>
      <c r="O225" s="466"/>
      <c r="P225" s="467" t="s">
        <v>1848</v>
      </c>
    </row>
    <row r="226" spans="1:16" ht="15.75" thickBot="1">
      <c r="A226" s="462"/>
      <c r="B226" s="463" t="s">
        <v>1849</v>
      </c>
      <c r="C226" s="464"/>
      <c r="D226" s="465"/>
      <c r="E226" s="465"/>
      <c r="F226" s="465"/>
      <c r="G226" s="466"/>
      <c r="H226" s="467" t="s">
        <v>1849</v>
      </c>
      <c r="I226" s="462"/>
      <c r="J226" s="463" t="s">
        <v>1849</v>
      </c>
      <c r="K226" s="464"/>
      <c r="L226" s="465"/>
      <c r="M226" s="465"/>
      <c r="N226" s="465"/>
      <c r="O226" s="466"/>
      <c r="P226" s="467" t="s">
        <v>1849</v>
      </c>
    </row>
    <row r="227" spans="1:16" ht="15.75" thickBot="1">
      <c r="A227" s="462"/>
      <c r="B227" s="463" t="s">
        <v>1850</v>
      </c>
      <c r="C227" s="464"/>
      <c r="D227" s="465"/>
      <c r="E227" s="465"/>
      <c r="F227" s="465"/>
      <c r="G227" s="466"/>
      <c r="H227" s="467" t="s">
        <v>1850</v>
      </c>
      <c r="I227" s="462"/>
      <c r="J227" s="463" t="s">
        <v>1850</v>
      </c>
      <c r="K227" s="464"/>
      <c r="L227" s="465"/>
      <c r="M227" s="465"/>
      <c r="N227" s="465"/>
      <c r="O227" s="466"/>
      <c r="P227" s="467" t="s">
        <v>1850</v>
      </c>
    </row>
    <row r="228" spans="1:16" ht="15.75" thickBot="1">
      <c r="A228" s="462"/>
      <c r="B228" s="463" t="s">
        <v>1851</v>
      </c>
      <c r="C228" s="464"/>
      <c r="D228" s="465"/>
      <c r="E228" s="465"/>
      <c r="F228" s="465"/>
      <c r="G228" s="466"/>
      <c r="H228" s="467" t="s">
        <v>1851</v>
      </c>
      <c r="I228" s="462"/>
      <c r="J228" s="463" t="s">
        <v>1851</v>
      </c>
      <c r="K228" s="464"/>
      <c r="L228" s="465"/>
      <c r="M228" s="465"/>
      <c r="N228" s="465"/>
      <c r="O228" s="466"/>
      <c r="P228" s="467" t="s">
        <v>1851</v>
      </c>
    </row>
    <row r="229" spans="1:16" ht="15.75" thickBot="1">
      <c r="A229" s="462"/>
      <c r="B229" s="463" t="s">
        <v>1852</v>
      </c>
      <c r="C229" s="464"/>
      <c r="D229" s="465"/>
      <c r="E229" s="465"/>
      <c r="F229" s="465"/>
      <c r="G229" s="466"/>
      <c r="H229" s="467" t="s">
        <v>1852</v>
      </c>
      <c r="I229" s="462"/>
      <c r="J229" s="463" t="s">
        <v>1852</v>
      </c>
      <c r="K229" s="464"/>
      <c r="L229" s="465"/>
      <c r="M229" s="465"/>
      <c r="N229" s="465"/>
      <c r="O229" s="466"/>
      <c r="P229" s="467" t="s">
        <v>1852</v>
      </c>
    </row>
    <row r="230" spans="1:16" ht="15.75" thickBot="1">
      <c r="A230" s="462"/>
      <c r="B230" s="463" t="s">
        <v>1853</v>
      </c>
      <c r="C230" s="464"/>
      <c r="D230" s="465"/>
      <c r="E230" s="465"/>
      <c r="F230" s="465"/>
      <c r="G230" s="466"/>
      <c r="H230" s="467" t="s">
        <v>1853</v>
      </c>
      <c r="I230" s="462"/>
      <c r="J230" s="463" t="s">
        <v>1853</v>
      </c>
      <c r="K230" s="464"/>
      <c r="L230" s="465"/>
      <c r="M230" s="465"/>
      <c r="N230" s="465"/>
      <c r="O230" s="466"/>
      <c r="P230" s="467" t="s">
        <v>1853</v>
      </c>
    </row>
    <row r="231" spans="1:16" ht="15.75" thickBot="1">
      <c r="A231" s="462"/>
      <c r="B231" s="463" t="s">
        <v>1854</v>
      </c>
      <c r="C231" s="464"/>
      <c r="D231" s="465"/>
      <c r="E231" s="465"/>
      <c r="F231" s="465"/>
      <c r="G231" s="466"/>
      <c r="H231" s="467" t="s">
        <v>1854</v>
      </c>
      <c r="I231" s="462"/>
      <c r="J231" s="463" t="s">
        <v>1854</v>
      </c>
      <c r="K231" s="464"/>
      <c r="L231" s="465"/>
      <c r="M231" s="465"/>
      <c r="N231" s="465"/>
      <c r="O231" s="466"/>
      <c r="P231" s="467" t="s">
        <v>1854</v>
      </c>
    </row>
    <row r="232" spans="1:16" ht="15.75" thickBot="1">
      <c r="A232" s="462"/>
      <c r="B232" s="463" t="s">
        <v>1855</v>
      </c>
      <c r="C232" s="464"/>
      <c r="D232" s="465"/>
      <c r="E232" s="465"/>
      <c r="F232" s="465"/>
      <c r="G232" s="466"/>
      <c r="H232" s="467" t="s">
        <v>1855</v>
      </c>
      <c r="I232" s="462"/>
      <c r="J232" s="463" t="s">
        <v>1855</v>
      </c>
      <c r="K232" s="464"/>
      <c r="L232" s="465"/>
      <c r="M232" s="465"/>
      <c r="N232" s="465"/>
      <c r="O232" s="466"/>
      <c r="P232" s="467" t="s">
        <v>1855</v>
      </c>
    </row>
    <row r="233" spans="1:16" ht="15.75" thickBot="1">
      <c r="A233" s="462"/>
      <c r="B233" s="463" t="s">
        <v>1856</v>
      </c>
      <c r="C233" s="464"/>
      <c r="D233" s="465"/>
      <c r="E233" s="465"/>
      <c r="F233" s="465"/>
      <c r="G233" s="466"/>
      <c r="H233" s="467" t="s">
        <v>1856</v>
      </c>
      <c r="I233" s="462"/>
      <c r="J233" s="463" t="s">
        <v>1856</v>
      </c>
      <c r="K233" s="464"/>
      <c r="L233" s="465"/>
      <c r="M233" s="465"/>
      <c r="N233" s="465"/>
      <c r="O233" s="466"/>
      <c r="P233" s="467" t="s">
        <v>1856</v>
      </c>
    </row>
    <row r="234" spans="1:16" ht="26.25" thickBot="1">
      <c r="A234" s="468"/>
      <c r="B234" s="463" t="s">
        <v>1857</v>
      </c>
      <c r="C234" s="464"/>
      <c r="D234" s="465"/>
      <c r="E234" s="465"/>
      <c r="F234" s="465"/>
      <c r="G234" s="469"/>
      <c r="H234" s="467" t="s">
        <v>1858</v>
      </c>
      <c r="I234" s="468"/>
      <c r="J234" s="463" t="s">
        <v>1857</v>
      </c>
      <c r="K234" s="464"/>
      <c r="L234" s="465"/>
      <c r="M234" s="465"/>
      <c r="N234" s="465"/>
      <c r="O234" s="469"/>
      <c r="P234" s="467" t="s">
        <v>1858</v>
      </c>
    </row>
    <row r="235" spans="1:16" ht="15.75" thickBot="1">
      <c r="A235" s="470" t="s">
        <v>2202</v>
      </c>
      <c r="B235" s="463" t="s">
        <v>1845</v>
      </c>
      <c r="C235" s="464"/>
      <c r="D235" s="465"/>
      <c r="E235" s="465"/>
      <c r="F235" s="465"/>
      <c r="G235" s="471" t="s">
        <v>2202</v>
      </c>
      <c r="H235" s="467" t="s">
        <v>1845</v>
      </c>
      <c r="I235" s="470" t="s">
        <v>2202</v>
      </c>
      <c r="J235" s="463" t="s">
        <v>1845</v>
      </c>
      <c r="K235" s="464"/>
      <c r="L235" s="465"/>
      <c r="M235" s="465"/>
      <c r="N235" s="465"/>
      <c r="O235" s="471" t="s">
        <v>2202</v>
      </c>
      <c r="P235" s="467" t="s">
        <v>1845</v>
      </c>
    </row>
    <row r="236" spans="1:16" ht="15.75" thickBot="1">
      <c r="A236" s="462"/>
      <c r="B236" s="463" t="s">
        <v>1847</v>
      </c>
      <c r="C236" s="464"/>
      <c r="D236" s="465"/>
      <c r="E236" s="465"/>
      <c r="F236" s="465"/>
      <c r="G236" s="466"/>
      <c r="H236" s="467" t="s">
        <v>1847</v>
      </c>
      <c r="I236" s="462"/>
      <c r="J236" s="463" t="s">
        <v>1847</v>
      </c>
      <c r="K236" s="464"/>
      <c r="L236" s="465"/>
      <c r="M236" s="465"/>
      <c r="N236" s="465"/>
      <c r="O236" s="466"/>
      <c r="P236" s="467" t="s">
        <v>1847</v>
      </c>
    </row>
    <row r="237" spans="1:16" ht="15.75" thickBot="1">
      <c r="A237" s="462"/>
      <c r="B237" s="463" t="s">
        <v>1848</v>
      </c>
      <c r="C237" s="464"/>
      <c r="D237" s="465"/>
      <c r="E237" s="465"/>
      <c r="F237" s="465"/>
      <c r="G237" s="466"/>
      <c r="H237" s="467" t="s">
        <v>1848</v>
      </c>
      <c r="I237" s="462"/>
      <c r="J237" s="463" t="s">
        <v>1848</v>
      </c>
      <c r="K237" s="464"/>
      <c r="L237" s="465"/>
      <c r="M237" s="465"/>
      <c r="N237" s="465"/>
      <c r="O237" s="466"/>
      <c r="P237" s="467" t="s">
        <v>1848</v>
      </c>
    </row>
    <row r="238" spans="1:16" ht="15.75" thickBot="1">
      <c r="A238" s="462"/>
      <c r="B238" s="463" t="s">
        <v>1849</v>
      </c>
      <c r="C238" s="464"/>
      <c r="D238" s="465"/>
      <c r="E238" s="465"/>
      <c r="F238" s="465"/>
      <c r="G238" s="466"/>
      <c r="H238" s="467" t="s">
        <v>1849</v>
      </c>
      <c r="I238" s="462"/>
      <c r="J238" s="463" t="s">
        <v>1849</v>
      </c>
      <c r="K238" s="464"/>
      <c r="L238" s="465"/>
      <c r="M238" s="465"/>
      <c r="N238" s="465"/>
      <c r="O238" s="466"/>
      <c r="P238" s="467" t="s">
        <v>1849</v>
      </c>
    </row>
    <row r="239" spans="1:16" ht="15.75" thickBot="1">
      <c r="A239" s="462"/>
      <c r="B239" s="463" t="s">
        <v>1850</v>
      </c>
      <c r="C239" s="464"/>
      <c r="D239" s="465"/>
      <c r="E239" s="465"/>
      <c r="F239" s="465"/>
      <c r="G239" s="466"/>
      <c r="H239" s="467" t="s">
        <v>1850</v>
      </c>
      <c r="I239" s="462"/>
      <c r="J239" s="463" t="s">
        <v>1850</v>
      </c>
      <c r="K239" s="464"/>
      <c r="L239" s="465"/>
      <c r="M239" s="465"/>
      <c r="N239" s="465"/>
      <c r="O239" s="466"/>
      <c r="P239" s="467" t="s">
        <v>1850</v>
      </c>
    </row>
    <row r="240" spans="1:16" ht="15.75" thickBot="1">
      <c r="A240" s="462"/>
      <c r="B240" s="463" t="s">
        <v>1851</v>
      </c>
      <c r="C240" s="464"/>
      <c r="D240" s="465"/>
      <c r="E240" s="465"/>
      <c r="F240" s="465"/>
      <c r="G240" s="466"/>
      <c r="H240" s="467" t="s">
        <v>1851</v>
      </c>
      <c r="I240" s="462"/>
      <c r="J240" s="463" t="s">
        <v>1851</v>
      </c>
      <c r="K240" s="464"/>
      <c r="L240" s="465"/>
      <c r="M240" s="465"/>
      <c r="N240" s="465"/>
      <c r="O240" s="466"/>
      <c r="P240" s="467" t="s">
        <v>1851</v>
      </c>
    </row>
    <row r="241" spans="1:16" ht="15.75" thickBot="1">
      <c r="A241" s="462"/>
      <c r="B241" s="463" t="s">
        <v>1852</v>
      </c>
      <c r="C241" s="464"/>
      <c r="D241" s="465"/>
      <c r="E241" s="465"/>
      <c r="F241" s="465"/>
      <c r="G241" s="466"/>
      <c r="H241" s="467" t="s">
        <v>1852</v>
      </c>
      <c r="I241" s="462"/>
      <c r="J241" s="463" t="s">
        <v>1852</v>
      </c>
      <c r="K241" s="464"/>
      <c r="L241" s="465"/>
      <c r="M241" s="465"/>
      <c r="N241" s="465"/>
      <c r="O241" s="466"/>
      <c r="P241" s="467" t="s">
        <v>1852</v>
      </c>
    </row>
    <row r="242" spans="1:16" ht="15.75" thickBot="1">
      <c r="A242" s="462"/>
      <c r="B242" s="463" t="s">
        <v>1853</v>
      </c>
      <c r="C242" s="464"/>
      <c r="D242" s="465"/>
      <c r="E242" s="465"/>
      <c r="F242" s="465"/>
      <c r="G242" s="466"/>
      <c r="H242" s="467" t="s">
        <v>1853</v>
      </c>
      <c r="I242" s="462"/>
      <c r="J242" s="463" t="s">
        <v>1853</v>
      </c>
      <c r="K242" s="464"/>
      <c r="L242" s="465"/>
      <c r="M242" s="465"/>
      <c r="N242" s="465"/>
      <c r="O242" s="466"/>
      <c r="P242" s="467" t="s">
        <v>1853</v>
      </c>
    </row>
    <row r="243" spans="1:16" ht="15.75" thickBot="1">
      <c r="A243" s="462"/>
      <c r="B243" s="463" t="s">
        <v>1854</v>
      </c>
      <c r="C243" s="464"/>
      <c r="D243" s="465"/>
      <c r="E243" s="465"/>
      <c r="F243" s="465"/>
      <c r="G243" s="466"/>
      <c r="H243" s="467" t="s">
        <v>1854</v>
      </c>
      <c r="I243" s="462"/>
      <c r="J243" s="463" t="s">
        <v>1854</v>
      </c>
      <c r="K243" s="464"/>
      <c r="L243" s="465"/>
      <c r="M243" s="465"/>
      <c r="N243" s="465"/>
      <c r="O243" s="466"/>
      <c r="P243" s="467" t="s">
        <v>1854</v>
      </c>
    </row>
    <row r="244" spans="1:16" ht="15.75" thickBot="1">
      <c r="A244" s="462"/>
      <c r="B244" s="463" t="s">
        <v>1855</v>
      </c>
      <c r="C244" s="464"/>
      <c r="D244" s="465"/>
      <c r="E244" s="465"/>
      <c r="F244" s="465"/>
      <c r="G244" s="466"/>
      <c r="H244" s="467" t="s">
        <v>1855</v>
      </c>
      <c r="I244" s="462"/>
      <c r="J244" s="463" t="s">
        <v>1855</v>
      </c>
      <c r="K244" s="464"/>
      <c r="L244" s="465"/>
      <c r="M244" s="465"/>
      <c r="N244" s="465"/>
      <c r="O244" s="466"/>
      <c r="P244" s="467" t="s">
        <v>1855</v>
      </c>
    </row>
    <row r="245" spans="1:16" ht="15.75" thickBot="1">
      <c r="A245" s="462"/>
      <c r="B245" s="463" t="s">
        <v>1856</v>
      </c>
      <c r="C245" s="464"/>
      <c r="D245" s="465"/>
      <c r="E245" s="465"/>
      <c r="F245" s="465"/>
      <c r="G245" s="466"/>
      <c r="H245" s="467" t="s">
        <v>1856</v>
      </c>
      <c r="I245" s="462"/>
      <c r="J245" s="463" t="s">
        <v>1856</v>
      </c>
      <c r="K245" s="464"/>
      <c r="L245" s="465"/>
      <c r="M245" s="465"/>
      <c r="N245" s="465"/>
      <c r="O245" s="466"/>
      <c r="P245" s="467" t="s">
        <v>1856</v>
      </c>
    </row>
    <row r="246" spans="1:16" ht="26.25" thickBot="1">
      <c r="A246" s="468"/>
      <c r="B246" s="463" t="s">
        <v>1857</v>
      </c>
      <c r="C246" s="464"/>
      <c r="D246" s="465"/>
      <c r="E246" s="465"/>
      <c r="F246" s="465"/>
      <c r="G246" s="469"/>
      <c r="H246" s="467" t="s">
        <v>1858</v>
      </c>
      <c r="I246" s="468"/>
      <c r="J246" s="463" t="s">
        <v>1857</v>
      </c>
      <c r="K246" s="464"/>
      <c r="L246" s="465"/>
      <c r="M246" s="465"/>
      <c r="N246" s="465"/>
      <c r="O246" s="469"/>
      <c r="P246" s="467" t="s">
        <v>1858</v>
      </c>
    </row>
    <row r="247" spans="1:16" ht="15.75" thickBot="1">
      <c r="A247" s="470" t="s">
        <v>2203</v>
      </c>
      <c r="B247" s="463" t="s">
        <v>1845</v>
      </c>
      <c r="C247" s="464"/>
      <c r="D247" s="465"/>
      <c r="E247" s="465"/>
      <c r="F247" s="465"/>
      <c r="G247" s="471" t="s">
        <v>2204</v>
      </c>
      <c r="H247" s="467" t="s">
        <v>1845</v>
      </c>
      <c r="I247" s="470" t="s">
        <v>2203</v>
      </c>
      <c r="J247" s="463" t="s">
        <v>1845</v>
      </c>
      <c r="K247" s="464"/>
      <c r="L247" s="465"/>
      <c r="M247" s="465"/>
      <c r="N247" s="465"/>
      <c r="O247" s="471" t="s">
        <v>2204</v>
      </c>
      <c r="P247" s="467" t="s">
        <v>1845</v>
      </c>
    </row>
    <row r="248" spans="1:16" ht="15.75" thickBot="1">
      <c r="A248" s="462"/>
      <c r="B248" s="463" t="s">
        <v>1847</v>
      </c>
      <c r="C248" s="464"/>
      <c r="D248" s="465"/>
      <c r="E248" s="465"/>
      <c r="F248" s="465"/>
      <c r="G248" s="466"/>
      <c r="H248" s="467" t="s">
        <v>1847</v>
      </c>
      <c r="I248" s="462"/>
      <c r="J248" s="463" t="s">
        <v>1847</v>
      </c>
      <c r="K248" s="464"/>
      <c r="L248" s="465"/>
      <c r="M248" s="465"/>
      <c r="N248" s="465"/>
      <c r="O248" s="466"/>
      <c r="P248" s="467" t="s">
        <v>1847</v>
      </c>
    </row>
    <row r="249" spans="1:16" ht="15.75" thickBot="1">
      <c r="A249" s="462"/>
      <c r="B249" s="463" t="s">
        <v>1848</v>
      </c>
      <c r="C249" s="464"/>
      <c r="D249" s="465"/>
      <c r="E249" s="465"/>
      <c r="F249" s="465"/>
      <c r="G249" s="466"/>
      <c r="H249" s="467" t="s">
        <v>1848</v>
      </c>
      <c r="I249" s="462"/>
      <c r="J249" s="463" t="s">
        <v>1848</v>
      </c>
      <c r="K249" s="464"/>
      <c r="L249" s="465"/>
      <c r="M249" s="465"/>
      <c r="N249" s="465"/>
      <c r="O249" s="466"/>
      <c r="P249" s="467" t="s">
        <v>1848</v>
      </c>
    </row>
    <row r="250" spans="1:16" ht="15.75" thickBot="1">
      <c r="A250" s="462"/>
      <c r="B250" s="463" t="s">
        <v>1849</v>
      </c>
      <c r="C250" s="464"/>
      <c r="D250" s="465"/>
      <c r="E250" s="465"/>
      <c r="F250" s="465"/>
      <c r="G250" s="466"/>
      <c r="H250" s="467" t="s">
        <v>1849</v>
      </c>
      <c r="I250" s="462"/>
      <c r="J250" s="463" t="s">
        <v>1849</v>
      </c>
      <c r="K250" s="464"/>
      <c r="L250" s="465"/>
      <c r="M250" s="465"/>
      <c r="N250" s="465"/>
      <c r="O250" s="466"/>
      <c r="P250" s="467" t="s">
        <v>1849</v>
      </c>
    </row>
    <row r="251" spans="1:16" ht="15.75" thickBot="1">
      <c r="A251" s="462"/>
      <c r="B251" s="463" t="s">
        <v>1850</v>
      </c>
      <c r="C251" s="464"/>
      <c r="D251" s="465"/>
      <c r="E251" s="465"/>
      <c r="F251" s="465"/>
      <c r="G251" s="466"/>
      <c r="H251" s="467" t="s">
        <v>1850</v>
      </c>
      <c r="I251" s="462"/>
      <c r="J251" s="463" t="s">
        <v>1850</v>
      </c>
      <c r="K251" s="464"/>
      <c r="L251" s="465"/>
      <c r="M251" s="465"/>
      <c r="N251" s="465"/>
      <c r="O251" s="466"/>
      <c r="P251" s="467" t="s">
        <v>1850</v>
      </c>
    </row>
    <row r="252" spans="1:16" ht="15.75" thickBot="1">
      <c r="A252" s="462"/>
      <c r="B252" s="463" t="s">
        <v>1851</v>
      </c>
      <c r="C252" s="464"/>
      <c r="D252" s="465"/>
      <c r="E252" s="465"/>
      <c r="F252" s="465"/>
      <c r="G252" s="466"/>
      <c r="H252" s="467" t="s">
        <v>1851</v>
      </c>
      <c r="I252" s="462"/>
      <c r="J252" s="463" t="s">
        <v>1851</v>
      </c>
      <c r="K252" s="464"/>
      <c r="L252" s="465"/>
      <c r="M252" s="465"/>
      <c r="N252" s="465"/>
      <c r="O252" s="466"/>
      <c r="P252" s="467" t="s">
        <v>1851</v>
      </c>
    </row>
    <row r="253" spans="1:16" ht="15.75" thickBot="1">
      <c r="A253" s="462"/>
      <c r="B253" s="463" t="s">
        <v>1852</v>
      </c>
      <c r="C253" s="464"/>
      <c r="D253" s="465"/>
      <c r="E253" s="465"/>
      <c r="F253" s="465"/>
      <c r="G253" s="466"/>
      <c r="H253" s="467" t="s">
        <v>1852</v>
      </c>
      <c r="I253" s="462"/>
      <c r="J253" s="463" t="s">
        <v>1852</v>
      </c>
      <c r="K253" s="464"/>
      <c r="L253" s="465"/>
      <c r="M253" s="465"/>
      <c r="N253" s="465"/>
      <c r="O253" s="466"/>
      <c r="P253" s="467" t="s">
        <v>1852</v>
      </c>
    </row>
    <row r="254" spans="1:16" ht="15.75" thickBot="1">
      <c r="A254" s="462"/>
      <c r="B254" s="463" t="s">
        <v>1853</v>
      </c>
      <c r="C254" s="464"/>
      <c r="D254" s="465"/>
      <c r="E254" s="465"/>
      <c r="F254" s="465"/>
      <c r="G254" s="466"/>
      <c r="H254" s="467" t="s">
        <v>1853</v>
      </c>
      <c r="I254" s="462"/>
      <c r="J254" s="463" t="s">
        <v>1853</v>
      </c>
      <c r="K254" s="464"/>
      <c r="L254" s="465"/>
      <c r="M254" s="465"/>
      <c r="N254" s="465"/>
      <c r="O254" s="466"/>
      <c r="P254" s="467" t="s">
        <v>1853</v>
      </c>
    </row>
    <row r="255" spans="1:16" ht="15.75" thickBot="1">
      <c r="A255" s="462"/>
      <c r="B255" s="463" t="s">
        <v>1854</v>
      </c>
      <c r="C255" s="464"/>
      <c r="D255" s="465"/>
      <c r="E255" s="465"/>
      <c r="F255" s="465"/>
      <c r="G255" s="466"/>
      <c r="H255" s="467" t="s">
        <v>1854</v>
      </c>
      <c r="I255" s="462"/>
      <c r="J255" s="463" t="s">
        <v>1854</v>
      </c>
      <c r="K255" s="464"/>
      <c r="L255" s="465"/>
      <c r="M255" s="465"/>
      <c r="N255" s="465"/>
      <c r="O255" s="466"/>
      <c r="P255" s="467" t="s">
        <v>1854</v>
      </c>
    </row>
    <row r="256" spans="1:16" ht="15.75" thickBot="1">
      <c r="A256" s="462"/>
      <c r="B256" s="463" t="s">
        <v>1855</v>
      </c>
      <c r="C256" s="464"/>
      <c r="D256" s="465"/>
      <c r="E256" s="465"/>
      <c r="F256" s="465"/>
      <c r="G256" s="466"/>
      <c r="H256" s="467" t="s">
        <v>1855</v>
      </c>
      <c r="I256" s="462"/>
      <c r="J256" s="463" t="s">
        <v>1855</v>
      </c>
      <c r="K256" s="464"/>
      <c r="L256" s="465"/>
      <c r="M256" s="465"/>
      <c r="N256" s="465"/>
      <c r="O256" s="466"/>
      <c r="P256" s="467" t="s">
        <v>1855</v>
      </c>
    </row>
    <row r="257" spans="1:16" ht="15.75" thickBot="1">
      <c r="A257" s="462"/>
      <c r="B257" s="463" t="s">
        <v>1856</v>
      </c>
      <c r="C257" s="464"/>
      <c r="D257" s="465"/>
      <c r="E257" s="465"/>
      <c r="F257" s="465"/>
      <c r="G257" s="466"/>
      <c r="H257" s="467" t="s">
        <v>1856</v>
      </c>
      <c r="I257" s="462"/>
      <c r="J257" s="463" t="s">
        <v>1856</v>
      </c>
      <c r="K257" s="464"/>
      <c r="L257" s="465"/>
      <c r="M257" s="465"/>
      <c r="N257" s="465"/>
      <c r="O257" s="466"/>
      <c r="P257" s="467" t="s">
        <v>1856</v>
      </c>
    </row>
    <row r="258" spans="1:16" ht="26.25" thickBot="1">
      <c r="A258" s="468"/>
      <c r="B258" s="463" t="s">
        <v>1857</v>
      </c>
      <c r="C258" s="464"/>
      <c r="D258" s="465"/>
      <c r="E258" s="465"/>
      <c r="F258" s="465"/>
      <c r="G258" s="469"/>
      <c r="H258" s="467" t="s">
        <v>1858</v>
      </c>
      <c r="I258" s="468"/>
      <c r="J258" s="463" t="s">
        <v>1857</v>
      </c>
      <c r="K258" s="464"/>
      <c r="L258" s="465"/>
      <c r="M258" s="465"/>
      <c r="N258" s="465"/>
      <c r="O258" s="469"/>
      <c r="P258" s="467" t="s">
        <v>1858</v>
      </c>
    </row>
    <row r="259" spans="1:16" ht="15.75" thickBot="1">
      <c r="A259" s="470" t="s">
        <v>2205</v>
      </c>
      <c r="B259" s="463" t="s">
        <v>1845</v>
      </c>
      <c r="C259" s="464"/>
      <c r="D259" s="465"/>
      <c r="E259" s="465"/>
      <c r="F259" s="465"/>
      <c r="G259" s="471" t="s">
        <v>2206</v>
      </c>
      <c r="H259" s="467" t="s">
        <v>1845</v>
      </c>
      <c r="I259" s="470" t="s">
        <v>2205</v>
      </c>
      <c r="J259" s="463" t="s">
        <v>1845</v>
      </c>
      <c r="K259" s="464"/>
      <c r="L259" s="465"/>
      <c r="M259" s="465"/>
      <c r="N259" s="465"/>
      <c r="O259" s="471" t="s">
        <v>2206</v>
      </c>
      <c r="P259" s="467" t="s">
        <v>1845</v>
      </c>
    </row>
    <row r="260" spans="1:16" ht="15.75" thickBot="1">
      <c r="A260" s="462"/>
      <c r="B260" s="463" t="s">
        <v>1847</v>
      </c>
      <c r="C260" s="464"/>
      <c r="D260" s="465"/>
      <c r="E260" s="465"/>
      <c r="F260" s="465"/>
      <c r="G260" s="466"/>
      <c r="H260" s="467" t="s">
        <v>1847</v>
      </c>
      <c r="I260" s="462"/>
      <c r="J260" s="463" t="s">
        <v>1847</v>
      </c>
      <c r="K260" s="464"/>
      <c r="L260" s="465"/>
      <c r="M260" s="465"/>
      <c r="N260" s="465"/>
      <c r="O260" s="466"/>
      <c r="P260" s="467" t="s">
        <v>1847</v>
      </c>
    </row>
    <row r="261" spans="1:16" ht="15.75" thickBot="1">
      <c r="A261" s="462"/>
      <c r="B261" s="463" t="s">
        <v>1848</v>
      </c>
      <c r="C261" s="464"/>
      <c r="D261" s="465"/>
      <c r="E261" s="465"/>
      <c r="F261" s="465"/>
      <c r="G261" s="466"/>
      <c r="H261" s="467" t="s">
        <v>1848</v>
      </c>
      <c r="I261" s="462"/>
      <c r="J261" s="463" t="s">
        <v>1848</v>
      </c>
      <c r="K261" s="464"/>
      <c r="L261" s="465"/>
      <c r="M261" s="465"/>
      <c r="N261" s="465"/>
      <c r="O261" s="466"/>
      <c r="P261" s="467" t="s">
        <v>1848</v>
      </c>
    </row>
    <row r="262" spans="1:16" ht="15.75" thickBot="1">
      <c r="A262" s="462"/>
      <c r="B262" s="463" t="s">
        <v>1849</v>
      </c>
      <c r="C262" s="464"/>
      <c r="D262" s="465"/>
      <c r="E262" s="465"/>
      <c r="F262" s="465"/>
      <c r="G262" s="466"/>
      <c r="H262" s="467" t="s">
        <v>1849</v>
      </c>
      <c r="I262" s="462"/>
      <c r="J262" s="463" t="s">
        <v>1849</v>
      </c>
      <c r="K262" s="464"/>
      <c r="L262" s="465"/>
      <c r="M262" s="465"/>
      <c r="N262" s="465"/>
      <c r="O262" s="466"/>
      <c r="P262" s="467" t="s">
        <v>1849</v>
      </c>
    </row>
    <row r="263" spans="1:16" ht="15.75" thickBot="1">
      <c r="A263" s="462"/>
      <c r="B263" s="463" t="s">
        <v>1850</v>
      </c>
      <c r="C263" s="464"/>
      <c r="D263" s="465"/>
      <c r="E263" s="465"/>
      <c r="F263" s="465"/>
      <c r="G263" s="466"/>
      <c r="H263" s="467" t="s">
        <v>1850</v>
      </c>
      <c r="I263" s="462"/>
      <c r="J263" s="463" t="s">
        <v>1850</v>
      </c>
      <c r="K263" s="464"/>
      <c r="L263" s="465"/>
      <c r="M263" s="465"/>
      <c r="N263" s="465"/>
      <c r="O263" s="466"/>
      <c r="P263" s="467" t="s">
        <v>1850</v>
      </c>
    </row>
    <row r="264" spans="1:16" ht="15.75" thickBot="1">
      <c r="A264" s="462"/>
      <c r="B264" s="463" t="s">
        <v>1851</v>
      </c>
      <c r="C264" s="464"/>
      <c r="D264" s="465"/>
      <c r="E264" s="465"/>
      <c r="F264" s="465"/>
      <c r="G264" s="466"/>
      <c r="H264" s="467" t="s">
        <v>1851</v>
      </c>
      <c r="I264" s="462"/>
      <c r="J264" s="463" t="s">
        <v>1851</v>
      </c>
      <c r="K264" s="464"/>
      <c r="L264" s="465"/>
      <c r="M264" s="465"/>
      <c r="N264" s="465"/>
      <c r="O264" s="466"/>
      <c r="P264" s="467" t="s">
        <v>1851</v>
      </c>
    </row>
    <row r="265" spans="1:16" ht="15.75" thickBot="1">
      <c r="A265" s="462"/>
      <c r="B265" s="463" t="s">
        <v>1852</v>
      </c>
      <c r="C265" s="464"/>
      <c r="D265" s="465"/>
      <c r="E265" s="465"/>
      <c r="F265" s="465"/>
      <c r="G265" s="466"/>
      <c r="H265" s="467" t="s">
        <v>1852</v>
      </c>
      <c r="I265" s="462"/>
      <c r="J265" s="463" t="s">
        <v>1852</v>
      </c>
      <c r="K265" s="464"/>
      <c r="L265" s="465"/>
      <c r="M265" s="465"/>
      <c r="N265" s="465"/>
      <c r="O265" s="466"/>
      <c r="P265" s="467" t="s">
        <v>1852</v>
      </c>
    </row>
    <row r="266" spans="1:16" ht="15.75" thickBot="1">
      <c r="A266" s="462"/>
      <c r="B266" s="463" t="s">
        <v>1853</v>
      </c>
      <c r="C266" s="464"/>
      <c r="D266" s="465"/>
      <c r="E266" s="465"/>
      <c r="F266" s="465"/>
      <c r="G266" s="466"/>
      <c r="H266" s="467" t="s">
        <v>1853</v>
      </c>
      <c r="I266" s="462"/>
      <c r="J266" s="463" t="s">
        <v>1853</v>
      </c>
      <c r="K266" s="464"/>
      <c r="L266" s="465"/>
      <c r="M266" s="465"/>
      <c r="N266" s="465"/>
      <c r="O266" s="466"/>
      <c r="P266" s="467" t="s">
        <v>1853</v>
      </c>
    </row>
    <row r="267" spans="1:16" ht="15.75" thickBot="1">
      <c r="A267" s="462"/>
      <c r="B267" s="463" t="s">
        <v>1854</v>
      </c>
      <c r="C267" s="464"/>
      <c r="D267" s="465"/>
      <c r="E267" s="465"/>
      <c r="F267" s="465"/>
      <c r="G267" s="466"/>
      <c r="H267" s="467" t="s">
        <v>1854</v>
      </c>
      <c r="I267" s="462"/>
      <c r="J267" s="463" t="s">
        <v>1854</v>
      </c>
      <c r="K267" s="464"/>
      <c r="L267" s="465"/>
      <c r="M267" s="465"/>
      <c r="N267" s="465"/>
      <c r="O267" s="466"/>
      <c r="P267" s="467" t="s">
        <v>1854</v>
      </c>
    </row>
    <row r="268" spans="1:16" ht="15.75" thickBot="1">
      <c r="A268" s="462"/>
      <c r="B268" s="463" t="s">
        <v>1855</v>
      </c>
      <c r="C268" s="464"/>
      <c r="D268" s="465"/>
      <c r="E268" s="465"/>
      <c r="F268" s="465"/>
      <c r="G268" s="466"/>
      <c r="H268" s="467" t="s">
        <v>1855</v>
      </c>
      <c r="I268" s="462"/>
      <c r="J268" s="463" t="s">
        <v>1855</v>
      </c>
      <c r="K268" s="464"/>
      <c r="L268" s="465"/>
      <c r="M268" s="465"/>
      <c r="N268" s="465"/>
      <c r="O268" s="466"/>
      <c r="P268" s="467" t="s">
        <v>1855</v>
      </c>
    </row>
    <row r="269" spans="1:16" ht="15.75" thickBot="1">
      <c r="A269" s="462"/>
      <c r="B269" s="463" t="s">
        <v>1856</v>
      </c>
      <c r="C269" s="464"/>
      <c r="D269" s="465"/>
      <c r="E269" s="465"/>
      <c r="F269" s="465"/>
      <c r="G269" s="466"/>
      <c r="H269" s="467" t="s">
        <v>1856</v>
      </c>
      <c r="I269" s="462"/>
      <c r="J269" s="463" t="s">
        <v>1856</v>
      </c>
      <c r="K269" s="464"/>
      <c r="L269" s="465"/>
      <c r="M269" s="465"/>
      <c r="N269" s="465"/>
      <c r="O269" s="466"/>
      <c r="P269" s="467" t="s">
        <v>1856</v>
      </c>
    </row>
    <row r="270" spans="1:16" ht="26.25" thickBot="1">
      <c r="A270" s="468"/>
      <c r="B270" s="463" t="s">
        <v>1857</v>
      </c>
      <c r="C270" s="464"/>
      <c r="D270" s="465"/>
      <c r="E270" s="465"/>
      <c r="F270" s="465"/>
      <c r="G270" s="469"/>
      <c r="H270" s="467" t="s">
        <v>1858</v>
      </c>
      <c r="I270" s="468"/>
      <c r="J270" s="463" t="s">
        <v>1857</v>
      </c>
      <c r="K270" s="464"/>
      <c r="L270" s="465"/>
      <c r="M270" s="465"/>
      <c r="N270" s="465"/>
      <c r="O270" s="469"/>
      <c r="P270" s="467" t="s">
        <v>1858</v>
      </c>
    </row>
    <row r="271" spans="1:16" ht="15.75" thickBot="1">
      <c r="A271" s="470" t="s">
        <v>2207</v>
      </c>
      <c r="B271" s="463" t="s">
        <v>1845</v>
      </c>
      <c r="C271" s="464"/>
      <c r="D271" s="465"/>
      <c r="E271" s="465"/>
      <c r="F271" s="465"/>
      <c r="G271" s="471" t="s">
        <v>2208</v>
      </c>
      <c r="H271" s="467" t="s">
        <v>1845</v>
      </c>
      <c r="I271" s="470" t="s">
        <v>2207</v>
      </c>
      <c r="J271" s="463" t="s">
        <v>1845</v>
      </c>
      <c r="K271" s="464"/>
      <c r="L271" s="465"/>
      <c r="M271" s="465"/>
      <c r="N271" s="465"/>
      <c r="O271" s="471" t="s">
        <v>2208</v>
      </c>
      <c r="P271" s="467" t="s">
        <v>1845</v>
      </c>
    </row>
    <row r="272" spans="1:16" ht="15.75" thickBot="1">
      <c r="A272" s="462"/>
      <c r="B272" s="463" t="s">
        <v>1847</v>
      </c>
      <c r="C272" s="464"/>
      <c r="D272" s="465"/>
      <c r="E272" s="465"/>
      <c r="F272" s="465"/>
      <c r="G272" s="466"/>
      <c r="H272" s="467" t="s">
        <v>1847</v>
      </c>
      <c r="I272" s="462"/>
      <c r="J272" s="463" t="s">
        <v>1847</v>
      </c>
      <c r="K272" s="464"/>
      <c r="L272" s="465"/>
      <c r="M272" s="465"/>
      <c r="N272" s="465"/>
      <c r="O272" s="466"/>
      <c r="P272" s="467" t="s">
        <v>1847</v>
      </c>
    </row>
    <row r="273" spans="1:16" ht="15.75" thickBot="1">
      <c r="A273" s="462"/>
      <c r="B273" s="463" t="s">
        <v>1848</v>
      </c>
      <c r="C273" s="464"/>
      <c r="D273" s="465"/>
      <c r="E273" s="465"/>
      <c r="F273" s="465"/>
      <c r="G273" s="466"/>
      <c r="H273" s="467" t="s">
        <v>1848</v>
      </c>
      <c r="I273" s="462"/>
      <c r="J273" s="463" t="s">
        <v>1848</v>
      </c>
      <c r="K273" s="464"/>
      <c r="L273" s="465"/>
      <c r="M273" s="465"/>
      <c r="N273" s="465"/>
      <c r="O273" s="466"/>
      <c r="P273" s="467" t="s">
        <v>1848</v>
      </c>
    </row>
    <row r="274" spans="1:16" ht="15.75" thickBot="1">
      <c r="A274" s="462"/>
      <c r="B274" s="463" t="s">
        <v>1849</v>
      </c>
      <c r="C274" s="464"/>
      <c r="D274" s="465"/>
      <c r="E274" s="465"/>
      <c r="F274" s="465"/>
      <c r="G274" s="466"/>
      <c r="H274" s="467" t="s">
        <v>1849</v>
      </c>
      <c r="I274" s="462"/>
      <c r="J274" s="463" t="s">
        <v>1849</v>
      </c>
      <c r="K274" s="464"/>
      <c r="L274" s="465"/>
      <c r="M274" s="465"/>
      <c r="N274" s="465"/>
      <c r="O274" s="466"/>
      <c r="P274" s="467" t="s">
        <v>1849</v>
      </c>
    </row>
    <row r="275" spans="1:16" ht="15.75" thickBot="1">
      <c r="A275" s="462"/>
      <c r="B275" s="463" t="s">
        <v>1850</v>
      </c>
      <c r="C275" s="464"/>
      <c r="D275" s="465"/>
      <c r="E275" s="465"/>
      <c r="F275" s="465"/>
      <c r="G275" s="466"/>
      <c r="H275" s="467" t="s">
        <v>1850</v>
      </c>
      <c r="I275" s="462"/>
      <c r="J275" s="463" t="s">
        <v>1850</v>
      </c>
      <c r="K275" s="464"/>
      <c r="L275" s="465"/>
      <c r="M275" s="465"/>
      <c r="N275" s="465"/>
      <c r="O275" s="466"/>
      <c r="P275" s="467" t="s">
        <v>1850</v>
      </c>
    </row>
    <row r="276" spans="1:16" ht="15.75" thickBot="1">
      <c r="A276" s="462"/>
      <c r="B276" s="463" t="s">
        <v>1851</v>
      </c>
      <c r="C276" s="464"/>
      <c r="D276" s="465"/>
      <c r="E276" s="465"/>
      <c r="F276" s="465"/>
      <c r="G276" s="466"/>
      <c r="H276" s="467" t="s">
        <v>1851</v>
      </c>
      <c r="I276" s="462"/>
      <c r="J276" s="463" t="s">
        <v>1851</v>
      </c>
      <c r="K276" s="464"/>
      <c r="L276" s="465"/>
      <c r="M276" s="465"/>
      <c r="N276" s="465"/>
      <c r="O276" s="466"/>
      <c r="P276" s="467" t="s">
        <v>1851</v>
      </c>
    </row>
    <row r="277" spans="1:16" ht="15.75" thickBot="1">
      <c r="A277" s="462"/>
      <c r="B277" s="463" t="s">
        <v>1852</v>
      </c>
      <c r="C277" s="464"/>
      <c r="D277" s="465"/>
      <c r="E277" s="465"/>
      <c r="F277" s="465"/>
      <c r="G277" s="466"/>
      <c r="H277" s="467" t="s">
        <v>1852</v>
      </c>
      <c r="I277" s="462"/>
      <c r="J277" s="463" t="s">
        <v>1852</v>
      </c>
      <c r="K277" s="464"/>
      <c r="L277" s="465"/>
      <c r="M277" s="465"/>
      <c r="N277" s="465"/>
      <c r="O277" s="466"/>
      <c r="P277" s="467" t="s">
        <v>1852</v>
      </c>
    </row>
    <row r="278" spans="1:16" ht="15.75" thickBot="1">
      <c r="A278" s="462"/>
      <c r="B278" s="463" t="s">
        <v>1853</v>
      </c>
      <c r="C278" s="464"/>
      <c r="D278" s="465"/>
      <c r="E278" s="465"/>
      <c r="F278" s="465"/>
      <c r="G278" s="466"/>
      <c r="H278" s="467" t="s">
        <v>1853</v>
      </c>
      <c r="I278" s="462"/>
      <c r="J278" s="463" t="s">
        <v>1853</v>
      </c>
      <c r="K278" s="464"/>
      <c r="L278" s="465"/>
      <c r="M278" s="465"/>
      <c r="N278" s="465"/>
      <c r="O278" s="466"/>
      <c r="P278" s="467" t="s">
        <v>1853</v>
      </c>
    </row>
    <row r="279" spans="1:16" ht="15.75" thickBot="1">
      <c r="A279" s="462"/>
      <c r="B279" s="463" t="s">
        <v>1854</v>
      </c>
      <c r="C279" s="464"/>
      <c r="D279" s="465"/>
      <c r="E279" s="465"/>
      <c r="F279" s="465"/>
      <c r="G279" s="466"/>
      <c r="H279" s="467" t="s">
        <v>1854</v>
      </c>
      <c r="I279" s="462"/>
      <c r="J279" s="463" t="s">
        <v>1854</v>
      </c>
      <c r="K279" s="464"/>
      <c r="L279" s="465"/>
      <c r="M279" s="465"/>
      <c r="N279" s="465"/>
      <c r="O279" s="466"/>
      <c r="P279" s="467" t="s">
        <v>1854</v>
      </c>
    </row>
    <row r="280" spans="1:16" ht="15.75" thickBot="1">
      <c r="A280" s="462"/>
      <c r="B280" s="463" t="s">
        <v>1855</v>
      </c>
      <c r="C280" s="464"/>
      <c r="D280" s="465"/>
      <c r="E280" s="465"/>
      <c r="F280" s="465"/>
      <c r="G280" s="466"/>
      <c r="H280" s="467" t="s">
        <v>1855</v>
      </c>
      <c r="I280" s="462"/>
      <c r="J280" s="463" t="s">
        <v>1855</v>
      </c>
      <c r="K280" s="464"/>
      <c r="L280" s="465"/>
      <c r="M280" s="465"/>
      <c r="N280" s="465"/>
      <c r="O280" s="466"/>
      <c r="P280" s="467" t="s">
        <v>1855</v>
      </c>
    </row>
    <row r="281" spans="1:16" ht="15.75" thickBot="1">
      <c r="A281" s="462"/>
      <c r="B281" s="463" t="s">
        <v>1856</v>
      </c>
      <c r="C281" s="464"/>
      <c r="D281" s="465"/>
      <c r="E281" s="465"/>
      <c r="F281" s="465"/>
      <c r="G281" s="466"/>
      <c r="H281" s="467" t="s">
        <v>1856</v>
      </c>
      <c r="I281" s="462"/>
      <c r="J281" s="463" t="s">
        <v>1856</v>
      </c>
      <c r="K281" s="464"/>
      <c r="L281" s="465"/>
      <c r="M281" s="465"/>
      <c r="N281" s="465"/>
      <c r="O281" s="466"/>
      <c r="P281" s="467" t="s">
        <v>1856</v>
      </c>
    </row>
    <row r="282" spans="1:16" ht="26.25" thickBot="1">
      <c r="A282" s="468"/>
      <c r="B282" s="463" t="s">
        <v>1857</v>
      </c>
      <c r="C282" s="464"/>
      <c r="D282" s="465"/>
      <c r="E282" s="465"/>
      <c r="F282" s="465"/>
      <c r="G282" s="469"/>
      <c r="H282" s="467" t="s">
        <v>1858</v>
      </c>
      <c r="I282" s="468"/>
      <c r="J282" s="463" t="s">
        <v>1857</v>
      </c>
      <c r="K282" s="464"/>
      <c r="L282" s="465"/>
      <c r="M282" s="465"/>
      <c r="N282" s="465"/>
      <c r="O282" s="469"/>
      <c r="P282" s="467" t="s">
        <v>1858</v>
      </c>
    </row>
    <row r="283" spans="1:16" ht="17.25" customHeight="1">
      <c r="A283" s="472" t="s">
        <v>19</v>
      </c>
      <c r="B283" s="472"/>
      <c r="C283" s="472"/>
      <c r="D283" s="472"/>
      <c r="E283" s="472"/>
      <c r="F283" s="472"/>
      <c r="G283" s="472"/>
      <c r="H283" s="472"/>
      <c r="I283" s="473" t="s">
        <v>106</v>
      </c>
      <c r="J283" s="473"/>
      <c r="K283" s="473"/>
      <c r="L283" s="473"/>
      <c r="M283" s="473"/>
      <c r="N283" s="473"/>
      <c r="O283" s="473"/>
      <c r="P283" s="473"/>
    </row>
    <row r="284" spans="1:16" ht="17.25" customHeight="1">
      <c r="A284" s="457" t="s">
        <v>2225</v>
      </c>
      <c r="B284" s="457"/>
      <c r="C284" s="457"/>
      <c r="D284" s="457"/>
      <c r="E284" s="458" t="s">
        <v>2226</v>
      </c>
      <c r="F284" s="458"/>
      <c r="G284" s="458"/>
      <c r="H284" s="458"/>
      <c r="I284" s="457" t="s">
        <v>2225</v>
      </c>
      <c r="J284" s="457"/>
      <c r="K284" s="457"/>
      <c r="L284" s="457"/>
      <c r="M284" s="458" t="s">
        <v>2226</v>
      </c>
      <c r="N284" s="458"/>
      <c r="O284" s="458"/>
      <c r="P284" s="458"/>
    </row>
    <row r="285" spans="1:16">
      <c r="A285" s="459"/>
      <c r="B285" s="459"/>
      <c r="C285" s="460" t="s">
        <v>2227</v>
      </c>
      <c r="D285" s="460"/>
      <c r="E285" s="460"/>
      <c r="F285" s="460"/>
      <c r="G285" s="459"/>
      <c r="H285" s="459"/>
      <c r="I285" s="459"/>
      <c r="J285" s="459"/>
      <c r="K285" s="460" t="s">
        <v>2227</v>
      </c>
      <c r="L285" s="460"/>
      <c r="M285" s="460"/>
      <c r="N285" s="460"/>
      <c r="O285" s="459"/>
      <c r="P285" s="459"/>
    </row>
    <row r="286" spans="1:16" ht="23.25">
      <c r="A286" s="459"/>
      <c r="B286" s="459"/>
      <c r="C286" s="461" t="s">
        <v>2228</v>
      </c>
      <c r="D286" s="461" t="s">
        <v>2234</v>
      </c>
      <c r="E286" s="461" t="s">
        <v>2235</v>
      </c>
      <c r="F286" s="461" t="s">
        <v>2236</v>
      </c>
      <c r="G286" s="459"/>
      <c r="H286" s="459"/>
      <c r="I286" s="459"/>
      <c r="J286" s="459"/>
      <c r="K286" s="461" t="s">
        <v>2228</v>
      </c>
      <c r="L286" s="461" t="s">
        <v>2234</v>
      </c>
      <c r="M286" s="461" t="s">
        <v>2235</v>
      </c>
      <c r="N286" s="461" t="s">
        <v>2236</v>
      </c>
      <c r="O286" s="459"/>
      <c r="P286" s="459"/>
    </row>
    <row r="287" spans="1:16" ht="15.75" thickBot="1">
      <c r="A287" s="463" t="s">
        <v>2209</v>
      </c>
      <c r="B287" s="463" t="s">
        <v>1859</v>
      </c>
      <c r="C287" s="464"/>
      <c r="D287" s="465"/>
      <c r="E287" s="465"/>
      <c r="F287" s="465"/>
      <c r="G287" s="467" t="s">
        <v>2210</v>
      </c>
      <c r="H287" s="467" t="s">
        <v>1860</v>
      </c>
      <c r="I287" s="463" t="s">
        <v>2209</v>
      </c>
      <c r="J287" s="463" t="s">
        <v>1859</v>
      </c>
      <c r="K287" s="464"/>
      <c r="L287" s="465"/>
      <c r="M287" s="465"/>
      <c r="N287" s="465"/>
      <c r="O287" s="467" t="s">
        <v>2210</v>
      </c>
      <c r="P287" s="467" t="s">
        <v>1860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8C26B8F-FDDD-4875-9D93-0677973A1D9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470C2D-76A6-4461-8800-08D18D1A5712}">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110</v>
      </c>
      <c r="B1" t="s">
        <v>112</v>
      </c>
      <c r="C1" t="s">
        <v>112</v>
      </c>
      <c r="D1" t="s">
        <v>114</v>
      </c>
      <c r="E1" t="s">
        <v>117</v>
      </c>
      <c r="F1" t="s">
        <v>123</v>
      </c>
      <c r="G1" t="s">
        <v>127</v>
      </c>
      <c r="H1" t="s">
        <v>133</v>
      </c>
      <c r="I1" t="s">
        <v>137</v>
      </c>
      <c r="J1" t="s">
        <v>139</v>
      </c>
      <c r="K1" t="s">
        <v>144</v>
      </c>
      <c r="L1" t="s">
        <v>273</v>
      </c>
      <c r="M1" t="s">
        <v>342</v>
      </c>
      <c r="N1" t="s">
        <v>377</v>
      </c>
      <c r="O1" t="s">
        <v>389</v>
      </c>
      <c r="P1" t="s">
        <v>112</v>
      </c>
      <c r="Q1" t="s">
        <v>393</v>
      </c>
      <c r="R1" t="s">
        <v>397</v>
      </c>
      <c r="S1" t="s">
        <v>405</v>
      </c>
      <c r="T1" t="s">
        <v>407</v>
      </c>
    </row>
    <row r="2" spans="1:20">
      <c r="A2" t="s">
        <v>111</v>
      </c>
      <c r="B2" t="s">
        <v>113</v>
      </c>
      <c r="C2" t="s">
        <v>113</v>
      </c>
      <c r="D2" t="s">
        <v>115</v>
      </c>
      <c r="E2" t="s">
        <v>118</v>
      </c>
      <c r="F2" t="s">
        <v>124</v>
      </c>
      <c r="G2" t="s">
        <v>128</v>
      </c>
      <c r="H2" t="s">
        <v>134</v>
      </c>
      <c r="I2" t="s">
        <v>138</v>
      </c>
      <c r="J2" t="s">
        <v>140</v>
      </c>
      <c r="K2" t="s">
        <v>145</v>
      </c>
      <c r="L2" t="s">
        <v>274</v>
      </c>
      <c r="M2" t="s">
        <v>343</v>
      </c>
      <c r="N2" t="s">
        <v>378</v>
      </c>
      <c r="O2" t="s">
        <v>390</v>
      </c>
      <c r="P2" t="s">
        <v>113</v>
      </c>
      <c r="Q2" t="s">
        <v>394</v>
      </c>
      <c r="R2" t="s">
        <v>398</v>
      </c>
      <c r="S2" t="s">
        <v>406</v>
      </c>
      <c r="T2" t="s">
        <v>408</v>
      </c>
    </row>
    <row r="3" spans="1:20">
      <c r="D3" t="s">
        <v>116</v>
      </c>
      <c r="E3" t="s">
        <v>119</v>
      </c>
      <c r="F3" t="s">
        <v>125</v>
      </c>
      <c r="G3" t="s">
        <v>129</v>
      </c>
      <c r="H3" t="s">
        <v>135</v>
      </c>
      <c r="J3" t="s">
        <v>141</v>
      </c>
      <c r="K3" t="s">
        <v>146</v>
      </c>
      <c r="L3" t="s">
        <v>275</v>
      </c>
      <c r="M3" t="s">
        <v>344</v>
      </c>
      <c r="N3" t="s">
        <v>379</v>
      </c>
      <c r="O3" t="s">
        <v>391</v>
      </c>
      <c r="Q3" t="s">
        <v>395</v>
      </c>
      <c r="R3" t="s">
        <v>399</v>
      </c>
      <c r="T3" t="s">
        <v>409</v>
      </c>
    </row>
    <row r="4" spans="1:20">
      <c r="E4" t="s">
        <v>120</v>
      </c>
      <c r="F4" t="s">
        <v>126</v>
      </c>
      <c r="G4" t="s">
        <v>130</v>
      </c>
      <c r="H4" t="s">
        <v>136</v>
      </c>
      <c r="J4" t="s">
        <v>142</v>
      </c>
      <c r="K4" t="s">
        <v>147</v>
      </c>
      <c r="L4" t="s">
        <v>276</v>
      </c>
      <c r="M4" t="s">
        <v>345</v>
      </c>
      <c r="N4" t="s">
        <v>380</v>
      </c>
      <c r="O4" t="s">
        <v>392</v>
      </c>
      <c r="Q4" t="s">
        <v>396</v>
      </c>
      <c r="R4" t="s">
        <v>400</v>
      </c>
      <c r="T4" t="s">
        <v>410</v>
      </c>
    </row>
    <row r="5" spans="1:20">
      <c r="E5" t="s">
        <v>121</v>
      </c>
      <c r="G5" t="s">
        <v>131</v>
      </c>
      <c r="J5" t="s">
        <v>143</v>
      </c>
      <c r="K5" t="s">
        <v>148</v>
      </c>
      <c r="L5" t="s">
        <v>277</v>
      </c>
      <c r="M5" t="s">
        <v>346</v>
      </c>
      <c r="N5" t="s">
        <v>381</v>
      </c>
      <c r="R5" t="s">
        <v>401</v>
      </c>
      <c r="T5" t="s">
        <v>411</v>
      </c>
    </row>
    <row r="6" spans="1:20">
      <c r="E6" t="s">
        <v>122</v>
      </c>
      <c r="G6" t="s">
        <v>132</v>
      </c>
      <c r="K6" t="s">
        <v>149</v>
      </c>
      <c r="L6" t="s">
        <v>278</v>
      </c>
      <c r="M6" t="s">
        <v>347</v>
      </c>
      <c r="N6" t="s">
        <v>382</v>
      </c>
      <c r="R6" t="s">
        <v>402</v>
      </c>
      <c r="T6" t="s">
        <v>412</v>
      </c>
    </row>
    <row r="7" spans="1:20">
      <c r="K7" t="s">
        <v>150</v>
      </c>
      <c r="L7" t="s">
        <v>279</v>
      </c>
      <c r="M7" t="s">
        <v>348</v>
      </c>
      <c r="N7" t="s">
        <v>383</v>
      </c>
      <c r="R7" t="s">
        <v>403</v>
      </c>
      <c r="T7" t="s">
        <v>413</v>
      </c>
    </row>
    <row r="8" spans="1:20">
      <c r="K8" t="s">
        <v>151</v>
      </c>
      <c r="L8" t="s">
        <v>280</v>
      </c>
      <c r="M8" t="s">
        <v>349</v>
      </c>
      <c r="N8" t="s">
        <v>384</v>
      </c>
      <c r="R8" t="s">
        <v>404</v>
      </c>
      <c r="T8" t="s">
        <v>414</v>
      </c>
    </row>
    <row r="9" spans="1:20">
      <c r="K9" t="s">
        <v>152</v>
      </c>
      <c r="L9" t="s">
        <v>281</v>
      </c>
      <c r="M9" t="s">
        <v>350</v>
      </c>
      <c r="N9" t="s">
        <v>385</v>
      </c>
    </row>
    <row r="10" spans="1:20">
      <c r="K10" t="s">
        <v>153</v>
      </c>
      <c r="L10" t="s">
        <v>282</v>
      </c>
      <c r="M10" t="s">
        <v>351</v>
      </c>
      <c r="N10" t="s">
        <v>386</v>
      </c>
    </row>
    <row r="11" spans="1:20">
      <c r="K11" t="s">
        <v>154</v>
      </c>
      <c r="L11" t="s">
        <v>283</v>
      </c>
      <c r="M11" t="s">
        <v>352</v>
      </c>
      <c r="N11" t="s">
        <v>387</v>
      </c>
    </row>
    <row r="12" spans="1:20">
      <c r="K12" t="s">
        <v>155</v>
      </c>
      <c r="L12" t="s">
        <v>284</v>
      </c>
      <c r="M12" t="s">
        <v>353</v>
      </c>
      <c r="N12" t="s">
        <v>388</v>
      </c>
    </row>
    <row r="13" spans="1:20">
      <c r="K13" t="s">
        <v>156</v>
      </c>
      <c r="L13" t="s">
        <v>285</v>
      </c>
      <c r="M13" t="s">
        <v>354</v>
      </c>
    </row>
    <row r="14" spans="1:20">
      <c r="K14" t="s">
        <v>157</v>
      </c>
      <c r="L14" t="s">
        <v>286</v>
      </c>
      <c r="M14" t="s">
        <v>355</v>
      </c>
    </row>
    <row r="15" spans="1:20">
      <c r="K15" t="s">
        <v>158</v>
      </c>
      <c r="L15" t="s">
        <v>287</v>
      </c>
      <c r="M15" t="s">
        <v>356</v>
      </c>
    </row>
    <row r="16" spans="1:20">
      <c r="K16" t="s">
        <v>159</v>
      </c>
      <c r="L16" t="s">
        <v>288</v>
      </c>
      <c r="M16" t="s">
        <v>357</v>
      </c>
    </row>
    <row r="17" spans="11:13">
      <c r="K17" t="s">
        <v>160</v>
      </c>
      <c r="L17" t="s">
        <v>289</v>
      </c>
      <c r="M17" t="s">
        <v>358</v>
      </c>
    </row>
    <row r="18" spans="11:13">
      <c r="K18" t="s">
        <v>161</v>
      </c>
      <c r="L18" t="s">
        <v>290</v>
      </c>
      <c r="M18" t="s">
        <v>359</v>
      </c>
    </row>
    <row r="19" spans="11:13">
      <c r="K19" t="s">
        <v>162</v>
      </c>
      <c r="L19" t="s">
        <v>291</v>
      </c>
      <c r="M19" t="s">
        <v>360</v>
      </c>
    </row>
    <row r="20" spans="11:13">
      <c r="K20" t="s">
        <v>163</v>
      </c>
      <c r="L20" t="s">
        <v>292</v>
      </c>
      <c r="M20" t="s">
        <v>361</v>
      </c>
    </row>
    <row r="21" spans="11:13">
      <c r="K21" t="s">
        <v>164</v>
      </c>
      <c r="L21" t="s">
        <v>293</v>
      </c>
      <c r="M21" t="s">
        <v>362</v>
      </c>
    </row>
    <row r="22" spans="11:13">
      <c r="K22" t="s">
        <v>165</v>
      </c>
      <c r="L22" t="s">
        <v>294</v>
      </c>
      <c r="M22" t="s">
        <v>363</v>
      </c>
    </row>
    <row r="23" spans="11:13">
      <c r="K23" t="s">
        <v>166</v>
      </c>
      <c r="L23" t="s">
        <v>295</v>
      </c>
      <c r="M23" t="s">
        <v>364</v>
      </c>
    </row>
    <row r="24" spans="11:13">
      <c r="K24" t="s">
        <v>167</v>
      </c>
      <c r="L24" t="s">
        <v>296</v>
      </c>
      <c r="M24" t="s">
        <v>365</v>
      </c>
    </row>
    <row r="25" spans="11:13">
      <c r="K25" t="s">
        <v>168</v>
      </c>
      <c r="L25" t="s">
        <v>297</v>
      </c>
      <c r="M25" t="s">
        <v>366</v>
      </c>
    </row>
    <row r="26" spans="11:13">
      <c r="K26" t="s">
        <v>169</v>
      </c>
      <c r="L26" t="s">
        <v>298</v>
      </c>
      <c r="M26" t="s">
        <v>367</v>
      </c>
    </row>
    <row r="27" spans="11:13">
      <c r="K27" t="s">
        <v>170</v>
      </c>
      <c r="L27" t="s">
        <v>299</v>
      </c>
      <c r="M27" t="s">
        <v>368</v>
      </c>
    </row>
    <row r="28" spans="11:13">
      <c r="K28" t="s">
        <v>171</v>
      </c>
      <c r="L28" t="s">
        <v>300</v>
      </c>
      <c r="M28" t="s">
        <v>369</v>
      </c>
    </row>
    <row r="29" spans="11:13">
      <c r="K29" t="s">
        <v>172</v>
      </c>
      <c r="L29" t="s">
        <v>301</v>
      </c>
      <c r="M29" t="s">
        <v>370</v>
      </c>
    </row>
    <row r="30" spans="11:13">
      <c r="K30" t="s">
        <v>173</v>
      </c>
      <c r="L30" t="s">
        <v>302</v>
      </c>
      <c r="M30" t="s">
        <v>371</v>
      </c>
    </row>
    <row r="31" spans="11:13">
      <c r="K31" t="s">
        <v>174</v>
      </c>
      <c r="L31" t="s">
        <v>303</v>
      </c>
      <c r="M31" t="s">
        <v>372</v>
      </c>
    </row>
    <row r="32" spans="11:13">
      <c r="K32" t="s">
        <v>175</v>
      </c>
      <c r="L32" t="s">
        <v>304</v>
      </c>
      <c r="M32" t="s">
        <v>373</v>
      </c>
    </row>
    <row r="33" spans="11:13">
      <c r="K33" t="s">
        <v>176</v>
      </c>
      <c r="L33" t="s">
        <v>305</v>
      </c>
      <c r="M33" t="s">
        <v>374</v>
      </c>
    </row>
    <row r="34" spans="11:13">
      <c r="K34" t="s">
        <v>177</v>
      </c>
      <c r="L34" t="s">
        <v>306</v>
      </c>
      <c r="M34" t="s">
        <v>375</v>
      </c>
    </row>
    <row r="35" spans="11:13">
      <c r="K35" t="s">
        <v>178</v>
      </c>
      <c r="L35" t="s">
        <v>307</v>
      </c>
      <c r="M35" t="s">
        <v>376</v>
      </c>
    </row>
    <row r="36" spans="11:13">
      <c r="K36" t="s">
        <v>179</v>
      </c>
      <c r="L36" t="s">
        <v>308</v>
      </c>
    </row>
    <row r="37" spans="11:13">
      <c r="K37" t="s">
        <v>180</v>
      </c>
      <c r="L37" t="s">
        <v>309</v>
      </c>
    </row>
    <row r="38" spans="11:13">
      <c r="K38" t="s">
        <v>181</v>
      </c>
      <c r="L38" t="s">
        <v>310</v>
      </c>
    </row>
    <row r="39" spans="11:13">
      <c r="K39" t="s">
        <v>182</v>
      </c>
      <c r="L39" t="s">
        <v>311</v>
      </c>
    </row>
    <row r="40" spans="11:13">
      <c r="K40" t="s">
        <v>183</v>
      </c>
      <c r="L40" t="s">
        <v>312</v>
      </c>
    </row>
    <row r="41" spans="11:13">
      <c r="K41" t="s">
        <v>184</v>
      </c>
      <c r="L41" t="s">
        <v>313</v>
      </c>
    </row>
    <row r="42" spans="11:13">
      <c r="K42" t="s">
        <v>185</v>
      </c>
      <c r="L42" t="s">
        <v>314</v>
      </c>
    </row>
    <row r="43" spans="11:13">
      <c r="K43" t="s">
        <v>186</v>
      </c>
      <c r="L43" t="s">
        <v>315</v>
      </c>
    </row>
    <row r="44" spans="11:13">
      <c r="K44" t="s">
        <v>187</v>
      </c>
      <c r="L44" t="s">
        <v>316</v>
      </c>
    </row>
    <row r="45" spans="11:13">
      <c r="K45" t="s">
        <v>188</v>
      </c>
      <c r="L45" t="s">
        <v>317</v>
      </c>
    </row>
    <row r="46" spans="11:13">
      <c r="K46" t="s">
        <v>189</v>
      </c>
      <c r="L46" t="s">
        <v>318</v>
      </c>
    </row>
    <row r="47" spans="11:13">
      <c r="K47" t="s">
        <v>190</v>
      </c>
      <c r="L47" t="s">
        <v>319</v>
      </c>
    </row>
    <row r="48" spans="11:13">
      <c r="K48" t="s">
        <v>191</v>
      </c>
      <c r="L48" t="s">
        <v>320</v>
      </c>
    </row>
    <row r="49" spans="11:12">
      <c r="K49" t="s">
        <v>192</v>
      </c>
      <c r="L49" t="s">
        <v>321</v>
      </c>
    </row>
    <row r="50" spans="11:12">
      <c r="K50" t="s">
        <v>193</v>
      </c>
      <c r="L50" t="s">
        <v>322</v>
      </c>
    </row>
    <row r="51" spans="11:12">
      <c r="K51" t="s">
        <v>194</v>
      </c>
      <c r="L51" t="s">
        <v>323</v>
      </c>
    </row>
    <row r="52" spans="11:12">
      <c r="K52" t="s">
        <v>195</v>
      </c>
      <c r="L52" t="s">
        <v>324</v>
      </c>
    </row>
    <row r="53" spans="11:12">
      <c r="K53" t="s">
        <v>196</v>
      </c>
      <c r="L53" t="s">
        <v>325</v>
      </c>
    </row>
    <row r="54" spans="11:12">
      <c r="K54" t="s">
        <v>197</v>
      </c>
      <c r="L54" t="s">
        <v>326</v>
      </c>
    </row>
    <row r="55" spans="11:12">
      <c r="K55" t="s">
        <v>198</v>
      </c>
      <c r="L55" t="s">
        <v>327</v>
      </c>
    </row>
    <row r="56" spans="11:12">
      <c r="K56" t="s">
        <v>199</v>
      </c>
      <c r="L56" t="s">
        <v>328</v>
      </c>
    </row>
    <row r="57" spans="11:12">
      <c r="K57" t="s">
        <v>200</v>
      </c>
      <c r="L57" t="s">
        <v>329</v>
      </c>
    </row>
    <row r="58" spans="11:12">
      <c r="K58" t="s">
        <v>201</v>
      </c>
      <c r="L58" t="s">
        <v>330</v>
      </c>
    </row>
    <row r="59" spans="11:12">
      <c r="K59" t="s">
        <v>202</v>
      </c>
      <c r="L59" t="s">
        <v>331</v>
      </c>
    </row>
    <row r="60" spans="11:12">
      <c r="K60" t="s">
        <v>203</v>
      </c>
      <c r="L60" t="s">
        <v>332</v>
      </c>
    </row>
    <row r="61" spans="11:12">
      <c r="K61" t="s">
        <v>204</v>
      </c>
      <c r="L61" t="s">
        <v>333</v>
      </c>
    </row>
    <row r="62" spans="11:12">
      <c r="K62" t="s">
        <v>205</v>
      </c>
      <c r="L62" t="s">
        <v>334</v>
      </c>
    </row>
    <row r="63" spans="11:12">
      <c r="K63" t="s">
        <v>206</v>
      </c>
      <c r="L63" t="s">
        <v>335</v>
      </c>
    </row>
    <row r="64" spans="11:12">
      <c r="K64" t="s">
        <v>207</v>
      </c>
      <c r="L64" t="s">
        <v>336</v>
      </c>
    </row>
    <row r="65" spans="11:12">
      <c r="K65" t="s">
        <v>208</v>
      </c>
      <c r="L65" t="s">
        <v>337</v>
      </c>
    </row>
    <row r="66" spans="11:12">
      <c r="K66" t="s">
        <v>209</v>
      </c>
      <c r="L66" t="s">
        <v>338</v>
      </c>
    </row>
    <row r="67" spans="11:12">
      <c r="K67" t="s">
        <v>210</v>
      </c>
      <c r="L67" t="s">
        <v>339</v>
      </c>
    </row>
    <row r="68" spans="11:12">
      <c r="K68" t="s">
        <v>211</v>
      </c>
      <c r="L68" t="s">
        <v>340</v>
      </c>
    </row>
    <row r="69" spans="11:12">
      <c r="K69" t="s">
        <v>212</v>
      </c>
      <c r="L69" t="s">
        <v>341</v>
      </c>
    </row>
    <row r="70" spans="11:12">
      <c r="K70" t="s">
        <v>213</v>
      </c>
    </row>
    <row r="71" spans="11:12">
      <c r="K71" t="s">
        <v>214</v>
      </c>
    </row>
    <row r="72" spans="11:12">
      <c r="K72" t="s">
        <v>215</v>
      </c>
    </row>
    <row r="73" spans="11:12">
      <c r="K73" t="s">
        <v>216</v>
      </c>
    </row>
    <row r="74" spans="11:12">
      <c r="K74" t="s">
        <v>217</v>
      </c>
    </row>
    <row r="75" spans="11:12">
      <c r="K75" t="s">
        <v>218</v>
      </c>
    </row>
    <row r="76" spans="11:12">
      <c r="K76" t="s">
        <v>219</v>
      </c>
    </row>
    <row r="77" spans="11:12">
      <c r="K77" t="s">
        <v>220</v>
      </c>
    </row>
    <row r="78" spans="11:12">
      <c r="K78" t="s">
        <v>221</v>
      </c>
    </row>
    <row r="79" spans="11:12">
      <c r="K79" t="s">
        <v>222</v>
      </c>
    </row>
    <row r="80" spans="11:12">
      <c r="K80" t="s">
        <v>223</v>
      </c>
    </row>
    <row r="81" spans="11:11">
      <c r="K81" t="s">
        <v>224</v>
      </c>
    </row>
    <row r="82" spans="11:11">
      <c r="K82" t="s">
        <v>225</v>
      </c>
    </row>
    <row r="83" spans="11:11">
      <c r="K83" t="s">
        <v>226</v>
      </c>
    </row>
    <row r="84" spans="11:11">
      <c r="K84" t="s">
        <v>227</v>
      </c>
    </row>
    <row r="85" spans="11:11">
      <c r="K85" t="s">
        <v>228</v>
      </c>
    </row>
    <row r="86" spans="11:11">
      <c r="K86" t="s">
        <v>229</v>
      </c>
    </row>
    <row r="87" spans="11:11">
      <c r="K87" t="s">
        <v>230</v>
      </c>
    </row>
    <row r="88" spans="11:11">
      <c r="K88" t="s">
        <v>231</v>
      </c>
    </row>
    <row r="89" spans="11:11">
      <c r="K89" t="s">
        <v>232</v>
      </c>
    </row>
    <row r="90" spans="11:11">
      <c r="K90" t="s">
        <v>233</v>
      </c>
    </row>
    <row r="91" spans="11:11">
      <c r="K91" t="s">
        <v>234</v>
      </c>
    </row>
    <row r="92" spans="11:11">
      <c r="K92" t="s">
        <v>235</v>
      </c>
    </row>
    <row r="93" spans="11:11">
      <c r="K93" t="s">
        <v>236</v>
      </c>
    </row>
    <row r="94" spans="11:11">
      <c r="K94" t="s">
        <v>237</v>
      </c>
    </row>
    <row r="95" spans="11:11">
      <c r="K95" t="s">
        <v>238</v>
      </c>
    </row>
    <row r="96" spans="11:11">
      <c r="K96" t="s">
        <v>239</v>
      </c>
    </row>
    <row r="97" spans="11:11">
      <c r="K97" t="s">
        <v>240</v>
      </c>
    </row>
    <row r="98" spans="11:11">
      <c r="K98" t="s">
        <v>241</v>
      </c>
    </row>
    <row r="99" spans="11:11">
      <c r="K99" t="s">
        <v>242</v>
      </c>
    </row>
    <row r="100" spans="11:11">
      <c r="K100" t="s">
        <v>243</v>
      </c>
    </row>
    <row r="101" spans="11:11">
      <c r="K101" t="s">
        <v>244</v>
      </c>
    </row>
    <row r="102" spans="11:11">
      <c r="K102" t="s">
        <v>245</v>
      </c>
    </row>
    <row r="103" spans="11:11">
      <c r="K103" t="s">
        <v>246</v>
      </c>
    </row>
    <row r="104" spans="11:11">
      <c r="K104" t="s">
        <v>247</v>
      </c>
    </row>
    <row r="105" spans="11:11">
      <c r="K105" t="s">
        <v>248</v>
      </c>
    </row>
    <row r="106" spans="11:11">
      <c r="K106" t="s">
        <v>249</v>
      </c>
    </row>
    <row r="107" spans="11:11">
      <c r="K107" t="s">
        <v>250</v>
      </c>
    </row>
    <row r="108" spans="11:11">
      <c r="K108" t="s">
        <v>251</v>
      </c>
    </row>
    <row r="109" spans="11:11">
      <c r="K109" t="s">
        <v>252</v>
      </c>
    </row>
    <row r="110" spans="11:11">
      <c r="K110" t="s">
        <v>253</v>
      </c>
    </row>
    <row r="111" spans="11:11">
      <c r="K111" t="s">
        <v>254</v>
      </c>
    </row>
    <row r="112" spans="11:11">
      <c r="K112" t="s">
        <v>255</v>
      </c>
    </row>
    <row r="113" spans="11:11">
      <c r="K113" t="s">
        <v>256</v>
      </c>
    </row>
    <row r="114" spans="11:11">
      <c r="K114" t="s">
        <v>257</v>
      </c>
    </row>
    <row r="115" spans="11:11">
      <c r="K115" t="s">
        <v>258</v>
      </c>
    </row>
    <row r="116" spans="11:11">
      <c r="K116" t="s">
        <v>259</v>
      </c>
    </row>
    <row r="117" spans="11:11">
      <c r="K117" t="s">
        <v>260</v>
      </c>
    </row>
    <row r="118" spans="11:11">
      <c r="K118" t="s">
        <v>261</v>
      </c>
    </row>
    <row r="119" spans="11:11">
      <c r="K119" t="s">
        <v>262</v>
      </c>
    </row>
    <row r="120" spans="11:11">
      <c r="K120" t="s">
        <v>263</v>
      </c>
    </row>
    <row r="121" spans="11:11">
      <c r="K121" t="s">
        <v>264</v>
      </c>
    </row>
    <row r="122" spans="11:11">
      <c r="K122" t="s">
        <v>265</v>
      </c>
    </row>
    <row r="123" spans="11:11">
      <c r="K123" t="s">
        <v>266</v>
      </c>
    </row>
    <row r="124" spans="11:11">
      <c r="K124" t="s">
        <v>267</v>
      </c>
    </row>
    <row r="125" spans="11:11">
      <c r="K125" t="s">
        <v>268</v>
      </c>
    </row>
    <row r="126" spans="11:11">
      <c r="K126" t="s">
        <v>269</v>
      </c>
    </row>
    <row r="127" spans="11:11">
      <c r="K127" t="s">
        <v>270</v>
      </c>
    </row>
    <row r="128" spans="11:11">
      <c r="K128" t="s">
        <v>271</v>
      </c>
    </row>
    <row r="129" spans="11:11">
      <c r="K129" t="s">
        <v>272</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415</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12121</vt:i4>
      </vt:variant>
    </vt:vector>
  </HeadingPairs>
  <TitlesOfParts>
    <vt:vector size="1215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2024-07-31T02:45:40Z</dcterms:created>
  <dcterms:modified xsi:type="dcterms:W3CDTF">2024-07-31T12:29:28Z</dcterms:modified>
</cp:coreProperties>
</file>