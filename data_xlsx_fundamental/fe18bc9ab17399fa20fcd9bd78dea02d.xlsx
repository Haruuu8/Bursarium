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<sst xmlns="http://schemas.openxmlformats.org/spreadsheetml/2006/main" count="14820" uniqueCount="2935">
  <si>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</si>
  <si>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</si>
  <si>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</si>
  <si>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</si>
  <si>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</si>
  <si>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</si>
  <si>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</si>
  <si>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</si>
  <si>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</si>
  <si>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</si>
  <si>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</si>
  <si>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</si>
  <si>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</si>
  <si>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</si>
  <si>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</si>
  <si>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</si>
  <si>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</si>
  <si>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</si>
  <si>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</si>
  <si>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</si>
  <si>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</si>
  <si>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</si>
  <si>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</si>
  <si>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</si>
  <si>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</si>
  <si>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</si>
  <si>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</si>
  <si>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</si>
  <si>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</si>
  <si>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</si>
  <si>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</si>
  <si>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</si>
  <si>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</si>
  <si>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</si>
  <si>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</si>
  <si>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</si>
  <si>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</si>
  <si>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</si>
  <si>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</si>
  <si>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</si>
  <si>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</si>
  <si>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</si>
  <si>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</si>
  <si>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</si>
  <si>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</si>
  <si>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</si>
  <si>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</si>
  <si>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</si>
  <si>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</si>
  <si>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</si>
  <si>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</si>
  <si>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</si>
  <si>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</si>
  <si>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</si>
  <si>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</si>
  <si>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</si>
  <si>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</si>
  <si>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</si>
  <si>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</si>
  <si>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</si>
  <si>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</si>
  <si>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</si>
  <si>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</si>
  <si>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</si>
  <si>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</si>
  <si>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</si>
  <si>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</si>
  <si>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</si>
  <si>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</si>
  <si>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</si>
  <si>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</si>
  <si>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</si>
  <si>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</si>
  <si>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</si>
  <si>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</si>
  <si>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</si>
  <si>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</si>
  <si>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</si>
  <si>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</si>
  <si>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</si>
  <si>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</si>
  <si>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</si>
  <si>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</si>
  <si>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</si>
  <si>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</si>
  <si>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</si>
  <si>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</si>
  <si>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</si>
  <si>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</si>
  <si>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</si>
  <si>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</si>
  <si>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</si>
  <si>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</si>
  <si>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</si>
  <si>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</si>
  <si>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</si>
  <si>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</si>
  <si>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</si>
  <si>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</si>
  <si>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</si>
  <si>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</si>
  <si>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</si>
  <si>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</si>
  <si>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</si>
  <si>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</si>
  <si>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</si>
  <si>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</si>
  <si>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</si>
  <si>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</si>
  <si>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</si>
  <si>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</si>
  <si>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</si>
  <si>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</si>
  <si>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</si>
  <si>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</si>
  <si>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</si>
  <si>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</si>
  <si>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</si>
  <si>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</si>
  <si>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</si>
  <si>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</si>
  <si>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</si>
  <si>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</si>
  <si>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</si>
  <si>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</si>
  <si>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</si>
  <si>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</si>
  <si>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</si>
  <si>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</si>
  <si>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</si>
  <si>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</si>
  <si>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</si>
  <si>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</si>
  <si>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</si>
  <si>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</si>
  <si>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</si>
  <si>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</si>
  <si>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</si>
  <si>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</si>
  <si>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</si>
  <si>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</si>
  <si>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</si>
  <si>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</si>
  <si>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</si>
  <si>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</si>
  <si>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</si>
  <si>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</si>
  <si>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</si>
  <si>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</si>
  <si>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</si>
  <si>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</si>
  <si>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</si>
  <si>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</si>
  <si>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</si>
  <si>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</si>
  <si>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</si>
  <si>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</si>
  <si>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</si>
  <si>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</si>
  <si>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</si>
  <si>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</si>
  <si>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</si>
  <si>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</si>
  <si>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</si>
  <si>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</si>
  <si>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</si>
  <si>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</si>
  <si>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</si>
  <si>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</si>
  <si>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</si>
  <si>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</si>
  <si>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</si>
  <si>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</si>
  <si>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</si>
  <si>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</si>
  <si>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</si>
  <si>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</si>
  <si>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</si>
  <si>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</si>
  <si>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</si>
  <si>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</si>
  <si>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</si>
  <si>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</si>
  <si>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</si>
  <si>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</si>
  <si>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</si>
  <si>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</si>
  <si>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</si>
  <si>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</si>
  <si>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</si>
  <si>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</si>
  <si>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</si>
  <si>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</si>
  <si>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</si>
  <si>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</si>
  <si>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</si>
  <si>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</si>
  <si>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</si>
  <si>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</si>
  <si>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</si>
  <si>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</si>
  <si>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</si>
  <si>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</si>
  <si>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</si>
  <si>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</si>
  <si>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</si>
  <si>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</si>
  <si>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</si>
  <si>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</si>
  <si>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</si>
  <si>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</si>
  <si>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</si>
  <si>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</si>
  <si>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</si>
  <si>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</si>
  <si>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</si>
  <si>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</si>
  <si>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</si>
  <si>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</si>
  <si>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</si>
  <si>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</si>
  <si>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</si>
  <si>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</si>
  <si>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</si>
  <si>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</si>
  <si>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</si>
  <si>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</si>
  <si>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</si>
  <si>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</si>
  <si>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</si>
  <si>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</si>
  <si>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</si>
  <si>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</si>
  <si>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</si>
  <si>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</si>
  <si>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</si>
  <si>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</si>
  <si>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</si>
  <si>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</si>
  <si>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</si>
  <si>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</si>
  <si>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</si>
  <si>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</si>
  <si>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</si>
  <si>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</si>
  <si>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</si>
  <si>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</si>
  <si>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</si>
  <si>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</si>
  <si>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</si>
  <si>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</si>
  <si>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</si>
  <si>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</si>
  <si>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</si>
  <si>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</si>
  <si>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</si>
  <si>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</si>
  <si>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</si>
  <si>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</si>
  <si>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</si>
  <si>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</si>
  <si>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</si>
  <si>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</si>
  <si>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</si>
  <si>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</si>
  <si>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</si>
  <si>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</si>
  <si>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</si>
  <si>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</si>
  <si>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</si>
  <si>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</si>
  <si>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</si>
  <si>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</si>
  <si>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</si>
  <si>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</si>
  <si>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</si>
  <si>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</si>
  <si>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</si>
  <si>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</si>
  <si>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</si>
  <si>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</si>
  <si>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</si>
  <si>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</si>
  <si>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</si>
  <si>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</si>
  <si>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</si>
  <si>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</si>
  <si>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</si>
  <si>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</si>
  <si>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</si>
  <si>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</si>
  <si>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</si>
  <si>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</si>
  <si>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</si>
  <si>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</si>
  <si>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</si>
  <si>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</si>
  <si>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</si>
  <si>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</si>
  <si>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</si>
  <si>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</si>
  <si>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</si>
  <si>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</si>
  <si>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</si>
  <si>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</si>
  <si>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</si>
  <si>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</si>
  <si>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</si>
  <si>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</si>
  <si>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</si>
  <si>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</si>
  <si>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</si>
  <si>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</si>
  <si>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</si>
  <si>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</si>
  <si>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</si>
  <si>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</si>
  <si>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</si>
  <si>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</si>
  <si>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</si>
  <si>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</si>
  <si>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</si>
  <si>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</si>
  <si>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</si>
  <si>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</si>
  <si>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</si>
  <si>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</si>
  <si>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</si>
  <si>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</si>
  <si>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</si>
  <si>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</si>
  <si>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</si>
  <si>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</si>
  <si>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</si>
  <si>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</si>
  <si>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</si>
  <si>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</si>
  <si>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</si>
  <si>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</si>
  <si>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</si>
  <si>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</si>
  <si>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</si>
  <si>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</si>
  <si>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</si>
  <si>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</si>
  <si>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</si>
  <si>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</si>
  <si>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</si>
  <si>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</si>
  <si>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</si>
  <si>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</si>
  <si>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</si>
  <si>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</si>
  <si>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</si>
  <si>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</si>
  <si>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</si>
  <si>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</si>
  <si>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</si>
  <si>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</si>
  <si>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</si>
  <si>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</si>
  <si>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</si>
  <si>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</si>
  <si>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</si>
  <si>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</si>
  <si>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</si>
  <si>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</si>
  <si>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</si>
  <si>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</si>
  <si>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</si>
  <si>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</si>
  <si>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</si>
  <si>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</si>
  <si>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</si>
  <si>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</si>
  <si>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</si>
  <si>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</si>
  <si>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</si>
  <si>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</si>
  <si>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</si>
  <si>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</si>
  <si>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</si>
  <si>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</si>
  <si>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</si>
  <si>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</si>
  <si>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</si>
  <si>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</si>
  <si>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</si>
  <si>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</si>
  <si>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</si>
  <si>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</si>
  <si>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</si>
  <si>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</si>
  <si>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</si>
  <si>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</si>
  <si>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</si>
  <si>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</si>
  <si>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</si>
  <si>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</si>
  <si>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</si>
  <si>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</si>
  <si>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</si>
  <si>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</si>
  <si>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</si>
  <si>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</si>
  <si>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</si>
  <si>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</si>
  <si>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</si>
  <si>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</si>
  <si>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</si>
  <si>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</si>
  <si>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</si>
  <si>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</si>
  <si>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</si>
  <si>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</si>
  <si>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</si>
  <si>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</si>
  <si>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</si>
  <si>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</si>
  <si>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</si>
  <si>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</si>
  <si>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</si>
  <si>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</si>
  <si>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</si>
  <si>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</si>
  <si>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</si>
  <si>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</si>
  <si>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</si>
  <si>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</si>
  <si>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</si>
  <si>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</si>
  <si>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</si>
  <si>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</si>
  <si>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</si>
  <si>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</si>
  <si>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</si>
  <si>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</si>
  <si>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</si>
  <si>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</si>
  <si>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</si>
  <si>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</si>
  <si>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</si>
  <si>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</si>
  <si>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</si>
  <si>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</si>
  <si>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</si>
  <si>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</si>
  <si>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</si>
  <si>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</si>
  <si>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</si>
  <si>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</si>
  <si>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</si>
  <si>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</si>
  <si>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</si>
  <si>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</si>
  <si>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</si>
  <si>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</si>
  <si>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</si>
  <si>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</si>
  <si>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</si>
  <si>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</si>
  <si>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</si>
  <si>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</si>
  <si>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</si>
  <si>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</si>
  <si>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</si>
  <si>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</si>
  <si>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</si>
  <si>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</si>
  <si>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</si>
  <si>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</si>
  <si>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</si>
  <si>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</si>
  <si>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</si>
  <si>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</si>
  <si>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</si>
  <si>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</si>
  <si>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</si>
  <si>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</si>
  <si>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</si>
  <si>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</si>
  <si>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</si>
  <si>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</si>
  <si>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</si>
  <si>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</si>
  <si>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</si>
  <si>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</si>
  <si>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</si>
  <si>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</si>
  <si>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</si>
  <si>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</si>
  <si>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</si>
  <si>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</si>
  <si>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</si>
  <si>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</si>
  <si>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</si>
  <si>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</si>
  <si>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</si>
  <si>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</si>
  <si>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</si>
  <si>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</si>
  <si>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</si>
  <si>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</si>
  <si>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</si>
  <si>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</si>
  <si>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</si>
  <si>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</si>
  <si>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</si>
  <si>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</si>
  <si>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</si>
  <si>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</si>
  <si>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</si>
  <si>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</si>
  <si>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</si>
  <si>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</si>
  <si>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</si>
  <si>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</si>
  <si>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</si>
  <si>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</si>
  <si>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</si>
  <si>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</si>
  <si>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</si>
  <si>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</si>
  <si>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</si>
  <si>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</si>
  <si>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</si>
  <si>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</si>
  <si>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</si>
  <si>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</si>
  <si>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</si>
  <si>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</si>
  <si>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</si>
  <si>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</si>
  <si>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</si>
  <si>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</si>
  <si>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</si>
  <si>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</si>
  <si>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</si>
  <si>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</si>
  <si>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</si>
  <si>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</si>
  <si>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</si>
  <si>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</si>
  <si>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</si>
  <si>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</si>
  <si>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</si>
  <si>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</si>
  <si>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</si>
  <si>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</si>
  <si>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</si>
  <si>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</si>
  <si>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</si>
  <si>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</si>
  <si>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</si>
  <si>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</si>
  <si>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</si>
  <si>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</si>
  <si>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</si>
  <si>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</si>
  <si>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</si>
  <si>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</si>
  <si>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</si>
  <si>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</si>
  <si>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</si>
  <si>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</si>
  <si>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</si>
  <si>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</si>
  <si>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</si>
  <si>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</si>
  <si>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</si>
  <si>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</si>
  <si>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</si>
  <si>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</si>
  <si>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</si>
  <si>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</si>
  <si>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</si>
  <si>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</si>
  <si>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</si>
  <si>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</si>
  <si>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</si>
  <si>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</si>
  <si>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</si>
  <si>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</si>
  <si>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</si>
  <si>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</si>
  <si>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</si>
  <si>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</si>
  <si>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</si>
  <si>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</si>
  <si>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</si>
  <si>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</si>
  <si>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</si>
  <si>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</si>
  <si>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</si>
  <si>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</si>
  <si>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</si>
  <si>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</si>
  <si>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</si>
  <si>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</si>
  <si>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</si>
  <si>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</si>
  <si>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</si>
  <si>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</si>
  <si>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</si>
  <si>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</si>
  <si>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</si>
  <si>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</si>
  <si>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</si>
  <si>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</si>
  <si>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</si>
  <si>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</si>
  <si>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</si>
  <si>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</si>
  <si>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</si>
  <si>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</si>
  <si>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</si>
  <si>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</si>
  <si>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</si>
  <si>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</si>
  <si>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</si>
  <si>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</si>
  <si>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</si>
  <si>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</si>
  <si>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</si>
  <si>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</si>
  <si>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</si>
  <si>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</si>
  <si>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</si>
  <si>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</si>
  <si>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</si>
  <si>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</si>
  <si>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</si>
  <si>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</si>
  <si>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</si>
  <si>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</si>
  <si>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</si>
  <si>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</si>
  <si>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</si>
  <si>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</si>
  <si>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</si>
  <si>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</si>
  <si>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</si>
  <si>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</si>
  <si>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</si>
  <si>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</si>
  <si>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</si>
  <si>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</si>
  <si>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</si>
  <si>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</si>
  <si>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</si>
  <si>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</si>
  <si>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</si>
  <si>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</si>
  <si>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</si>
  <si>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</si>
  <si>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</si>
  <si>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</si>
  <si>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</si>
  <si>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</si>
  <si>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</si>
  <si>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</si>
  <si>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</si>
  <si>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</si>
  <si>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</si>
  <si>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</si>
  <si>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</si>
  <si>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</si>
  <si>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</si>
  <si>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</si>
  <si>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</si>
  <si>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</si>
  <si>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</si>
  <si>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</si>
  <si>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</si>
  <si>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</si>
  <si>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</si>
  <si>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</si>
  <si>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</si>
  <si>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</si>
  <si>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</si>
  <si>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</si>
  <si>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</si>
  <si>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</si>
  <si>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</si>
  <si>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</si>
  <si>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</si>
  <si>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</si>
  <si>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</si>
  <si>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</si>
  <si>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</si>
  <si>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</si>
  <si>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</si>
  <si>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</si>
  <si>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</si>
  <si>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</si>
  <si>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</si>
  <si>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</si>
  <si>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</si>
  <si>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</si>
  <si>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</si>
  <si>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</si>
  <si>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</si>
  <si>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</si>
  <si>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</si>
  <si>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</si>
  <si>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</si>
  <si>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</si>
  <si>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</si>
  <si>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</si>
  <si>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</si>
  <si>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</si>
  <si>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</si>
  <si>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</si>
  <si>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</si>
  <si>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</si>
  <si>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</si>
  <si>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</si>
  <si>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</si>
  <si>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</si>
  <si>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</si>
  <si>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</si>
  <si>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</si>
  <si>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</si>
  <si>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</si>
  <si>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</si>
  <si>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</si>
  <si>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</si>
  <si>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</si>
  <si>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</si>
  <si>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</si>
  <si>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</si>
  <si>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</si>
  <si>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</si>
  <si>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</si>
  <si>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</si>
  <si>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</si>
  <si>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</si>
  <si>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</si>
  <si>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</si>
  <si>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</si>
  <si>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</si>
  <si>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</si>
  <si>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</si>
  <si>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</si>
  <si>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</si>
  <si>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</si>
  <si>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</si>
  <si>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</si>
  <si>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</si>
  <si>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</si>
  <si>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</si>
  <si>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</si>
  <si>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</si>
  <si>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</si>
  <si>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</si>
  <si>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</si>
  <si>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</si>
  <si>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</si>
  <si>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</si>
  <si>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</si>
  <si>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</si>
  <si>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</si>
  <si>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</si>
  <si>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</si>
  <si>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</si>
  <si>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</si>
  <si>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</si>
  <si>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</si>
  <si>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</si>
  <si>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</si>
  <si>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</si>
  <si>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</si>
  <si>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</si>
  <si>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</si>
  <si>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</si>
  <si>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</si>
  <si>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</si>
  <si>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</si>
  <si>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</si>
  <si>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</si>
  <si>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</si>
  <si>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</si>
  <si>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</si>
  <si>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</si>
  <si>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</si>
  <si>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</si>
  <si>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</si>
  <si>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</si>
  <si>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</si>
  <si>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</si>
  <si>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</si>
  <si>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</si>
  <si>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</si>
  <si>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</si>
  <si>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</si>
  <si>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</si>
  <si>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</si>
  <si>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</si>
  <si>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</si>
  <si>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</si>
  <si>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</si>
  <si>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</si>
  <si>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</si>
  <si>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</si>
  <si>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</si>
  <si>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</si>
  <si>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</si>
  <si>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</si>
  <si>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</si>
  <si>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</si>
  <si>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</si>
  <si>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</si>
  <si>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</si>
  <si>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</si>
  <si>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</si>
  <si>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</si>
  <si>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</si>
  <si>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</si>
  <si>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</si>
  <si>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</si>
  <si>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</si>
  <si>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</si>
  <si>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</si>
  <si>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</si>
  <si>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</si>
  <si>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</si>
  <si>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</si>
  <si>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</si>
  <si>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</si>
  <si>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</si>
  <si>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</si>
  <si>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</si>
  <si>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</si>
  <si>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</si>
  <si>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</si>
  <si>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</si>
  <si>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</si>
  <si>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</si>
  <si>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</si>
  <si>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</si>
  <si>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</si>
  <si>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</si>
  <si>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</si>
  <si>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</si>
  <si>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</si>
  <si>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</si>
  <si>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</si>
  <si>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</si>
  <si>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</si>
  <si>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</si>
  <si>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</si>
  <si>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</si>
  <si>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</si>
  <si>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</si>
  <si>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</si>
  <si>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</si>
  <si>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</si>
  <si>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</si>
  <si>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</si>
  <si>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</si>
  <si>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</si>
  <si>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</si>
  <si>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</si>
  <si>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</si>
  <si>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</si>
  <si>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</si>
  <si>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</si>
  <si>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</si>
  <si>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</si>
  <si>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</si>
  <si>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</si>
  <si>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</si>
  <si>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</si>
  <si>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</si>
  <si>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</si>
  <si>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</si>
  <si>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</si>
  <si>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</si>
  <si>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</si>
  <si>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</si>
  <si>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</si>
  <si>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</si>
  <si>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</si>
  <si>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</si>
  <si>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</si>
  <si>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</si>
  <si>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</si>
  <si>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</si>
  <si>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</si>
  <si>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</si>
  <si>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</si>
  <si>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</si>
  <si>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</si>
  <si>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</si>
  <si>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</si>
  <si>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</si>
  <si>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</si>
  <si>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</si>
  <si>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</si>
  <si>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</si>
  <si>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</si>
  <si>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</si>
  <si>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</si>
  <si>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</si>
  <si>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</si>
  <si>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</si>
  <si>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</si>
  <si>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</si>
  <si>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</si>
  <si>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</si>
  <si>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</si>
  <si>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</si>
  <si>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</si>
  <si>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</si>
  <si>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</si>
  <si>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</si>
  <si>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</si>
  <si>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</si>
  <si>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</si>
  <si>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</si>
  <si>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</si>
  <si>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</si>
  <si>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</si>
  <si>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</si>
  <si>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</si>
  <si>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</si>
  <si>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</si>
  <si>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</si>
  <si>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</si>
  <si>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</si>
  <si>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</si>
  <si>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</si>
  <si>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</si>
  <si>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</si>
  <si>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</si>
  <si>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</si>
  <si>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</si>
  <si>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</si>
  <si>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</si>
  <si>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</si>
  <si>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</si>
  <si>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</si>
  <si>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</si>
  <si>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</si>
  <si>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</si>
  <si>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</si>
  <si>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</si>
  <si>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</si>
  <si>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</si>
  <si>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</si>
  <si>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</si>
  <si>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</si>
  <si>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</si>
  <si>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</si>
  <si>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</si>
  <si>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</si>
  <si>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</si>
  <si>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</si>
  <si>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</si>
  <si>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</si>
  <si>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</si>
  <si>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</si>
  <si>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</si>
  <si>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</si>
  <si>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</si>
  <si>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</si>
  <si>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</si>
  <si>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</si>
  <si>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</si>
  <si>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</si>
  <si>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</si>
  <si>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</si>
  <si>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</si>
  <si>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</si>
  <si>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</si>
  <si>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</si>
  <si>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</si>
  <si>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</si>
  <si>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</si>
  <si>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</si>
  <si>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</si>
  <si>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</si>
  <si>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</si>
  <si>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</si>
  <si>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</si>
  <si>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</si>
  <si>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</si>
  <si>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</si>
  <si>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</si>
  <si>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</si>
  <si>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</si>
  <si>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</si>
  <si>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</si>
  <si>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</si>
  <si>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</si>
  <si>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</si>
  <si>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</si>
  <si>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</si>
  <si>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</si>
  <si>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</si>
  <si>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</si>
  <si>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</si>
  <si>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</si>
  <si>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</si>
  <si>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</si>
  <si>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</si>
  <si>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</si>
  <si>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</si>
  <si>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</si>
  <si>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</si>
  <si>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</si>
  <si>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</si>
  <si>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</si>
  <si>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</si>
  <si>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</si>
  <si>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</si>
  <si>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</si>
  <si>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</si>
  <si>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</si>
  <si>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</si>
  <si>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</si>
  <si>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</si>
  <si>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</si>
  <si>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</si>
  <si>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</si>
  <si>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</si>
  <si>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</si>
  <si>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</si>
  <si>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</si>
  <si>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</si>
  <si>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</si>
  <si>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</si>
  <si>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</si>
  <si>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</si>
  <si>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</si>
  <si>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</si>
  <si>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</si>
  <si>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</si>
  <si>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</si>
  <si>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</si>
  <si>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</si>
  <si>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</si>
  <si>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</si>
  <si>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</si>
  <si>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</si>
  <si>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</si>
  <si>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</si>
  <si>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</si>
  <si>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</si>
  <si>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</si>
  <si>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</si>
  <si>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</si>
  <si>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</si>
  <si>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</si>
  <si>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</si>
  <si>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</si>
  <si>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</si>
  <si>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</si>
  <si>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</si>
  <si>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</si>
  <si>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</si>
  <si>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</si>
  <si>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</si>
  <si>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</si>
  <si>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</si>
  <si>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</si>
  <si>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</si>
  <si>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</si>
  <si>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</si>
  <si>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</si>
  <si>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</si>
  <si>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</si>
  <si>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</si>
  <si>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</si>
  <si>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</si>
  <si>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</si>
  <si>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</si>
  <si>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</si>
  <si>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</si>
  <si>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</si>
  <si>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</si>
  <si>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</si>
  <si>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</si>
  <si>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</si>
  <si>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</si>
  <si>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</si>
  <si>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</si>
  <si>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</si>
  <si>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</si>
  <si>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</si>
  <si>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</si>
  <si>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</si>
  <si>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</si>
  <si>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</si>
  <si>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</si>
  <si>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</si>
  <si>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</si>
  <si>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</si>
  <si>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</si>
  <si>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</si>
  <si>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</si>
  <si>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</si>
  <si>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</si>
  <si>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</si>
  <si>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</si>
  <si>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</si>
  <si>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</si>
  <si>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</si>
  <si>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</si>
  <si>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</si>
  <si>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</si>
  <si>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</si>
  <si>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</si>
  <si>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</si>
  <si>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</si>
  <si>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</si>
  <si>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</si>
  <si>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</si>
  <si>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</si>
  <si>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</si>
  <si>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</si>
  <si>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</si>
  <si>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</si>
  <si>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</si>
  <si>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</si>
  <si>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</si>
  <si>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</si>
  <si>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</si>
  <si>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</si>
  <si>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</si>
  <si>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</si>
  <si>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</si>
  <si>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</si>
  <si>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</si>
  <si>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</si>
  <si>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</si>
  <si>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</si>
  <si>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</si>
  <si>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</si>
  <si>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</si>
  <si>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</si>
  <si>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</si>
  <si>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</si>
  <si>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</si>
  <si>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</si>
  <si>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</si>
  <si>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</si>
  <si>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</si>
  <si>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</si>
  <si>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</si>
  <si>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</si>
  <si>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</si>
  <si>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</si>
  <si>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</si>
  <si>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</si>
  <si>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</si>
  <si>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</si>
  <si>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</si>
  <si>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</si>
  <si>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</si>
  <si>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</si>
  <si>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</si>
  <si>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</si>
  <si>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</si>
  <si>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</si>
  <si>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</si>
  <si>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</si>
  <si>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</si>
  <si>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</si>
  <si>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</si>
  <si>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</si>
  <si>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</si>
  <si>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</si>
  <si>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</si>
  <si>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</si>
  <si>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</si>
  <si>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</si>
  <si>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</si>
  <si>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</si>
  <si>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</si>
  <si>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</si>
  <si>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</si>
  <si>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</si>
  <si>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</si>
  <si>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</si>
  <si>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</si>
  <si>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</si>
  <si>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</si>
  <si>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</si>
  <si>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</si>
  <si>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</si>
  <si>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</si>
  <si>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</si>
  <si>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</si>
  <si>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</si>
  <si>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</si>
  <si>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</si>
  <si>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</si>
  <si>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</si>
  <si>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</si>
  <si>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</si>
  <si>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</si>
  <si>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</si>
  <si>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</si>
  <si>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</si>
  <si>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</si>
  <si>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</si>
  <si>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</si>
  <si>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</si>
  <si>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</si>
  <si>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</si>
  <si>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</si>
  <si>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</si>
  <si>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</si>
  <si>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</si>
  <si>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</si>
  <si>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</si>
  <si>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</si>
  <si>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</si>
  <si>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</si>
  <si>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</si>
  <si>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</si>
  <si>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</si>
  <si>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</si>
  <si>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</si>
  <si>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</si>
  <si>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</si>
  <si>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</si>
  <si>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</si>
  <si>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</si>
  <si>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</si>
  <si>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</si>
  <si>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</si>
  <si>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</si>
  <si>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</si>
  <si>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</si>
  <si>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</si>
  <si>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</si>
  <si>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</si>
  <si>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</si>
  <si>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</si>
  <si>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</si>
  <si>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</si>
  <si>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</si>
  <si>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</si>
  <si>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</si>
  <si>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</si>
  <si>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</si>
  <si>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</si>
  <si>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</si>
  <si>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</si>
  <si>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</si>
  <si>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</si>
  <si>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</si>
  <si>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</si>
  <si>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</si>
  <si>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</si>
  <si>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</si>
  <si>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</si>
  <si>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</si>
  <si>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</si>
  <si>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</si>
  <si>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</si>
  <si>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</si>
  <si>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</si>
  <si>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</si>
  <si>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</si>
  <si>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</si>
  <si>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</si>
  <si>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</si>
  <si>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</si>
  <si>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</si>
  <si>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</si>
  <si>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</si>
  <si>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</si>
  <si>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</si>
  <si>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</si>
  <si>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</si>
  <si>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</si>
  <si>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</si>
  <si>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</si>
  <si>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</si>
  <si>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</si>
  <si>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</si>
  <si>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</si>
  <si>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</si>
  <si>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</si>
  <si>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</si>
  <si>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</si>
  <si>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</si>
  <si>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</si>
  <si>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</si>
  <si>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</si>
  <si>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</si>
  <si>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</si>
  <si>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</si>
  <si>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</si>
  <si>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</si>
  <si>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</si>
  <si>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</si>
  <si>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</si>
  <si>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</si>
  <si>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</si>
  <si>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</si>
  <si>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</si>
  <si>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</si>
  <si>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</si>
  <si>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</si>
  <si>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</si>
  <si>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</si>
  <si>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</si>
  <si>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</si>
  <si>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</si>
  <si>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</si>
  <si>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</si>
  <si>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</si>
  <si>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</si>
  <si>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</si>
  <si>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</si>
  <si>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</si>
  <si>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</si>
  <si>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</si>
  <si>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</si>
  <si>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</si>
  <si>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</si>
  <si>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</si>
  <si>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</si>
  <si>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</si>
  <si>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</si>
  <si>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</si>
  <si>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</si>
  <si>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</si>
  <si>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</si>
  <si>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</si>
  <si>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</si>
  <si>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</si>
  <si>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</si>
  <si>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</si>
  <si>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</si>
  <si>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</si>
  <si>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</si>
  <si>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</si>
  <si>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</si>
  <si>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</si>
  <si>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</si>
  <si>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</si>
  <si>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</si>
  <si>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</si>
  <si>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</si>
  <si>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</si>
  <si>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</si>
  <si>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</si>
  <si>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</si>
  <si>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</si>
  <si>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</si>
  <si>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</si>
  <si>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</si>
  <si>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</si>
  <si>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</si>
  <si>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</si>
  <si>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</si>
  <si>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</si>
  <si>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</si>
  <si>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</si>
  <si>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</si>
  <si>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</si>
  <si>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</si>
  <si>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</si>
  <si>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</si>
  <si>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</si>
  <si>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</si>
  <si>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</si>
  <si>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</si>
  <si>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</si>
  <si>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</si>
  <si>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</si>
  <si>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</si>
  <si>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</si>
  <si>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</si>
  <si>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</si>
  <si>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</si>
  <si>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</si>
  <si>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</si>
  <si>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</si>
  <si>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</si>
  <si>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</si>
  <si>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</si>
  <si>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</si>
  <si>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</si>
  <si>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</si>
  <si>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</si>
  <si>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</si>
  <si>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</si>
  <si>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</si>
  <si>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</si>
  <si>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</si>
  <si>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</si>
  <si>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</si>
  <si>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</si>
  <si>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</si>
  <si>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</si>
  <si>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</si>
  <si>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</si>
  <si>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</si>
  <si>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</si>
  <si>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</si>
  <si>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</si>
  <si>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</si>
  <si>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</si>
  <si>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</si>
  <si>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</si>
  <si>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</si>
  <si>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</si>
  <si>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</si>
  <si>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</si>
  <si>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</si>
  <si>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</si>
  <si>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</si>
  <si>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</si>
  <si>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</si>
  <si>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</si>
  <si>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</si>
  <si>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</si>
  <si>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</si>
  <si>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</si>
  <si>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</si>
  <si>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</si>
  <si>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</si>
  <si>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</si>
  <si>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</si>
  <si>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</si>
  <si>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</si>
  <si>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</si>
  <si>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</si>
  <si>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</si>
  <si>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</si>
  <si>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</si>
  <si>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</si>
  <si>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</si>
  <si>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</si>
  <si>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</si>
  <si>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</si>
  <si>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</si>
  <si>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</si>
  <si>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</si>
  <si>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</si>
  <si>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</si>
  <si>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</si>
  <si>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</si>
  <si>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</si>
  <si>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</si>
  <si>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</si>
  <si>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</si>
  <si>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</si>
  <si>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</si>
  <si>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</si>
  <si>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</si>
  <si>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</si>
  <si>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</si>
  <si>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</si>
  <si>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</si>
  <si>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</si>
  <si>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</si>
  <si>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</si>
  <si>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</si>
  <si>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</si>
  <si>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</si>
  <si>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</si>
  <si>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</si>
  <si>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</si>
  <si>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</si>
  <si>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</si>
  <si>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</si>
  <si>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</si>
  <si>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</si>
  <si>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</si>
  <si>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</si>
  <si>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</si>
  <si>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</si>
  <si>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</si>
  <si>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</si>
  <si>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</si>
  <si>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</si>
  <si>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</si>
  <si>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</si>
  <si>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</si>
  <si>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</si>
  <si>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</si>
  <si>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</si>
  <si>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</si>
  <si>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</si>
  <si>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</si>
  <si>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</si>
  <si>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</si>
  <si>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</si>
  <si>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</si>
  <si>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</si>
  <si>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</si>
  <si>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</si>
  <si>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</si>
  <si>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</si>
  <si>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</si>
  <si>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</si>
  <si>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</si>
  <si>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</si>
  <si>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</si>
  <si>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</si>
  <si>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</si>
  <si>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</si>
  <si>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</si>
  <si>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</si>
  <si>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</si>
  <si>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</si>
  <si>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</si>
  <si>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</si>
  <si>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</si>
  <si>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</si>
  <si>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</si>
  <si>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</si>
  <si>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</si>
  <si>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</si>
  <si>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</si>
  <si>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</si>
  <si>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</si>
  <si>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</si>
  <si>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</si>
  <si>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</si>
  <si>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</si>
  <si>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</si>
  <si>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</si>
  <si>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</si>
  <si>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</si>
  <si>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</si>
  <si>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</si>
  <si>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</si>
  <si>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</si>
  <si>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</si>
  <si>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</si>
  <si>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</si>
  <si>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</si>
  <si>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</si>
  <si>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</si>
  <si>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</si>
  <si>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</si>
  <si>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</si>
  <si>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</si>
  <si>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</si>
  <si>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</si>
  <si>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</si>
  <si>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</si>
  <si>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</si>
  <si>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</si>
  <si>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</si>
  <si>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</si>
  <si>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</si>
  <si>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</si>
  <si>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</si>
  <si>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</si>
  <si>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</si>
  <si>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</si>
  <si>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</si>
  <si>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</si>
  <si>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</si>
  <si>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</si>
  <si>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</si>
  <si>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</si>
  <si>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</si>
  <si>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</si>
  <si>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</si>
  <si>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</si>
  <si>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</si>
  <si>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</si>
  <si>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</si>
  <si>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</si>
  <si>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</si>
  <si>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</si>
  <si>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</si>
  <si>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</si>
  <si>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</si>
  <si>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</si>
  <si>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</si>
  <si>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</si>
  <si>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</si>
  <si>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</si>
  <si>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</si>
  <si>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</si>
  <si>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</si>
  <si>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</si>
  <si>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</si>
  <si>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</si>
  <si>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</si>
  <si>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</si>
  <si>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</si>
  <si>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</si>
  <si>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</si>
  <si>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</si>
  <si>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</si>
  <si>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</si>
  <si>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</si>
  <si>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</si>
  <si>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</si>
  <si>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</si>
  <si>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</si>
  <si>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</si>
  <si>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</si>
  <si>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</si>
  <si>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</si>
  <si>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</si>
  <si>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</si>
  <si>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</si>
  <si>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</si>
  <si>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</si>
  <si>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</si>
  <si>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</si>
  <si>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</si>
  <si>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</si>
  <si>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</si>
  <si>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</si>
  <si>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</si>
  <si>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</si>
  <si>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</si>
  <si>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</si>
  <si>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</si>
  <si>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</si>
  <si>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</si>
  <si>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</si>
  <si>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</si>
  <si>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</si>
  <si>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</si>
  <si>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</si>
  <si>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</si>
  <si>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</si>
  <si>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</si>
  <si>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</si>
  <si>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</si>
  <si>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</si>
  <si>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</si>
  <si>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</si>
  <si>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</si>
  <si>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</si>
  <si>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</si>
  <si>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</si>
  <si>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</si>
  <si>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</si>
  <si>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</si>
  <si>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</si>
  <si>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</si>
  <si>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</si>
  <si>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</si>
  <si>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</si>
  <si>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</si>
  <si>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</si>
  <si>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</si>
  <si>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</si>
  <si>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</si>
  <si>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</si>
  <si>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</si>
  <si>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</si>
  <si>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</si>
  <si>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</si>
  <si>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</si>
  <si>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</si>
  <si>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</si>
  <si>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</si>
  <si>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</si>
  <si>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</si>
  <si>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</si>
  <si>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</si>
  <si>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</si>
  <si>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</si>
  <si>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</si>
  <si>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</si>
  <si>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</si>
  <si>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</si>
  <si>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</si>
  <si>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</si>
  <si>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</si>
  <si>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</si>
  <si>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</si>
  <si>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</si>
  <si>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</si>
  <si>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</si>
  <si>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</si>
  <si>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</si>
  <si>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</si>
  <si>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</si>
  <si>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</si>
  <si>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</si>
  <si>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</si>
  <si>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</si>
  <si>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</si>
  <si>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</si>
  <si>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</si>
  <si>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</si>
  <si>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</si>
  <si>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</si>
  <si>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</si>
  <si>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</si>
  <si>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</si>
  <si>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</si>
  <si>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</si>
  <si>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</si>
  <si>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</si>
  <si>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</si>
  <si>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</si>
  <si>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</si>
  <si>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</si>
  <si>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</si>
  <si>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</si>
  <si>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</si>
  <si>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</si>
  <si>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</si>
  <si>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</si>
  <si>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</si>
  <si>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</si>
  <si>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</si>
  <si>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</si>
  <si>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</si>
  <si>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</si>
  <si>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</si>
  <si>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</si>
  <si>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</si>
  <si>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</si>
  <si>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</si>
  <si>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</si>
  <si>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</si>
  <si>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</si>
  <si>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</si>
  <si>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</si>
  <si>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</si>
  <si>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</si>
  <si>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</si>
  <si>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</si>
  <si>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</si>
  <si>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</si>
  <si>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</si>
  <si>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</si>
  <si>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</si>
  <si>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</si>
  <si>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</si>
  <si>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</si>
  <si>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</si>
  <si>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</si>
  <si>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</si>
  <si>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</si>
  <si>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</si>
  <si>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</si>
  <si>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</si>
  <si>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</si>
  <si>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</si>
  <si>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</si>
  <si>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</si>
  <si>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</si>
  <si>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</si>
  <si>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</si>
  <si>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</si>
  <si>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</si>
  <si>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</si>
  <si>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</si>
  <si>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</si>
  <si>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</si>
  <si>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</si>
  <si>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</si>
  <si>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</si>
  <si>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</si>
  <si>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</si>
  <si>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</si>
  <si>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</si>
  <si>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</si>
  <si>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</si>
  <si>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</si>
  <si>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</si>
  <si>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</si>
  <si>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</si>
  <si>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</si>
  <si>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</si>
  <si>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</si>
  <si>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</si>
  <si>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</si>
  <si>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</si>
  <si>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</si>
  <si>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</si>
  <si>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</si>
  <si>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</si>
  <si>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</si>
  <si>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</si>
  <si>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</si>
  <si>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</si>
  <si>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</si>
  <si>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</si>
  <si>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</si>
  <si>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</si>
  <si>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</si>
  <si>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</si>
  <si>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</si>
  <si>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</si>
  <si>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</si>
  <si>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</si>
  <si>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</si>
  <si>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</si>
  <si>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</si>
  <si>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</si>
  <si>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</si>
  <si>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</si>
  <si>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</si>
  <si>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</si>
  <si>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</si>
  <si>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</si>
  <si>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</si>
  <si>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</si>
  <si>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</si>
  <si>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</si>
  <si>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</si>
  <si>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</si>
  <si>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</si>
  <si>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</si>
  <si>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</si>
  <si>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</si>
  <si>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</si>
  <si>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</si>
  <si>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</si>
  <si>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</si>
  <si>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</si>
  <si>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</si>
  <si>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</si>
  <si>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</si>
  <si>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</si>
  <si>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</si>
  <si>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</si>
  <si>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</si>
  <si>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</si>
  <si>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</si>
  <si>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</si>
  <si>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</si>
  <si>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</si>
  <si>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</si>
  <si>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</si>
  <si>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</si>
  <si>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</si>
  <si>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</si>
  <si>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</si>
  <si>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</si>
  <si>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</si>
  <si>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</si>
  <si>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</si>
  <si>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</si>
  <si>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</si>
  <si>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</si>
  <si>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</si>
  <si>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</si>
  <si>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</si>
  <si>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</si>
  <si>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</si>
  <si>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</si>
  <si>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</si>
  <si>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</si>
  <si>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</si>
  <si>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</si>
  <si>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</si>
  <si>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</si>
  <si>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</si>
  <si>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</si>
  <si>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</si>
  <si>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</si>
  <si>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</si>
  <si>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</si>
  <si>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</si>
  <si>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</si>
  <si>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</si>
  <si>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</si>
  <si>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</si>
  <si>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</si>
  <si>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</si>
  <si>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</si>
  <si>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</si>
  <si>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</si>
  <si>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</si>
  <si>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</si>
  <si>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</si>
  <si>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</si>
  <si>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</si>
  <si>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</si>
  <si>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</si>
  <si>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</si>
  <si>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</si>
  <si>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</si>
  <si>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</si>
  <si>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</si>
  <si>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</si>
  <si>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</si>
  <si>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</si>
  <si>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</si>
  <si>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</si>
  <si>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</si>
  <si>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</si>
  <si>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</si>
  <si>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</si>
  <si>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</si>
  <si>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</si>
  <si>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</si>
  <si>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</si>
  <si>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</si>
  <si>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</si>
  <si>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</si>
  <si>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</si>
  <si>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</si>
  <si>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</si>
  <si>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</si>
  <si>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</si>
  <si>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</si>
  <si>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</si>
  <si>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</si>
  <si>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</si>
  <si>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</si>
  <si>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</si>
  <si>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</si>
  <si>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</si>
  <si>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</si>
  <si>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</si>
  <si>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</si>
  <si>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</si>
  <si>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</si>
  <si>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</si>
  <si>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</si>
  <si>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</si>
  <si>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</si>
  <si>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</si>
  <si>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</si>
  <si>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</si>
  <si>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</si>
  <si>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</si>
  <si>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</si>
  <si>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</si>
  <si>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</si>
  <si>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</si>
  <si>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</si>
  <si>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</si>
  <si>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</si>
  <si>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</si>
  <si>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</si>
  <si>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</si>
  <si>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</si>
  <si>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</si>
  <si>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</si>
  <si>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</si>
  <si>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</si>
  <si>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</si>
  <si>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</si>
  <si>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</si>
  <si>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</si>
  <si>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</si>
  <si>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</si>
  <si>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</si>
  <si>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</si>
  <si>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</si>
  <si>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</si>
  <si>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</si>
  <si>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</si>
  <si>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</si>
  <si>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</si>
  <si>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</si>
  <si>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</si>
  <si>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</si>
  <si>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</si>
  <si>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</si>
  <si>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</si>
  <si>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</si>
  <si>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</si>
  <si>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</si>
  <si>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</si>
  <si>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</si>
  <si>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</si>
  <si>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</si>
  <si>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</si>
  <si>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</si>
  <si>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</si>
  <si>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</si>
  <si>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</si>
  <si>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</si>
  <si>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</si>
  <si>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</si>
  <si>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</si>
  <si>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</si>
  <si>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</si>
  <si>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</si>
  <si>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</si>
  <si>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</si>
  <si>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</si>
  <si>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</si>
  <si>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</si>
  <si>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</si>
  <si>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</si>
  <si>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</si>
  <si>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</si>
  <si>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</si>
  <si>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</si>
  <si>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</si>
  <si>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</si>
  <si>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</si>
  <si>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</si>
  <si>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</si>
  <si>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</si>
  <si>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</si>
  <si>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</si>
  <si>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</si>
  <si>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</si>
  <si>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</si>
  <si>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</si>
  <si>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</si>
  <si>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</si>
  <si>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</si>
  <si>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</si>
  <si>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</si>
  <si>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</si>
  <si>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</si>
  <si>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</si>
  <si>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</si>
  <si>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</si>
  <si>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</si>
  <si>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</si>
  <si>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</si>
  <si>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</si>
  <si>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</si>
  <si>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</si>
  <si>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</si>
  <si>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</si>
  <si>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</si>
  <si>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</si>
  <si>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</si>
  <si>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</si>
  <si>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</si>
  <si>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</si>
  <si>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</si>
  <si>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</si>
  <si>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</si>
  <si>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</si>
  <si>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</si>
  <si>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</si>
  <si>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</si>
  <si>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</si>
  <si>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</si>
  <si>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</si>
  <si>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</si>
  <si>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</si>
  <si>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</si>
  <si>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</si>
  <si>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</si>
  <si>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</si>
  <si>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</si>
  <si>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</si>
  <si>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</si>
  <si>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</si>
  <si>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</si>
  <si>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</si>
  <si>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</si>
  <si>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</si>
  <si>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</si>
  <si>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</si>
  <si>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</si>
  <si>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</si>
  <si>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</si>
  <si>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</si>
  <si>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</si>
  <si>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</si>
  <si>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</si>
  <si>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</si>
  <si>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</si>
  <si>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</si>
  <si>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</si>
  <si>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</si>
  <si>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</si>
  <si>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</si>
  <si>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</si>
  <si>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</si>
  <si>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</si>
  <si>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</si>
  <si>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</si>
  <si>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</si>
  <si>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</si>
  <si>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</si>
  <si>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</si>
  <si>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</si>
  <si>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</si>
  <si>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</si>
  <si>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</si>
  <si>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</si>
  <si>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</si>
  <si>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</si>
  <si>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</si>
  <si>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</si>
  <si>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</si>
  <si>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</si>
  <si>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</si>
  <si>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</si>
  <si>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</si>
  <si>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</si>
  <si>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</si>
  <si>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</si>
  <si>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</si>
  <si>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</si>
  <si>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</si>
  <si>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</si>
  <si>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</si>
  <si>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</si>
  <si>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</si>
  <si>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</si>
  <si>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</si>
  <si>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</si>
  <si>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</si>
  <si>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</si>
  <si>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</si>
  <si>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</si>
  <si>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</si>
  <si>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</si>
  <si>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</si>
  <si>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</si>
  <si>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</si>
  <si>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</si>
  <si>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</si>
  <si>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</si>
  <si>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</si>
  <si>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</si>
  <si>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</si>
  <si>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</si>
  <si>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</si>
  <si>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</si>
  <si>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</si>
  <si>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</si>
  <si>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</si>
  <si>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</si>
  <si>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</si>
  <si>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</si>
  <si>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</si>
  <si>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</si>
  <si>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</si>
  <si>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</si>
  <si>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</si>
  <si>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</si>
  <si>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</si>
  <si>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</si>
  <si>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</si>
  <si>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</si>
  <si>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</si>
  <si>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</si>
  <si>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</si>
  <si>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</si>
  <si>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</si>
  <si>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</si>
  <si>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</si>
  <si>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</si>
  <si>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</si>
  <si>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</si>
  <si>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</si>
  <si>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</si>
  <si>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</si>
  <si>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</si>
  <si>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</si>
  <si>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</si>
  <si>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</si>
  <si>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</si>
  <si>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</si>
  <si>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</si>
  <si>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</si>
  <si>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</si>
  <si>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</si>
  <si>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</si>
  <si>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</si>
  <si>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</si>
  <si>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</si>
  <si>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</si>
  <si>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</si>
  <si>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</si>
  <si>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</si>
  <si>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</si>
  <si>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</si>
  <si>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</si>
  <si>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</si>
  <si>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</si>
  <si>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</si>
  <si>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</si>
  <si>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</si>
  <si>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</si>
  <si>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</si>
  <si>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</si>
  <si>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</si>
  <si>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</si>
  <si>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</si>
  <si>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</si>
  <si>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</si>
  <si>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</si>
  <si>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</si>
  <si>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</si>
  <si>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</si>
  <si>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</si>
  <si>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</si>
  <si>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</si>
  <si>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</si>
  <si>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</si>
  <si>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</si>
  <si>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</si>
  <si>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</si>
  <si>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</si>
  <si>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</si>
  <si>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</si>
  <si>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</si>
  <si>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</si>
  <si>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</si>
  <si>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</si>
  <si>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</si>
  <si>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</si>
  <si>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</si>
  <si>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</si>
  <si>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</si>
  <si>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</si>
  <si>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</si>
  <si>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</si>
  <si>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</si>
  <si>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</si>
  <si>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</si>
  <si>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</si>
  <si>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</si>
  <si>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</si>
  <si>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</si>
  <si>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</si>
  <si>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</si>
  <si>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</si>
  <si>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</si>
  <si>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</si>
  <si>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</si>
  <si>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</si>
  <si>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</si>
  <si>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</si>
  <si>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</si>
  <si>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</si>
  <si>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</si>
  <si>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</si>
  <si>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</si>
  <si>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</si>
  <si>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</si>
  <si>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</si>
  <si>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</si>
  <si>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</si>
  <si>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</si>
  <si>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</si>
  <si>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</si>
  <si>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</si>
  <si>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</si>
  <si>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</si>
  <si>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</si>
  <si>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</si>
  <si>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</si>
  <si>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</si>
  <si>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</si>
  <si>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</si>
  <si>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</si>
  <si>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</si>
  <si>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</si>
  <si>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</si>
  <si>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</si>
  <si>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</si>
  <si>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</si>
  <si>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</si>
  <si>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</si>
  <si>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</si>
  <si>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</si>
  <si>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</si>
  <si>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</si>
  <si>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</si>
  <si>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</si>
  <si>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</si>
  <si>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</si>
  <si>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</si>
  <si>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</si>
  <si>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</si>
  <si>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</si>
  <si>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</si>
  <si>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</si>
  <si>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</si>
  <si>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</si>
  <si>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</si>
  <si>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</si>
  <si>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</si>
  <si>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</si>
  <si>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</si>
  <si>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</si>
  <si>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</si>
  <si>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</si>
  <si>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</si>
  <si>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</si>
  <si>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</si>
  <si>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</si>
  <si>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</si>
  <si>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</si>
  <si>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</si>
  <si>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</si>
  <si>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</si>
  <si>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</si>
  <si>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</si>
  <si>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</si>
  <si>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</si>
  <si>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</si>
  <si>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</si>
  <si>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</si>
  <si>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</si>
  <si>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</si>
  <si>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</si>
  <si>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</si>
  <si>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</si>
  <si>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</si>
  <si>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</si>
  <si>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</si>
  <si>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</si>
  <si>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</si>
  <si>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</si>
  <si>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</si>
  <si>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</si>
  <si>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</si>
  <si>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</si>
  <si>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</si>
  <si>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</si>
  <si>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</si>
  <si>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</si>
  <si>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</si>
  <si>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</si>
  <si>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</si>
  <si>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</si>
  <si>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</si>
  <si>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</si>
  <si>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</si>
  <si>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</si>
  <si>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</si>
  <si>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</si>
  <si>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</si>
  <si>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</si>
  <si>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</si>
  <si>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</si>
  <si>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</si>
  <si>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</si>
  <si>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</si>
  <si>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</si>
  <si>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</si>
  <si>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</si>
  <si>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</si>
  <si>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</si>
  <si>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</si>
  <si>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</si>
  <si>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</si>
  <si>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</si>
  <si>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</si>
  <si>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</si>
  <si>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</si>
  <si>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</si>
  <si>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</si>
  <si>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</si>
  <si>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</si>
  <si>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</si>
  <si>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</si>
  <si>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</si>
  <si>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</si>
  <si>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</si>
  <si>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</si>
  <si>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</si>
  <si>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</si>
  <si>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</si>
  <si>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</si>
  <si>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</si>
  <si>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</si>
  <si>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</si>
  <si>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</si>
  <si>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</si>
  <si>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</si>
  <si>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</si>
  <si>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</si>
  <si>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</si>
  <si>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</si>
  <si>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</si>
  <si>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</si>
  <si>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</si>
  <si>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</si>
  <si>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</si>
  <si>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</si>
  <si>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</si>
  <si>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</si>
  <si>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</si>
  <si>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</si>
  <si>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</si>
  <si>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</si>
  <si>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</si>
  <si>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</si>
  <si>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</si>
  <si>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</si>
  <si>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</si>
  <si>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</si>
  <si>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</si>
  <si>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</si>
  <si>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</si>
  <si>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</si>
  <si>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</si>
  <si>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</si>
  <si>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</si>
  <si>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</si>
  <si>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</si>
  <si>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</si>
  <si>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</si>
  <si>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</si>
  <si>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</si>
  <si>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</si>
  <si>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</si>
  <si>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</si>
  <si>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</si>
  <si>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</si>
  <si>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</si>
  <si>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</si>
  <si>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</si>
  <si>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</si>
  <si>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</si>
  <si>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</si>
  <si>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</si>
  <si>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</si>
  <si>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</si>
  <si>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</si>
  <si>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</si>
  <si>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</si>
  <si>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</si>
  <si>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</si>
  <si>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</si>
  <si>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</si>
  <si>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</si>
  <si>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</si>
  <si>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</si>
  <si>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</si>
  <si>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</si>
  <si>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</si>
  <si>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</si>
  <si>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</si>
  <si>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</si>
  <si>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</si>
  <si>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</si>
  <si>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</si>
  <si>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</si>
  <si>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</si>
  <si>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</si>
  <si>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</si>
  <si>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</si>
  <si>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</si>
  <si>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</si>
  <si>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</si>
  <si>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</si>
  <si>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</si>
  <si>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</si>
  <si>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</si>
  <si>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</si>
  <si>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</si>
  <si>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</si>
  <si>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</si>
  <si>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</si>
  <si>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</si>
  <si>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</si>
  <si>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</si>
  <si>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</si>
  <si>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</si>
  <si>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</si>
  <si>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</si>
  <si>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</si>
  <si>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</si>
  <si>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</si>
  <si>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</si>
  <si>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</si>
  <si>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</si>
  <si>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</si>
  <si>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</si>
  <si>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</si>
  <si>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</si>
  <si>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</si>
  <si>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</si>
  <si>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</si>
  <si>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</si>
  <si>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</si>
  <si>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</si>
  <si>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</si>
  <si>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</si>
  <si>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</si>
  <si>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</si>
  <si>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</si>
  <si>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</si>
  <si>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</si>
  <si>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</si>
  <si>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</si>
  <si>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</si>
  <si>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</si>
  <si>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</si>
  <si>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</si>
  <si>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</si>
  <si>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</si>
  <si>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</si>
  <si>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</si>
  <si>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</si>
  <si>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</si>
  <si>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</si>
  <si>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</si>
  <si>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</si>
  <si>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</si>
  <si>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</si>
  <si>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</si>
  <si>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</si>
  <si>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</si>
  <si>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</si>
  <si>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</si>
  <si>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</si>
  <si>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</si>
  <si>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</si>
  <si>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</si>
  <si>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</si>
  <si>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</si>
  <si>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</si>
  <si>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</si>
  <si>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</si>
  <si>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</si>
  <si>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</si>
  <si>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</si>
  <si>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</si>
  <si>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</si>
  <si>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</si>
  <si>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</si>
  <si>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</si>
  <si>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</si>
  <si>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</si>
  <si>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</si>
  <si>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</si>
  <si>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</si>
  <si>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</si>
  <si>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</si>
  <si>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</si>
  <si>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</si>
  <si>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</si>
  <si>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</si>
  <si>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</si>
  <si>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</si>
  <si>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</si>
  <si>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</si>
  <si>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</si>
  <si>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</si>
  <si>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</si>
  <si>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</si>
  <si>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</si>
  <si>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</si>
  <si>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</si>
  <si>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</si>
  <si>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</si>
  <si>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</si>
  <si>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</si>
  <si>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</si>
  <si>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</si>
  <si>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</si>
  <si>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</si>
  <si>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</si>
  <si>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</si>
  <si>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</si>
  <si>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</si>
  <si>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</si>
  <si>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</si>
  <si>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</si>
  <si>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</si>
  <si>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</si>
  <si>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</si>
  <si>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</si>
  <si>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</si>
  <si>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</si>
  <si>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</si>
  <si>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</si>
  <si>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</si>
  <si>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</si>
  <si>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</si>
  <si>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</si>
  <si>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</si>
  <si>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</si>
  <si>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</si>
  <si>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</si>
  <si>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</si>
  <si>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</si>
  <si>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</si>
  <si>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</si>
  <si>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</si>
  <si>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</si>
  <si>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</si>
  <si>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</si>
  <si>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</si>
  <si>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</si>
  <si>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</si>
  <si>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</si>
  <si>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</si>
  <si>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</si>
  <si>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</si>
  <si>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</si>
  <si>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</si>
  <si>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</si>
  <si>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</si>
  <si>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</si>
  <si>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</si>
  <si>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</si>
  <si>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</si>
  <si>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</si>
  <si>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</si>
  <si>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</si>
  <si>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</si>
  <si>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</si>
  <si>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</si>
  <si>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</si>
  <si>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</si>
  <si>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</si>
  <si>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</si>
  <si>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</si>
  <si>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</si>
  <si>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</si>
  <si>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</si>
  <si>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</si>
  <si>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</si>
  <si>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</si>
  <si>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</si>
  <si>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</si>
  <si>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</si>
  <si>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</si>
  <si>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</si>
  <si>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</si>
  <si>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</si>
  <si>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</si>
  <si>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</si>
  <si>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</si>
  <si>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</si>
  <si>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</si>
  <si>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</si>
  <si>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</si>
  <si>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</si>
  <si>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</si>
  <si>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</si>
  <si>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</si>
  <si>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</si>
  <si>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</si>
  <si>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</si>
  <si>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</si>
  <si>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</si>
  <si>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</si>
  <si>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</si>
  <si>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</si>
  <si>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</si>
  <si>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</si>
  <si>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</si>
  <si>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</si>
  <si>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</si>
  <si>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</si>
  <si>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</si>
  <si>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</si>
  <si>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</si>
  <si>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</si>
  <si>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</si>
  <si>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</si>
  <si>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</si>
  <si>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</si>
  <si>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</si>
  <si>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</si>
  <si>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</si>
  <si>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</si>
  <si>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</si>
  <si>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</si>
  <si>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</si>
  <si>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</si>
  <si>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</si>
  <si>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</si>
  <si>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</si>
  <si>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</si>
  <si>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</si>
  <si>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</si>
  <si>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</si>
  <si>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</si>
  <si>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</si>
  <si>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</si>
  <si>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</si>
  <si>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</si>
  <si>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</si>
  <si>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</si>
  <si>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</si>
  <si>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</si>
  <si>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</si>
  <si>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</si>
  <si>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</si>
  <si>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</si>
  <si>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</si>
  <si>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</si>
  <si>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</si>
  <si>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</si>
  <si>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</si>
  <si>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</si>
  <si>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</si>
  <si>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</si>
  <si>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</si>
  <si>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</si>
  <si>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</si>
  <si>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</si>
  <si>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</si>
  <si>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</si>
  <si>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</si>
  <si>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</si>
  <si>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</si>
  <si>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</si>
  <si>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</si>
  <si>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</si>
  <si>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</si>
  <si>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</si>
  <si>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</si>
  <si>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</si>
  <si>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</si>
  <si>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</si>
  <si>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</si>
  <si>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</si>
  <si>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</si>
  <si>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</si>
  <si>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</si>
  <si>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</si>
  <si>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</si>
  <si>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</si>
  <si>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</si>
  <si>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</si>
  <si>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</si>
  <si>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</si>
  <si>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</si>
  <si>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</si>
  <si>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</si>
  <si>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</si>
  <si>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</si>
  <si>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</si>
  <si>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</si>
  <si>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</si>
  <si>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</si>
  <si>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</si>
  <si>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</si>
  <si>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</si>
  <si>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</si>
  <si>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</si>
  <si>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</si>
  <si>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</si>
  <si>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</si>
  <si>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</si>
  <si>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</si>
  <si>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</si>
  <si>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</si>
  <si>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</si>
  <si>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</si>
  <si>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</si>
  <si>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</si>
  <si>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</si>
  <si>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</si>
  <si>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</si>
  <si>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</si>
  <si>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</si>
  <si>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</si>
  <si>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</si>
  <si>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</si>
  <si>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</si>
  <si>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</si>
  <si>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</si>
  <si>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</si>
  <si>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</si>
  <si>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</si>
  <si>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</si>
  <si>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</si>
  <si>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</si>
  <si>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</si>
  <si>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</si>
  <si>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</si>
  <si>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</si>
  <si>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</si>
  <si>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</si>
  <si>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</si>
  <si>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</si>
  <si>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</si>
  <si>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</si>
  <si>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</si>
  <si>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</si>
  <si>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</si>
  <si>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</si>
  <si>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</si>
  <si>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</si>
  <si>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</si>
  <si>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</si>
  <si>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</si>
  <si>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</si>
  <si>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</si>
  <si>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</si>
  <si>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</si>
  <si>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</si>
  <si>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</si>
  <si>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</si>
  <si>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</si>
  <si>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</si>
  <si>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</si>
  <si>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</si>
  <si>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</si>
  <si>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</si>
  <si>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</si>
  <si>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</si>
  <si>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</si>
  <si>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</si>
  <si>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</si>
  <si>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</si>
  <si>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</si>
  <si>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</si>
  <si>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</si>
  <si>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</si>
  <si>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</si>
  <si>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</si>
  <si>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</si>
  <si>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</si>
  <si>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</si>
  <si>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</si>
  <si>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</si>
  <si>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</si>
  <si>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</si>
  <si>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</si>
  <si>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</si>
  <si>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</si>
  <si>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</si>
  <si>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</si>
  <si>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</si>
  <si>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</si>
  <si>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</si>
  <si>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</si>
  <si>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</si>
  <si>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</si>
  <si>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</si>
  <si>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</si>
  <si>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</si>
  <si>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</si>
  <si>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</si>
  <si>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</si>
  <si>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</si>
  <si>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</si>
  <si>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</si>
  <si>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</si>
  <si>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</si>
  <si>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</si>
  <si>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Agung Purwanto</t>
  </si>
  <si>
    <t/>
  </si>
  <si>
    <t>KAP Purwantono, Sungkoro dan Surja</t>
  </si>
  <si>
    <t>2024-12-31</t>
  </si>
  <si>
    <t>CMNT</t>
  </si>
  <si>
    <t>2025-12-31</t>
  </si>
  <si>
    <t>2025-01-01</t>
  </si>
  <si>
    <t>KAP Purwanto Susanti dan Surja</t>
  </si>
  <si>
    <t>2026-03-25</t>
  </si>
  <si>
    <t>AB051</t>
  </si>
  <si>
    <t>PT Cemindo Gemilang Tbk</t>
  </si>
  <si>
    <t>Fixed Rate</t>
  </si>
  <si>
    <t>Floating Rate</t>
  </si>
  <si>
    <t>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</si>
  <si>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PT Gemilang Mulia Sentosa</t>
  </si>
  <si>
    <t>PT Sumatera Anugerah Teknindo Perkasa</t>
  </si>
  <si>
    <t>PT Jaya Prima Agung</t>
  </si>
  <si>
    <t>20 Juni 2026</t>
  </si>
  <si>
    <t>26 September 2026 sampai 31 Mei 2027</t>
  </si>
  <si>
    <t>8 koma 50 persen</t>
  </si>
  <si>
    <t>PT Pembangunan Perumahan Urban</t>
  </si>
  <si>
    <t>Februari sampai Juni 2026</t>
  </si>
  <si>
    <t>PT Gama Bojonegara Jaya</t>
  </si>
  <si>
    <t>4 koma 5 persen sampai 6 koma 7 persen</t>
  </si>
  <si>
    <t>20 Oktober 2026</t>
  </si>
  <si>
    <t>PT Energi Unggul Persada</t>
  </si>
  <si>
    <t>14 Januari 2027</t>
  </si>
  <si>
    <t>7 koma 90 persen</t>
  </si>
  <si>
    <t>PT Murni Sadar Tbk</t>
  </si>
  <si>
    <t>Lain-lain</t>
  </si>
  <si>
    <t>27 Desember 2031</t>
  </si>
  <si>
    <t>dan Pengukuran Awal Grup menggunakan instrumen keuangan seperti swap tingkat suku bunga antar mata uang, kontrak forward mata uang asing dan swap antar mata uang untuk melakukan lindung nilai atas risiko mata uang asing dan risiko tingkat suku bunganya.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Perusahaan menerapkan akuntansi lindung nilai atas transaksi lindung nilai yang memenuhi kriteria akuntansi lindung nilai.Untuk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negeri.Pada saat insepsi hubungan lindung nilai, Perusahaan secara resmi menetapkan dan mendokumentasikan hubungan lindung nilai yang ingin diterapkan akuntansi lindung nilai serta tujuan dan strategi manajemen risiko untuk melaksanakan lindung nilai. Dokumentasi tersebut mencakup identifikasi instrumen lindung nilai, item atau transaksi lindung nilai, sifat risiko yang dilindungi nilai dan bagaimana menilai apakah hubungan lindung nilai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Perusahaan melindungi nilai sejumlah kuantitas instrumen lindung nilaian yang secara aktual digunakan oleh Perusahaan untuk melindungi sejumlah kuantitas item lindung nilaian.Lindung nilai tersebut diharapkan menjadi sangat efektif dalam mencapai saling hapus perubahan nilai wajar atau arus kas dan dinilai secara berkelanjutan untuk menentukan bahwa lindung nilai tersebut sebenarnya sangat efektif selama periode pelaporan keuangan yang ditetapkan.</t>
  </si>
  <si>
    <t>PT Semen Baturaja Tbk</t>
  </si>
  <si>
    <t>Untuk tujuan manajemen, Grup dibagi menjadi tiga segmen operasi berdasarkan produk dan jasa yang dikelola secara independen oleh masing-masing pengelola segmen yang bertanggung jawab atas kinerja dari masing- masing segmen. Para pengelola segmen melaporkan secara langsung kepada manajemen Grup yang secara teratur mengkaji laba segmen sebagai dasar untuk mengalokasikan sumber daya ke masing- masing segmen dan untuk menilai kinerja segmen. Pengungkapan tambahan pada masing-masing segmen terdapat dalam Catatan 33, termasuk faktor yang digunakan untuk mengidentifikasi segmen yang dilaporkan dan dasar pengukuran informasi segmen.</t>
  </si>
  <si>
    <t>PT Sumber Urip Sejati</t>
  </si>
  <si>
    <t>PT Sumber Nugraha Berjaya</t>
  </si>
  <si>
    <t>31 Januari 2025</t>
  </si>
  <si>
    <t>Aastar Trading Pte. Ltd</t>
  </si>
  <si>
    <t>6 koma 97 persen</t>
  </si>
  <si>
    <t>14  Januari 2027</t>
  </si>
  <si>
    <t>na</t>
  </si>
  <si>
    <t>PT Indocement Tunggal Prakarsa Tbk</t>
  </si>
  <si>
    <t>7 koma 50 persen</t>
  </si>
  <si>
    <t>uang pelaporan yang digunakan pada laporan keuangan konsolidasian adalah Rupiah, yang juga merupakan mata uang fungsional setiap entitas dalam Grup, kecuali entitas anak tertentu, yaitu Cemindo Investment Pte. Ltd. () dan Chinfon Vietnam Holding () yang memiliki mata uang fungsional Dolar Amerika Serikat ( AS) dan Chinfon Cement Corporation () dengan mata uang fungsional Dong Vietnam.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2025 dan 2024, kurs mata uang asing (dalam jumlah rupiah penuh) yang digunakan adalah sebagai berikut: AS 16.782, SGD 13.069, RMB 2.401, EUR 19.753, CHF 21.274, VND 0,64, JPY 10.759 Akun-akun  dari entitas anak luar negeri dijabarkan dari mata uang pelaporannya menjadi Rupiah dengan dasar sebagai berikut :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Akun-akun Kegiatan Usaha Luar Negeri sebagai bagian dari ekuitas sampai pelepasan investasi neto yang bersangkutan.</t>
  </si>
  <si>
    <t>23 September 2025</t>
  </si>
  <si>
    <t>PT Grateful Utama</t>
  </si>
  <si>
    <t>asosiasi adalah entitas yang terhadapnya Grup memiliki pengaruh signifikan. Pengaruh signifikan adalah kekuasaan untuk berpartisipasi dalam keputusan kebijakan keuangan dan operasional investee, tetapi tidak mengendalikan atau mengendalikan bersama atas kebijakan tersebut. Investasi Grup pada entitas asosiasi dicatat dengan menggunakan metode ekuitas. Dalam metode ekuitas, investasi awalnya diakui pada harga perolehan pada saat tanggal perolehan. Nilai tercatat investasi disesuaikan untuk mengakui perubahan bagian Grup atas aset neto entitas asosiasi sejak tanggal perolehan. Goodwill yang terkait dengan entitas asosiasi termasuk dalam jumlah tercatat investasi dan tidak diamortisasi dandiuji untuk penurunan nilai secara terpisah dari investasi terkait. Ketika bagian Grup atas nilai wajar neto aset dan liabilitas teridentifikasi melebihi biaya perolehan, selisih tersebut diakui sebagai pendapatan dalam bagian laba atau rugi Grup pada periode perolehan. Setelah tanggal perolehan, Grup melakukan penyesuaian yang diperlukan atas bagian Grup atas laba atau rugi entitas asosiasi. Penyesuaian ini mencakup depresiasi atas aset yang dapat disusutkan berdasarkan nilai wajar aset tersebut pada tanggal perolehan, serta pengakuan atas setiap rugi penurunan nilai yang berkaitan dengan goodwill atau aset tetap.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</si>
  <si>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PT Karya Palmalindo Anugerah</t>
  </si>
  <si>
    <t>bisnis dicatat dengan menggunakan metode akuisisi. Biaya perolehan dari sebuah akuisisi diukur pada nilai agregat imbalan yang dialihkan, diukur pada nilai wajar pada tanggal akuisisi dan jumlah setiap kepentingan non- pengendali pada pihak yang diakuisisi. Untuk setiap kombinasi bisnis, Grup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Kombinasi bisnis entitas sepengendali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</si>
  <si>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6 koma 14 persen</t>
  </si>
  <si>
    <t>persediaan yang diakui sebagai beban dan 
termasuk dalam  pokok penjualan 
sebesar Rp2.978.860 (2024: Rp3.339.409). Manajemen berkeyakinan bahwa penyisihan 
penurunan nilai pasar dan keusangan persediaan 
telah cukup untuk menutup kerugian akibat dari 
penurunan nilai pasar dan keusangan persediaan. Pada tanggal 31 Desember 2025 dan 2024, 
persediaan Grup sejumlah Rp1.618.843 dan 
Rp1.751.645, telah diasuransikan terhadap risiko 
kerugian atas kebakaran dan risiko lainnya dengan 
nilai pertanggungan gabungan masing-masing 
sebesar Rp1.511.907 dan Rp1.501.238. 
Manajemen berpendapat asuransi tersebut cukup 
untuk menutup kemungkinan kerugian atas risiko - 
risiko tersebut.</t>
  </si>
  <si>
    <t>PT Nawasena Mandiri Perkasa</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</si>
  <si>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</si>
  <si>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Laporan keuangan konsolidasian telah disusun sesuai dengan Standar Akuntansi Keuangan di Indonesia (), yang mencakup Pernyataan dan Interpretasi yang dikeluarkan oleh Dewan Standar Akuntansi Keuangan Ikatan Akuntan Indonesia ( IAI) dan Peraturan- 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ini.Grup telah menyusun laporan keuangan konsolidasian dengan dasar bahwa Grup akan mempertahankan kelangsungan usaha.Periode laporan keuangan Grup adalah dari tanggal 1 Januari hingga tangal 31 Desember.</t>
  </si>
  <si>
    <t>2026-03-27</t>
  </si>
  <si>
    <t>8 koma 15 persen</t>
  </si>
  <si>
    <t>23-Sep-26</t>
  </si>
  <si>
    <t>31 Oktober 2025</t>
  </si>
  <si>
    <t>PT Adhimix Precast Indonesia</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</si>
  <si>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</si>
  <si>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PT Multi Karya Cemerlang</t>
  </si>
  <si>
    <t>22 Mei 2025</t>
  </si>
  <si>
    <t>9 koma 9 persen</t>
  </si>
  <si>
    <t>Perusahaan dan entitas anaknya melakutransaksi dengan pihak berelasi sesuai dengan definisi yang diuraikan pada PSAK 224: Pengungkapan Pihak-pihak Berelasi.Transaksi ini dilakukan berdasarkan persyaratan yang disetujui oleh kedua belah pihak, yang mungkin tidak sama dengan transaksi lain yang dilakukan dengan pihak- pihak yang tidak berelasi. Transaksi dan saldo yang material dengan pihak-pihak berelasi diungkapkan dalam Catatan 22.Kecuali diungkapkan khusus sebagai pihak berelasi, maka pihak-pihak lain yang disebutkan dalam Catatan atas laporan keuangan konsolidasian merupakan pihak tidak berelasi.</t>
  </si>
  <si>
    <t>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15%.Pajak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Item pajak tangguhan diakui sesuai dengan transaksi yang mendasarinya baik di pendapatan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PPN.Jumlah PPN neto yang diajukan untuk direstitusi, atau terutang kepada, kantor pajak termasuk sebagai bagian dari aset atau liabilitas pada laporan posisi keuangan konsolidasian.Pajak Final Sesuai peraturan perpajakan di Indonesia, pajak final dikenakan atas nilai bruto transaksi, dan tetap dikenakan walaupun atas transaksi tersebut pelaku transaksi mengalami kerugian. Pajak final tidak termasuk dalam lingkup yang diatur oleh PSAK 212.</t>
  </si>
  <si>
    <t>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</si>
  <si>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Adhi Persada Beton</t>
  </si>
  <si>
    <t>30 Maret 2025</t>
  </si>
  <si>
    <t>PT Gama Group</t>
  </si>
  <si>
    <t>Laba per saham dihitung berdasarkan rata-rata tertimbang jumlah saham yang beredar selama periode yang bersangkutan. Grup tidak mempunyai efek berpotensi saham biasa yang bersifat dilutif pada 31 Desember 2025.</t>
  </si>
  <si>
    <t>Sindikasi
Pada tanggal 14 Januari 2025, Perusahaan menandatangani perjanjian kredit sindikasi. Bangkok Bank Public Company Limited bertindak sebagai mandated lead arranger and bookrunner, PT Bank Permata Tbk. dalam hal ini berperan sebagai agen, agen jaminan, dan bank rekening serta Bangkok Bank Public Company Limited dan Bangkok Bank Public Company Limited Singapore Branch sebagai kreditur.
Pada tanggal 10 Februari 2025, Perjanjian ini mengalami perubahan dengan penambahan kreditur PT Bank Permata Tbk. dan perubahan struktur fasilitas pinjaman.
Perusahaan mendapatkan fasiltitas pinjaman jangka pendek sebagai berikut
1.	Fasilitas pinjaman jangka pendek berulang dalam mata uang Dolar Amerika Serikat sebesar ASdolar22 juta.
2.	Fasilitas pinjaman jangka pendek berulang dalam mata uang Rupiah sebesar Rp150.000 juta.
3.	Fasilitas cerukan sebesar Rp30.000 juta.
Pinjaman jangka pendek akan jatuh tempo pada 14 Januari 2027. Pada tanggal 31 Desember 2025, saldo atas pinjaman pinjaman tersebut adalah
-	Untuk Fasilitas pinjaman jangka pendek berulang dalam Dollar Amerika Serikat ASdolar20 juta atau setara dengan Rp332.284 (2024 RpNihil).
-	Untuk Fasilitas pinjaman jangka pendek berulang dalam Rupiah Rp150.000 (2024 RpNihil).
-	Fasilitas cerukan RpNihil (2024 RpNihil).
Lembaga Pembiayaan Ekspor Indonesia
Pada tanggal 23 September 2021, Perusahaan menandatangani perjanjian pinjaman No. 20 dengan Lembaga Pembiayaan Ekspor Indonesia (Indonesia Ekaliimbank) untuk pinjaman kredit modal kerja penugasan khusus ekspor sebesar Rp200.000 (KMK PKE Transaksional) dan Rp100.000 (KMK PKE Fikalied Loan).
Pinjaman ini jatuh tempo dalam dua belas bulan dan terakhir diperpanjang sampai dengan tanggal 23 September 2026.
Fasilitas ini mensyaratkan Perusahaan harus mempertahankan pembatasan rasio keuangan tertentu yaitu rasio cakupan utang (minimum 100persen) dan rasio utang terhadap modal (maksimum 300persen). Untuk tahun yang berakhir pada 31 Desember 2025, Perusahaan telah memenuhi pembatasan tersebut.
Selama 2025 dan 2024, Perusahaan melakukan penarikan pinjaman sebesar Rp967.943 dan Rp816.112 dan telah melakukan pembayaran sebesar Rp967.943 dan Rp816.112. Pada tanggal 31 Desember 2025, Perusahaan mempunyai saldo pinjaman bank Indonesia Ekaliimbank sebesar Rp300.000 (2024 Rp300.000).
PT Bank OCBC NISP Tbk.
Pada tanggal 22 Mei 2018, ANP, entitas anak, menandatangani perjanjian pinjaman dengan PT Bank OCBC NISP Tbk. (OCBC), untuk pinjaman kredit modal kerja sebesar Rp5.000 dengan bunga pinjaman sebesar 10persen per tahun. Pinjaman ini dijaminkan dengan 17 unit truk milik ANP. Pada tanggal 28 Agustus 2019 pinjaman ini mengalami perubahan, diantaranya mengubah nilai fasilitas menjadi Rp20.000, bunga pinjaman menjadi 10,25persen per tahun dan jaminan menjadi 62 unit truk.
Pada tanggal 20 Oktober 2025, bunga pinjaman berubah menjadi 8,50persen (2024 8,50persen) per tahun. Pinjaman ini akan jatuh tempo dalam dua belas bulan dan perpanjangan hingga 20 Oktober 2026.
ANP telah melakukan penarikan pertama pada 2018 sebesar Rp5.000 dan penarikan penuh pada tahun 2019  sebesar  Rp15.000.   Pada  tanggal 31 Desember 2025, saldo pinjaman bank OCBC sebesar Rp20.000 (2024 Rp20.000).
PT Bank Permata Tbk.
Pada tanggal 6 Mei 2015, KPPN, entitas anak, menandatangani	perjanjian	pinjaman No. 02 garis miring III garis miring 2015 dengan Bangkok Bank, untuk fasilitas kredit modal kerja berikut
-	Surat Sanggup untuk modal kerja untuk jangka waktu maksimum 60 hari dalam suatu jumlah pokok keseluruhan dengan limit sebesar Rp22.500 Bunga pinjaman adalah sebesar 11,75persen per tahun.
-	Fasilitas cerukan dalam suatu jumlah pokok keseluruhan yang tidak melebihi Rp2.500.
Fasilitas di atas digunakan untuk modal kerja KPPN dalam pembelian bahan baku dari pemasok. Dalam menandatangani Perjanjian Kredit Bank Permata, KPPN memberikan tertentu jaminan atas aset, yaitu tanah dan bangunan milik KPPN di Langkat, Sumatera Utara, sebesar Rp25.180. Selama tahun 2025 dan 2024, tingkat suku bunga untuk fasilitas Surat Sanggup masingsampaimasing berkisar antara 8,50persen. Tingkat suku bunga untuk fasilitas cerukan untuk periode 31 Desember 2025 dan 31 Desember 2024 adalah 8,50persen. Untuk fasilitas Surat Sanggup, selama tahun 2025 dan 2024, KPPN melakukan penarikan pinjaman masingsampaimasing sebesar Rp6.576 dan Rp8.593 dan telah melakukan pembayaran masingsampaimasing sebesar Rp6.331 dan Rp3.427.
Perjanjian ini mengalami perubahan pada tanggal 6 Maret 2023, di mana
-	Limit fasilitas kredit pinjaman rekening koran menjadi Rp25.000 dan fasilitas revolving loan ditutup.
-	Jangka waktu fasilitas diperpanjang sampai dengan 31 Oktober 2023.
-	Jaminan hutang menjadi tanah dan bangunan milik KPPN di Langkat, Sumatera Utara dengan nilai hak tanggungan I Rp21.180 dan hak tanggungan II Rp4.000.
-	Pemenuhan rasio keuangan berupa rasio keuangan hutang terhadap modal menjadi maksimum 1,25kali.
Pinjaman ini jatuh tempo dalam dua belas bulan dan terakhir diperpanjang hingga 14 Januari 2027. Pada tanggal 31 Desember 2025, KPPN mempunyai saldo pinjaman cerukan bank Permata sebesar Rp19.502 (2024 Rp19.256).
PT Bank Negara Indonesia (Persero) Tbk.
Pada tanggal 18 September 2013, Perusahaan menandatangani perjanjian pinjaman No. 26 dan 27 dengan PT Bank Negara Indonesia (Persero) Tbk. (BNI) untuk pinjaman kredit modal kerja sebesar Rp285.000 (KMK I) dan Rp237.500 (KMK II), yang kemudian diamandemen pada tanggal 21 November 2013 dengan penambahan sublimit LC import sight garis miring usance garis miring SKBDN garis miring UPAS masingsampaimasing sebesar Rp200.000 dan Rp150.000. Pinjaman ini digunakan untuk menambah modal kerja terkait pabrik semen di Bayah, pabrik penggilingan di Ciwandan dan Gresik, pabrik pengepakan di Pontianak dan pabrik lainnya. Fasilitas kredit ini dijamin dengan aset tetap Perusahaan meliputi tanah, bangunan, mesin dan peralatan pabrik Bayah Line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Perusahaan, gadai atas rekening penampungan dan fidusia atas pengalihan hasil pembayaran asuransi yang dijaminkan secara paripasu. Pinjaman ini jatuh tempo dalam dua belas bulan dan diperpanjang hingga 20 Februari 2025. Pada tanggal 31 Desember 2025, Perusahaan mempunyai saldo pinjaman bank PT Bank Negara Indonesia (Persero) Tbk. Sebesar RpNihil (2024 Rp772.472). Pinjaman jangka pendek yang diperoleh Perusahaan dari PT Bank Negara Indonesia (Persero) Tbk. telah dilunasi pada tanggal 24 Januari 2025 sebesar Rp772.500.
PT Bank Tabungan Negara (Persero) Tbk.
Pada tanggal 29 Mei 2024, MM, entitas anak, menandatangani  perjanjian  pinjaman  Nomor 28 dengan PT Bank Tabungan Negara (Persero) Tbk. (BTN) untuk pinjaman kredit modal kerja pola kemitraan sebesar Rp10.000. Perjanjian pinjaman di atas mensyaratkan beberapa kovenan, antara lain
1.	Rasio DER lebih besar 500persen dan Rasio Modal Disetor  lebih kecil 10persen,
2.	Repayment Capacity (RPC) minimal sebesar 100persen,
3.	Rasio agunan minimal sebesar 125persen.
Selama tahun 2025, MM melakukan penarikan pinjaman sebesar RpNihil dan telah melakukan pembayaran sebesar Rp9.339. Pada tanggal 31 Desember 2025, MM mempunyai saldo pinjaman bank BTN sebesar RpNihil (2024 Rp9.339). Pinjaman jangka pendek yang diperoleh Perusahaan dari PT Bank Tabungan Negara (Persero) Tbk.  telah dilunasi pada  tanggal 30 September 2025 sebesar Rp9.339.
PT Bank Permata Tbk.
Efektif sejak 21 Desember 2020, Bangkok Bank Public Company Limited Kantor Cabang Indonesia berintegrasi dengan PT Bank Permata Tbk.
Pada tanggal 6 November 2015, Perusahaan menandatangani perjanjian kredit berulang Nomor 185 garis miring KALII garis miring 2015 dengan Bangkok Bank Public Company Limited (Bangkok Bank) untuk pinjaman Combined line facility sebesar ASdolar5 juta atau setara dengan Rp78.655. Bunga pinjaman sebesar LIBOR (3 bulan) plus 3,5persen per tahun. Perjanjian kredit berulang digunakan untuk meningkatkan modal kerja Perusahaan guna suku cadang dan peralatan habis pakai pada pabrik semen dan penggilingan.
Pada tanggal 1 Juli 2023, bunga pinjaman berubah menjadi CME Term SOFR (1 bulan) plus 0,1persen plus 3persen per tahun. Efektif tanggal 18 Juli 2023, bunga pinjaman mengalami perubahan menjadi CME Term SOFR (1 bulan) plus 2,75persen yang berlaku setahun. Fasilitas ini dijaminkan dengan hak tanah milik Perusahaan yang berlokasi di Darmasari, Bayah, dengan total nilai tanggungan sebesar Rp267.000, mesin dan peralatan milik Perusahaan yang berlokasi di Darmasari, Bayah, dengan total nilai fidusia ASdolar93 juta, hak tanah yang berlokasi di Darmasari, Bayah, dengan nilai tanggungan Rp30.000, fidusia atas asuransi dengan nilai jaminan ASdolar105 juta serta gadai atas rekening bank. Pinjaman ini juga dijamin dengan Akta Notaris Perjanjian Subordinasi Perusahaan untuk mensubordinasikan seluruh pinjaman para pemegang saham.
Fasilitas ini mensyaratkan Perusahaan harus mempertahankan pembatasan rasio keuangan tertentu yaitu rasio lancar (minimum 100persen), rasio cakupan utang (minimum 100persen), dan rasio utang terhadap modal (maksimum 300persen). Selain pembatasan rasio keuangan, Perusahaan juga tidak diperkenankan untuk melakukan merger, konsolidasi, akuisisi, atau melakukan penawaran saham, kecuali jika telah mendapat surat pengesampingan atau telah memenuhi syarat tertentu.
Pinjaman ini jatuh tempo dalam dua belas bulan dan terakhir diperpanjang hingga 31 Januari 2025.
Selama 2025 dan 2024, Perusahaan melakukan penarikan pinjaman masingsampaimasing sebesar ASdolar1 juta dan ASdolar10 juta, atau setara dengan Rp16.475 dan Rp158.470 dan telah melakukan pembayaran masingsampaimasing sebesar ASdolar6 juta dan ASdolar10 juta atau setara dengan Rp98.851 dan Rp158.470.
Pada tanggal 31 Desember 2025, Perusahaan mempunyai saldo pinjaman atas fasilitas kredit berulang PT Bank Permata Tbk. sebesar RpNihil (2024 Rp80.810).
Pinjaman jangka pendek yang diperoleh Perusahaan dari PT Bank Permata Tbk. telah dilunasi pada tanggal 24 Januari 2025 sebesar ASdolar5 juta atau setara dengan Rp80.810.
Taipei Fubon Commercial Bank
Pada tanggal 29 Juli 2022, Chinfon Cement Corporation (CCC), entitas anak kepemilikan tidak langsung melalui CI, menandatangani perjanjian kredit berulang dengan Taipei Fubon Commercial Bank (TFCB) untuk pinjaman kredit modal kerja sebesar ASdolar8 juta. Fasilitas ini dinyatakan lunas pada tanggal 11 Agustus 2023. Pada tanggal 1 Agustus 2024, CCC menandatangani perjanjian kredit baru dengan Taipei Fubon Commercial Bank (TFCB) untuk pinjaman kredit modal kerja sebesar ASdolar1,5 juta atau setara dengan Rp23.770. Selama tahun 2025 dan 2024, CCC telah melakukan penarikan pinjaman sebesar ASdolarNihil dan ASdolar0,96 juta atau setara dengan RpNihil dan Rp14.925 serta telah melakukan pembayaran senilai ASdolar0,96 juta dan ASdolar1,5 juta atau setara dengan Rp14.949 dan Rp23.229.
Pinjaman jangka pendek yang diperoleh CCC dari TFCB telah dilunasi pada tanggal 30 Juni 2025. Selama tahun 2025 dan 2024, tingkat suku bunga adalah 5,1persen per tahun. Pada tanggal 31 Desember 2025, saldo atas pinjaman TFCB sebesar RpNihil (2024 Rp15.484).
Joint Stock Commercial Bank for Foreign Trade of Vietnam
Pada tanggal 1 Agustus 2023, CCC, menandatangani perjanjian kredit bergulir dengan Joint Stock Commercial Bank for Foreign Trade of Vietnam (JSCB sampai FTV) dengan fasilitas kredit sebesar VND300.000 juta atau setara dengan Rp192.000. Pada tanggal 23 Juli 2024 dan 25 Agustus 2025, fasilitas ini telah diperbarui dan batas kredit sebesar VND300.000 juta tetap tidak berubah.
Selama tahun 2025 dan 2024, CCC melakukan penarikan pinjaman sebesar VND629.112 juta dan VND396.727 juta atau setara dengan Rp402.632 dan Rp250.731 dan telah melakukan pembayaran sebesar VND607.017 juta dan VND389.472 juta atau setara dengan Rp388.491 dan Rp246.146.
Pinjaman ini jatuh tempo dalam dua belas bulan dan terakhir diperpanjang hingga Juni 2026. Selama 2025 dan 2024, tingkat suku bunga masingsampai masing berkisar antara 4,8persen sampai 6,0persen dan 4,2persen sampai 4,7persen per tahun. Pada tanggal 31 Desember 2025, saldo pinjaman bank JSCB sampai FTV sebesar Rp173.246 (2024 Rp157.862).
Bangkok Bank PCL sampai Cabang Ho Chi Minh City
Pada tanggal 28 Juni 2006, CCC menandatangani perjanjian kredit berulang dengan Bangkok Bank PCL sampai Cabang Kota Ho Chi Minh (Bangkok Bank PCL sampai HCMCB) untuk pinjaman kredit modal kerja sebesar ASdolar8 juta atau setara dengan Rp74.480 dan ditingkatkan menjadi ASdolar11 juta atau setara dengan Rp184.602 pada 18 Juni 2007.
Selama tahun 2025 dan 2024, CCC melakukan penarikan pinjaman sebesar kas VND492.710 juta dan VND513.420 juta atau setara dengan Rp315.334 dan Rp324.481 dan telah melakukan pembayaran sebesar VND477.960 juta dan VND520.080 juta atau setara dengan Rp305.894 dan Rp328.690.
Pinjaman ini jatuh tempo dalam dua belas bulan dan terakhir diperpanjang sampai dengan Juni 2026. Selama tahun 2025 dan 2024, tingkat suku bunga masing masing berkisar antara 5,4persen sampai 6,4persen dan 5,0persen sampai 5,2persen per tahun. Pada tanggal 31 Desember 2025, saldo pinjaman bank Bangkok Bank PCL sampai HCMCB sebesar Rp170.752 (2024 Rp160.052).
Vietnam Joint Stock Commercial Bank for Industrial and Trade
Pada tanggal 26 Oktober 2023, CCC menandatangani perjanjian kredit berulang dengan Vietnam Joint Stock Commercial Bank for Industrial and Trade (VJSCBIT) dengan nilai fasilitas sebesar VND400.000 juta atau setara dengan Rp256.000. Pada tanggal 25 Oktober 2024 dan 31 Oktober 2025, fasilitas ini telah diperpanjang dan batas sebesar VND400.000 juta tidak berubah.
Selama tahun 2025 dan 2024, CCC melakukan penarikan pinjaman sebesar VND633.106 juta dan VND674.756 juta atau setara dengan Rp405.188 dan Rp426.446 telah melakukan pembayaran sebesar VND719.244 juta dan VND662.608 juta atau setara dengan Rp460.316 dan Rp418.767. Pinjaman ini jatuh tempo dalam dua belas bulan dan terakhir diperpanjang hingga Juni 2026. Selama tahun 2025 dan 2024, tingkat suku bunga masingsampai masing berkisar antara 4,8persen sampai 6,7persen dan 4,5persen sampai
4,8persen per tahun. Pada tanggal 31 Desember 2025, saldo pinjaman bank VJSCBIT sebesar Rp159.241 (2024 Rp212.694).
Standard Chartered Bank (Vietnam) Limited
Pada tanggal 13 September 2023, CCC menandatangani perjanjian kredit berulang dengan Standard Chartered Bank (Vietnam) Limited (SCB) dengan nilai fasilitas kredit sebesar ASdolar10 juta atau setara dengan Rp167.820.
Selama tahun 2025 dan 2024, CCC melakukan penarikan pinjaman sebesar VND325.770 juta dan VND191.100 juta atau setara dengan Rp208.492 dan Rp48.165 dan telah melakukan pembayaran sebesar VND133.310 juta dan VND195.910 juta atau setara dengan Rp85.318 dan Rp39.967.
Pinjaman ini jatuh tempo dalam dua belas bulan dan terakhir diperpanjang hingga Juni 2026. Selama tahun 2025 dan 2024, tingkat suku bunga masingsampai masing berkisar antara 4,8persen sampai 5,9persen dan 5,0persen per tahun.
Pada tanggal 31 Desember 2025, saldo pinjaman bank SCB sebesar Rp141.280 (2024 Rp17.964).
United Overseas Bank (Vietnam) Limited sampai Cabang Hanoi
Pada tanggal 29 Juli 2024, CCC, menandatangani perjanjian kredit baru dengan United Overseas Bank (Vietnam) LimitedsampaiCabang Hanoi (UOBHN) untuk pinjaman modal kerja dengan fasilitas kredit sebesar VND230.000 juta atau setara dengan Rp147.200.
Selama tahun 2025 dan 2024, CCC melakukan penarikan pinjaman sebesar VND370.489 dan VND54.530 juta atau setara dengan Rp237.107 dan Rp34.462 dan telah melakukan pembayaran sebesar VND247.800 dan VNDNihil juta atau setara dengan Rp158.592 dan RpNihil.
Pinjaman ini jatuh tempo dalam dua belas bulan dan terakhir diperpanjang hingga Juni 2026. Selama 2025 dan 2024, tingkat suku bunga berkisar antara 4,5persen sampai 5,7persen dan 4,6persen sampai 5,1persen per tahun. Pada tanggal 31 Desember 2025, saldo pinjaman bank UOBHN sebesar Rp113.415 (2024 Rp34.630).
Vietnam International Commercial Joint Stock Bank
Pada tanggal 8 Februari 2022, CCC, menandatangani perjanjian kredit dengan Vietnam International Commercial Joint Stock Bank (VICJSB) untuk pinjaman kredit modal kerja dengan nilai fasilitas sebesar VND200.000 juta atau setara dengan Rp133.000. Pada tanggal 12 April 2023, fasilitas ini telah diperpanjang dan batas sebesar VND200.000 juta tetap tidak berubah. Pada tanggal 10 April 2024, fasilitas ini telah diperpanjang dan batas sebesar VND200.000 juta tetap tidak berubah. Pada tanggal 21 April 2025, CCC menandatangani perjanjian kredit baru dengan VICJSB untuk pinjaman modal kerja sebesar VND300.000 juta.
Selama tahun 2025 dan 2024, CCC melakukan penarikan pinjaman sebesar VND153.921 juta dan VND358.624 juta atau setara dengan Rp98.510 dan Rp226.650 dan telah melakukan pembayaran sebesar VND234.643 juta dan VND334.301 juta atau setara dengan Rp150.172 dan Rp211.278.
Pinjaman ini jatuh tempo dalam dua belas bulan dan terakhir diperpanjang hingga Maret 2026. Selama tahun 2025 dan 2024, tingkat suku bunga berkisar antara 5,0persen sampai 5,2persen dan 4,5persen sampai 5,5persen per tahun. Pada tanggal 31 Desember 2025, saldo pinjaman bank VICJSB sebesar Rp67.950 (2024 Rp118.678).
Bangkok Bank PCL sampai Cabang Hanoi
Pada tanggal 8 Juni 2007, CCC, menandatangani perjanjian kredit berulang dengan Bangkok Bank PCL Cabang Hanoi untuk pinjaman kredit modal kerja sebesar ASdolar5 juta atau setara dengan Rp83.910.
Selama tahun 2025 dan 2024, CCC melakukan penarikan pinjaman sebesar VND162.580 juta dan VND215.080 juta atau setara dengan Rp104.051 dan Rp135.930 dan telah melakukan pembayaran sebesar VND167.540 juta dan VND237.760 juta atau setara dengan Rp107.226 dan Rp150.264. Pinjaman ini jatuh tempo dalam dua belas bulan dan terakhir diperpanjang hingga Maret 2026. Selama tahun 2025 dan 2024, tingkat suku bunga masingsampai masing berkisar antara 5,4persen sampai 6,4persen dan 5,0persen sampai
5,2persen per tahun. Pada tanggal 31 Desember 2025, saldo pinjaman bank Bangkok Bank PCL sampai Hanoi Branch sebesar Rp54.631 (2024 Rp57.353).
Bank of China (Hong Kong) Limited
Pada tanggal 2 Desember 2022, CCC, menandatangani perjanjian Dengan Bank of China (Hong Kong) Limited (BCHK) untuk pinjaman kredit modal kerja Dengan nilai fasilitas sebesar VND226.968 juta atau setara Dengan Rp145.259. Pada tanggal 8 September 2023, fasilitas ini telah diperpanjang dan plafond disesuaikan menjadi VND226.968 juta tetap tidak berubah. Pada tanggal 22 Agustus 2024 dan 1 Desember 2025 , fasilitas ini telah diperpanjang dan plafond disesuaikan menjadi VND226.968 juta tetap tidak berubah.
Selama tahun 2025 dan 2024, CCC melakukan penarikan pinjaman sebesar VND51.810 juta dan VND248.250 juta atau setara dengan Rp33.158 dan Rp156.894 dan telah melakukan pembayaran sebesar VND166.450 juta dan VND277.700 juta atau setara dengan Rp106.528 dan Rp175.506.
Pinjaman ini jatuh tempo dua belas bulan dan terakhir diperpanjang hingga Juni 2026. Selama tahun 2025 dan 2024, tingkat suku bunga berkisar dari 6,2persen dan 5,0persen sampai 5,5persen per tahun. Pada tanggal
31 Desember 2025, saldo pinjaman bank BCHK sebesar Rp7.987 (2024 Rp80.721).
Taipei Fubon Commercial Bank Cabang Hanoi
Pada tanggal 29 Juli 2022, CCC menandatangani perjanjian kredit berulang dengan Taipei Fubon Commercial Bank sampai Cabang Hanoi (TFCBsampaiHB) untuk pinjaman kredit modal kerja sebesar ASdolar7 juta. Pada tanggal 1 Agustus 2023, CCC menandatangani perjanjian kredit berulang dengan Taipei Fubon Commercial Bank sampai Cabang Hanoi (TFCBsampaiHB) untuk pinjaman modal kerja sebesar ASdolar13 juta. Fasilitas ini telah diperpanjang, dengan batas maksimal sebesar ASdolar13 juta atau setara dengan Rp218.166, dan tidak mengalami perubahan pada tanggal 1 Agustus 2024 dan 6 November 2025. Selama 2025 dan 2024, CCC telah melakukan penarikan pinjaman sebesar VND243.790 juta and VND458.840 juta atau setara dengan Rp156.026 dan Rp289.986 serta telah melakukan pembayaran senilai VND362.700 juta dan VND600.760 juta atau setara dengan Rp232.128 dan Rp379.680. Pinjaman tersebut akan jatuh tempo dalam kurun waktu 12 bulan dan terakhir di perpanjang sampai dengan Mei 2026. Selama tahun 2025 dan 2024, suku bunga masingsampaimasing berkisar antara 6,32persen dan 4,8persen sampai 5,45persen per tahun. Pada tanggal 31 Desember 2025, saldo atas pinjaman TFCBsampaiHN sebesar Rp7.757 (2024 Rp83.204).
CTBC Bank Limited
Pada tanggal 8 Agustus 2018, CCC menandatangani perjanjian kredit dengan CTBC Bank Limited (CTBC) untuk pinjaman modal kerja sebesar ASdolar10 juta atau setara dengan Rp144.390. Pada tanggal 4 Desember 2024, CCC menandatangani perjanjian kredit baru dengan CTBC untuk pinjaman modal kerja sebesar ASdolar7 juta atau setara dengan Rp117.474.
Selama tahun 2025 dan 2024, CCC melakukan penarikan pinjaman sebesar VND97.300 juta dan VND163.770 juta, atau setara dengan Rp62.272 dan Rp103.502, dan telah melakukan pembayaran sebesar VND109.430 juta dan VND236.000 juta atau setara dengan Rp70.035 dan Rp149.152.
Pinjaman ini jatuh tempo dalam dua belas bulan dan terakhir diperpanjang hingga Februari 2026. Pada tahun 2025 dan 2024, tingkat suku bunga masingsampai masing berkisar antara 6,5persen sampai 5,1persen dan 5,6persen per tahun. Pada tanggal 31 Desember 2025, saldo pinjaman bank CTBC sebesar Rp5.926 (2024 Rp13.583).
Bank SinoPacsampaiHo cabang Chi Minh City
Pada tanggal 25 April 2023, CCC, menandatangani perjanjian kredit dengan Bank SinoPac cabang Ho Chi Minh City (SINOPAC) untuk pinjaman modal kerja dengan fasilitas kredit sebesar ASdolar6,5 juta atau setara dengan Rp110.117. Pada tanggal 27 Mei 2024, CCC menandatangani perjanjian kredit bergulir dengan Bank SinoPac cabang Ho Chi Minh City (SINOPAC) untuk pinjaman modal kerja sebesar USdolar5,5 juta dan sebesar ASdolar3,0 juta pada tanggal 13 Agustus 2025.
Selama tahun 2025 dan 2024, CCC telah melakukan penarikan pinjaman sebesar VND11.330 juta dan VND4.180 juta atau setara dengan Rp7.251 dan Rp2.641 dan telah melakukan pembayaran sebesar VND15.510 juta dan VND85.110 juta atau setara dengan Rp9.926 dan Rp53.789.
Pinjaman jangka pendek yang diperoleh CCC dari SINOPAC telah dilunasi pada tanggal 10 September 2025. Selama tahun 2025 dan 2024, tingkat suku bunga adalah 5,91persen dan 6,65persen pertahun. Pada periode 31 Desember 2025, saldo kredit pinjaman bank SINOPAC adalah sebesar RpNihil (2024 Rp2.654).</t>
  </si>
  <si>
    <t>7 koma 37 persen</t>
  </si>
  <si>
    <t>Juni sampai September 2025</t>
  </si>
  <si>
    <t>hasil penelaahan keadaan piutang 
usaha masing-masing pelanggan pada akhir 
periode pelaporan, baik secara individu maupun 
kolektif, manajemen berkeyakinan bahwa 
penyisihan kerugian kredit ekspektasian tersebut di 
atas cukup untuk menutup kemungkinan kerugian 
atas menurunnya nilai piutang usaha.</t>
  </si>
  <si>
    <t>4 koma 2 persen sampai 6 koma 95 persen</t>
  </si>
  <si>
    <t>31 Januari 2025 sampai 24 Januari 2028</t>
  </si>
  <si>
    <t>6 koma 48 persen</t>
  </si>
  <si>
    <t>PT Sinoma Development Indonesia</t>
  </si>
  <si>
    <t>PT Sumaterasarana Sekar Sakti</t>
  </si>
  <si>
    <t>20 Februari 2025</t>
  </si>
  <si>
    <t>PT Sinar Gemilang Perdana Mandiri</t>
  </si>
  <si>
    <t>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 jawab atas penilaian dalam menentukan kebijakan dan prosedur untuk pengukuran nilai wajar berulang, seperti nilai wajar (dikurangi biaya untuk menjual) unit penghasil kas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diatas.</t>
  </si>
  <si>
    <t>PT Bank OCBC NISP Tbk. - Pinjaman Kendaraan Berjangka
Pada tanggal 2 Desember 2015, ANP mendapatkan fasilitas kredit untuk pembiayaan konsumen dari PT Bank OCBC NISP Tbk. (OCBC) sebesar Rp100.000, disebut sebagai TL1 untuk pembelian kendaraan dengan jangka waktu pembiayaan 96 bulan sejak penerimaan fasilitas tersebut dan akan jatuh tempo pada tanggal 3 Maret 2025.
Pada tanggal 2 Agustus 2017, ANP mendapatkan fasilitas kredit untuk pembiayaan konsumen dari OCBC sebesar Rp100.000, disebut sebagai TL2 untuk pembelian kendaraan dengan jangka waktu pembiayaan 96 bulan sejak penerimaan fasilitas tersebut dan akan jatuh tempo pada tanggal 5 Februari 2026. Pinjaman ini telat dilunasi pada tanggal 3 Maret 2025. Pada tanggal 22 Mei 2018, ANP mendapatkan fasilitas kredit untuk pembiayaan konsumen dari OCBC sebesar Rp50.000, disebut sebagai TL3 untuk pembelian kendaraan dengan jangka waktu pembiayaan 96 bulan sejak penerimaan fasilitas tersebut dan akan jatuh tempo pada tanggal 20 Juni 2026. Pada tanggal 20 Oktober 2022, ANP mendapatkan fasilitas kredit untuk pembiayaan dari OCBC sebesar Rp80.000, disebut sebagai TL4 untuk pembelian kendaraan dengan jangka waktu pembiayaan 60 bulan sejak penerimaan fasilitas tersebut dan jangka waktu ketersediaan fasilitas TL4 diberikan selama 12 bulan sejak tanggal perjanjian.
Pada tanggal 20 Oktober 2025, fasilitas-fasilitas pinjaman tersebut diatas mengalami perubahan pinjaman menjadi 8,50persen (2024 8,50persen) per tahun.
Pada tanggal 20 Oktober 2025, perjanjian kredit mengalami perubahan di mana jangka waktu ketersediaan fasilitas kredit TL4 diberikan sampai dengan 20 Oktober 2026.
Fasilitas-fasilitas pinjaman tersebut di atas dijamin dengan 393 unit kendaraan truk yang dimiliki oleh Perusahaan.
Fasilitas pinjaman yang dimiliki mensyaratkan ANP harus mempertahankan pembatasan rasio keuangan tertentu yaitu rasio utang terhadap modal (maksimum  250persen  (2024  250persen)),  dan  rasio
cakupan utang (minimum 125persen (2024 125persen)).
Untuk  tahun  yang  berakhir  pada  tanggal 31 Desember 2025, ANP memenuhi persyaratan rasio-rasio keuangan tersebut.
Saldo pinjaman OCBC pada 31 Desember 2025 adalah sebesar Rp2.936 (2024 Rp19.661) dan biaya pinjaman yang telah diamortisasi sebesar Rp535 (2024 Rp514). Selama tahun 2025, ANP melakukan pembayaran sebesar Rp16.724 (2024 Rp24.980).
Pinjaman Sindikasi - Bangkok Bank Pada tanggal 14 Januari 2025, Perusahaan menandatangani perjanjian kredit sindikasi. Bangkok Bank Public Company Limited bertindak sebagai mandated lead arranger dan bookrunner, PT Bank Permata Tbk. dalam hal ini berperan sebagai agen, agen jaminan, dan bank rekening serta Bangkok Bank Public Company Limited dan Bangkok Bank Public Company Limited Singapore Branch sebagai kreditur.
Pada tanggal 10 Februari 2025, Perjanjian ini mengalami perubahan dengan penambahan kreditur PT Bank Permata Tbk. dan perubahan struktur fasilitas pinjaman.
Fasilitas pinjaman ini terdiri dari empat tranche sebagai berikut
1.	Tranche A - Pinjaman jangka panjang sebesar AS dolar 420.000.000 dengan jangka waktu pinjaman yaitu 84 bulan sejak tanggal penarikan pertama Tranche A dengan opsi perpanjangan jangka waktu kredit 24 bulan.
2.	Tranche B - Pinjaman jangka panjang Tranche B sebesar AS dolar 30.000.000, dengan jangka waktu pinjaman yaitu 72 bulan sejak tanggal Perjanjian Fasilitas.
3.	Tranche C - Fasilitas modal kerja kombinasi dengan nilai fasilitas sebesar AS dolar 22.000.000 dan Rp480.000 dengan jangka waktu 12 bulan sejak tanggal Perjanjian Fasilitas atau periode lain sesuai hasil tinjauan tahunan kreditur.
4.	Tranche D - Fasilitas lindung nilai dengan nilai total fasilitas sebesar AS dolar 550.000.000 dengan jangka waktu 12 bulan sejak tanggal Perjanjian Fasilitas atau periode lain sesuai hasil tinjauan tahunan kreditur.
Perusahaan harus mempertahankan pembatasan rasio keuangan tertentu selama masa pembiayaan, di antaranya rasio
-   Rasio  utang  bersih  terhadap  EBITDA
(maksimum 600persen pada 2025, 550persen pada
2026, 500persen pada 2027, 400persen pada 2028, dan
300persen	mulai	2029	dan	seterusnya) berdasarkan laporan entitas induk.
-	Rasio lancar (minimum 85persen pada 2025 hingga 2027, dan 100persen mulai 2028 dan seterusnya) berdasarkan laporan entitas induk.
-	Rasio utang terhadap ekuitas (maksimum 250persen) berdasarkan laporan entitas induk dan konsolidasian.
-	Rasio cakupan utang (minimum 100persen) berdasarkan laporan entitas induk.
-	Rasio cakupan modal kerja (minimum 85persen pada 2025 hingga 2027, dan 100persen mulai 2028 dan seterusnya) berdasarkan laporan entitas induk.
-	Utang bersih berbunga (maksimum 200persen) berdasarkan laporan CCC.
Untuk  tahun  yang  berakhir  pada  tanggal
31 Desember 2025, Perusahaan tidak memenuhi sebagian persyaratan rasio-rasio keuangan tersebut seperti, rasio keuangan atas Rasio Utang Bersih terhadap EBITDA, Rasio Lancar, Rasio Cakupan Modal Kerja, dan Rasio Utang terhadap Ekuitas Konsolidasian. Manajemen telah menerima surat persetujuan pengesampingan pembatasan rasio keuangan tersebut tertanggal 22 Desember 2025. Pinjaman ini dijamin dengan hak tanggungan atas tanah pabrik penggilingan Bengkulu, hak tanggungan atas tanah pabrik Bayah line 1 dan line 2, hak tanggungan atas tanah Bayah, fidusia atas persediaan, piutang, asuransi, mesin dan peralatan, gadai saham, jaminan korporasi, pengikatan rekening, serta hipotek atas kapal milik PT Terminal Mitra Gemilang. Fasilitas Tranche A akan jatuh tempo pada 27 Desember 2031 dan fasilitas Tranche B akan jatuh tempo pada 27 Desember 2030. Pada tanggal
31 Desember 2025, saldo atas pinjaman jangka panjang Bank Sindikasi tersebut adalah AS dolar 401 juta atau setara dengan Rp6.732.440. 
Pinjaman Sindikasi - PT Bank Negara Indonesia (Persero) Tbk.
Pada tanggal 21 Desember 2021, Perusahaan menandatangani perjanjian kredit sindikasi dengan PT Bank Negara Indonesia (Persero) Tbk. (selanjutnya disebut sebagai Bank Sindikasi) dengan fasilitas kredit maksimum sebesar AS dolar 385 juta atau setara dengan Rp5.542.761.
Perjanjian kredit sindikasi ini memiliki tujuan untuk membiayai kembali fasilitas kredit
-	Kredit Investasi 1 untuk pembiayaan kembali utang Bayah Line 1 sehubungan dengan fasilitas kredit sindikasi sebelumnya sebesar AS dolar 250 juta atau setara dengan Rp3.596.000.
-	Kredit Investasi 2 untuk pembiayaan kembali utang terhadap Sinoma International Engineering Co. Ltd. dan PT Sinoma Engineering Indonesia terkait dengan pembangunan Bayah jalur 2 dan Waste Heat Recovering System sebesar AS dolar 135 juta atau setara Rp1.946.761.
Pinjaman Sindikasi yang diperoleh Perusahaan pada tanggal 21 Desember 2021 dari Bank Sindikasi dengan perubahannya telah dilunasi pada tanggal 24 Januari 2025 sebesar AS dolar 272 juta atau setara dengan Rp4.397.427.
Pinjaman Sindikasi - Bank Permata
Fasilitas kredit ini dijamin dengan aset tetap Perusahaan meliputi tanah, bangunan, mesin dan peralatan pabrik Bayah jalur 1 dan 2 maupun aset lancar seperti piutang dan barang persediaan sehubungan dengan operasi pabrik. Fasilitas ini juga dijamin dengan jaminan pribadi dari Bapak Martua Sitorus sampai dengan selesainya pengikatan seluruh jaminan, jaminan perusahaan dan Letter of Undertaking dari WH Investment Pte. Ltd. sebagai entitas induk terakhir Perusahaan, gadai atas rekening penampungan dan fidusia atas pengalihan hasil pembayaran asuransi yang dijaminkan secara paripasu.
Perusahaan harus mempertahankan pembatasan rasio keuangan tertentu selama masa pembiayaan, di antaranya rasio
-	Rasio utang bersih terhadap EBITDA (maksimum 400persen di tahun 2023 dan 350persen di tahun 2024 dan setelahnya).
-	Rasio lancar (minimum 100persen).
-	Rasio utang terhadap modal (maksimum 250persen).
-	Rasio cakupan utang (minimum 120persen).
-	Rasio cakupan modal kerja (minimum 110persen).
Terdapat juga pembatasan rasio non-keuangan, yaitu Perusahaan tidak diperkenankan untuk melakukan amalgamasi, merger, pemisahan, konsolidasi, akuisisi dan rekonstruksi korporasi, kecuali jika telah mendapat surat pengesampingan atau telah memenuhi syarat tertentu.
Bunga pinjaman sebesar LIBOR (3 bulan) plus 3,29persen per tahun dan berjangka waktu sampai dengan 20 Desember 2026 dengan opsi tambahan jangka waktu kredit 24 bulan yang dapat diajukan oleh Perusahaan 6 bulan sebelum jangka waktu berakhir.
Perjanjian ini mengalami perubahan pada tanggal
5 Agustus 2022 dengan penambahan kreditur Bangkok Bank Public Company Limited, Cabang Singapura.
Pada tanggal 25 Juli 2023, terdapat perubahan bunga pinjaman menjadi sebesar Term SOFR (3 bulan) CAS 0,1persen plus Margin 2,54persen per tahun.
Pinjaman Sindikasi yang diperoleh Perusahaan pada tanggal 21 Desember 2021 dari Bank Sindikasi dengan perubahannya telah dilunasi pada tanggal 24 Januari 2025 sebesar AS dolar 272 juta atau setara dengan Rp4.397.427.
Bangkok Bank Public Company Limited (Singapore) - Pinjaman Akuisisi
Pada tanggal 30 Desember 2020, CI, entitas anak, menandatangani perjanjian kredit jangka panjang dengan Bangkok Bank Public Company Limited (Singapore) (Bangkok Bank) dengan nilai fasilitas kredit sebesar AS dolar 130 juta atau setara dengan Rp1.833.585 terkait akuisisi CVH. Bunga pinjaman adalah sebesar LIBOR plus 3persen per tahun. CI, telah melakukan penarikan penuh atas pinjaman tersebut pada tanggal 30 Desember 2020 sebesar AS dolar 130 juta.
Fasilitas kredit ini dijamin dengan jaminan perusahaan dari Aastar Trading Pte. Ltd., WH Investments Pte. Ltd. (WHI) dan Transglobal Pte. Ltd. Fasilitas ini juga dijamin dengan piutang CI dan Transglobal Pte. Ltd., jaminan pribadi dari Bapak Martua Sitorus serta saham CVH, CCC, Wilmar International Limited, Transglobal Pte. Ltd., dan perusahaan.
Fasilitas ini mensyaratkan WHI dan CCC, harus mempertahankan pembatasan rasio keuangan tertentu, yaitu total kekayaan bersih aset neto WHI (minimal AS dolar 300 juta), rasio kecukupan bunga CCC (tidak kurang dari 31) dan rasio utang kena bunga terhadap EBITDA CCC (tidak lebih dari 41), dan security coverage ratio tidak kurang dari 20persen.
Pinjaman ini terdiri dari dua fasilitas. Fasilitas A akan jatuh tempo pada Oktober 2026 dan fasilitas B akan jatuh tempo pada Juni 2026. Pada tanggal 28 Juni 2023 terdapat perubahan bunga pinjaman menjadi Term SOFR Loans plus 2,50persen plus Credit Adjustment Spread untuk tahun pertama sejak perubahan perjanjian kredit, kemudian setelah itu suku bunga kredit akan menjadi Term SOFR Loans
plus 3,00persen plus Credit Adjustment Spread per tahun.
Pinjaman telah dilunasi pada tanggal 24 Januari 2025.
PT Bank Permata Tbk. - Pinjaman Pembangkit Tenaga Listrik
Sehubungan dengan konstruksi pembangkit tenaga listrik di Bayah, pada tanggal 6 November 2015, Perusahaan, menandatangani perjanjian pinjaman dengan Akta Nomor 2, dengan Bangkok Bank Public Company Limited (Bangkok Bank) sebesar AS dolar 84.280.000 atau setara dengan Rp1.141.994. Pinjaman ini dijamin dengan hak tanah milik Perusahaan yang berlokasi di Darmasari, Bayah, dengan total nilai tanggungan sebesar Rp267.000, Mesin dan Peralatan milik Perusahaan yang berlokasi di Darmasari, Bayah, dengan total nilai fidusia AS dolar 93 juta, hak tanah yang berlokasi di Darmasari, Bayah, dengan nilai tanggungan Rp30.000, fidusia atas asuransi dengan nilai jaminan AS dolar 105 juta serta gadai atas rekening bank dan jaminan pribadi dari Bapak Ganda.
Masa tenggang kredit Bangkok Bank adalah 24 bulan sejak tanggal pencairan pertama dari pinjaman ini.
Fasilitas ini mensyaratkan Perusahaan harus mempertahankan pembatasan rasio keuangan tertentu mulai pada periode 31 Desember 2015, yaitu rasio utang terhadap modal (maksimum 300persen), rasio cakupan utang (minimum 100persen), dan rasio lancar (minimum 100persen). Selain itu terdapat juga pembatasan terkait restrukturisasi, perubahan pemegang saham, akuisisi dan perubahan anggaran dasar Perusahaan.
Pada tanggal 23 Oktober 2019, perjanjian kredit mengalami  perubahan  melalui  perjanjian No. 160 garis miring X garis miring 2019, di antaranya mengubah kewajiban Perusahaan dalam mempertahankan pembatasan rasio keuangan tertentu yang dimulai pada tahun 2022, diantaranya rasio utang terhadap modal (maksimum 300persen), rasio lancar (minimum 100persen), dan rasio cakupan utang (minimum 100persen).
Pada tanggal 1 Juli 2023 bunga pinjaman berubah menjadi CME Term SOFR (1 bulan) plus 0,1persen plus 3persen per tahun. Pada tanggal 18 Juli 2023 bunga pinjaman berubah menjadi CME Term SOFR (1 bulan) plus 2,75persen yang berlaku setahun.
Pinjaman ini pada tanggal 24 Januari 2025 memiliki saldo pinjaman RpNihil dan pada tanggal 30 Januari 2025 Fasilitas ini dinyatakan lunas oleh PT Bank Permata Tbk.
PT Bank Permata Tbk. - Pinjaman Pabrik Pengepakan
Pada tanggal 31 Januari 2024, Perusahaan dan PT Bank Permata Tbk. menandatangani Akta Perubahan Kedua Perjanjian Pemberian Fasilitas Perbankan Nomor 18 dan Perubahan dan Pernyataan Kembali Syarat dan Ketentuan Umum Pemberian	Fasilitas	Perbankan No.0170 garis miring SKU garis miring AMD garis miring I garis miring 2024 garis miring CG9.
PT Bank Permata Tbk. memberikan fasilitas baru yaitu Fasilitas Term Loan-2 kepada Perusahaan sebesar AS dolar 12.000.000 atau setara dengan Rp194 miliar dengan jangka waktu 4 tahun sejak penarikan pertama, termasuk grace period 1 tahun dengan suku bunga 8persen untuk penarikan dalam Rupiah dan suku bunga Term SOFR 1M plus 2,75persen untuk penarikan dalam mata uang AS dolar  dan bertujuan untuk pembiayaan pembangunan packing plant di Dumai, Riau.
Fasilitas Term Loan 2 dijamin dengan aset tetap berupa tanah dan bangunan Perusahaan yaitu SHGB 03056 garis miring Sumber Jaya dan SHGB 03057 garis miring Sumber Jaya, yang akan diikat dengan Hak Tanggungan peringkat pertama sebesar Rp40 miliar, mesin, peralatan pabrik Perusahaan di Bengkulu dengan nilai penjaminan sebesar Rp150 miliar dan, jaminan tagihan asuransi dan jaminan gadai rekening, jaminan pribadi dari Bapak Ganda.
Pinjaman ini pada tanggal 24 Januari 2025 memiliki saldo pinjaman RpNihil dan pada tanggal 30 Januari 2025 Fasilitas ini dinyatakan lunas oleh PT Bank Permata Tbk.
Bangkok Bank Public Company Limited - Hanoi City Branch - Peningkatan sistem siklon dan sistem kalsiner
Pada tanggal 15 April 2022, CCC menandatangani perjanjian kredit jangka menengah dengan Bangkok Bank PCL - Hanoi City Branch (BKK-HN) dengan fasilitas kredit sebesar VND125.000 juta atau setara dengan Rp79.125 terkait dengan peningkatan sistem siklon dan sistem kalsiner.
Fasilitas pinjaman dijamin dengan aset tetap yang di biayai oleh pinjaman jangka menengah ini. Fasilitas pinjaman ini akan jatuh tempo pada 31 Mei 2027, dan tingkat  suku  bunga  yang  berlaku  pada 31 Desember 2025 adalah 8,15persen per tahun.
Selama periode 31 Desember 2025, CCC telah melakukan pembayaran sebesar VND27.778 juta atau setara dengan Rp17.777.
Pada tanggal 31 Desember 2025, saldo kredit pinjaman Bank BKK-HN adalah sebesar Rp26.667 (2024 Rp44.097).
Joint Stock Commercial Bank for Foreign Trade of Vietnam - Obligasi
Pada tanggal 24 September 2021, CCC, menerbitkan 400 obligasi yang dijaminkan dengan hak guna tanah dan bangunan, peralatan dan mesin, kendaraan, hak milik dan kontraktual serta aset bergerak lainnya pada aset production Line 2 Perusahaan sebesar VND1.000 juta setiap obligasi
atau setara dengan Rp465, yang jatuh tempo pada tahun 2026.
Joint Stock Commercial Bank for Foreign Trade of Vietnam (JSCBFTV) bertindak sebagai wali amanat sehubungan dengan penerbitan obligasi.
Dana yang diperoleh dari obligasi, hanya dapat dipergunakan oleh CCC untuk kepentingan restrukturisasi utang dan meningkatkan modal kerja.
Tingkat suku bunga efektif untuk tahun 2025 dan 2024 masing-masing adalah sebesar 6,6persen dan
6,6persen per tahun.
Pada tanggal 31 Desember 2025, saldo pinjaman JSCBFTV bank sebesar VNDNihil atau setara dengan RpNihil (2024 Rp126.830). Pinjaman tersebut telah dilunasi seluruhnya pada tahun 2025.</t>
  </si>
  <si>
    <t>6 koma 60 persen sampai 7 koma 75 persen</t>
  </si>
  <si>
    <t>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dari keuntungan dan kerugian aktuaria, diakui segera dalam laporan posisi keuangan konsolidasian dengan sesuai debit atau kredit ke saldo laba melalui pendapatan komprehensif lainnya dalam periode dimana terjadinya. Pengukuran ulang tidak direklasifikasi ke laba rugi dalam periode berikutnya.Biaya jasa lalu harus diakui sebagai beban pada saat yang lebih awal antara:
i)	Ketika program amandemen atau kurtailmen terjadi; dan
ii)	Ketika entitas mengakui biaya restrukturisasi atau imbalan terminasi terkait. Bunga neto dihitung dengan menerapkan tingkat diskon kewajiban manfaat karyawan neto. Grup mengakui perubahan berikut di kewajiban manfaat karyawan neto dalam laba rugi:
i)	Biaya jasa terdiri dari biaya jasa kini, biaya jasa lalu, keuntungan dan kerugian pada curtailments dan pembayaran non-rutin, dan
ii)	Beban atau pendapatan bunga neto.</t>
  </si>
  <si>
    <t>31 Mei 2027</t>
  </si>
  <si>
    <t>7 koma 09 persen</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</si>
  <si>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pinjaman.Sehubungan dengan pembelian bahan baku, biaya perolehan awal persediaan termasuk pengalihan keuntungan dan kerugian atas lindung nilai arus kas kualifikasian, diakui dalam PKL.Grup menetapkan penyisihan untuk nilai realisasi neto persediaan berdasarkan hasil penelaahan berkala atas kondisi fisik dan nilai realisasi neto persediaan.</t>
  </si>
  <si>
    <t>5 koma 5 persen</t>
  </si>
  <si>
    <t>19 Oktober 2026</t>
  </si>
  <si>
    <t>5 koma 50 persen</t>
  </si>
  <si>
    <t>Karyawan (termasuk eksekutif senior) Grup menerima imbalan dalam bentuk kompensasi berbasis saham, di mana masa kerja karyawan dijadikan sebagai pertimbangan untuk instrumen ekuitas (transaksi ekuitas- diselesaikan). Transaksi yang diselesaikan dengan ekuitas Biaya transaksi yang diselesaikan dengan ekuitas ditentukan oleh nilai wajar pada tanggal ketika hibah dibuat menggunakan model penilaian yang sesuai.ya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tersebut.Kondisi layanan dan kinerja non-pasar tidak diperhitungkan saat menentukan nilai wajar tanggal pemberian penghargaan, tetapi kemungkinan kondisi terpenuhi dinilai sebagai bagian dari estimasi terbaik Grup atas jumlah instrumen ekuitas yang pada akhirnya akan menjadi hak. Kondisi kinerja pasar tercermin dalam nilai wajar tanggal pemberian. Setiap kondisi lain yang melekat pada penghargaan, tetapi tanpa persyaratan layanan terkait, dianggap sebagai kondisi non-vesting. Kondisi non-vesting tercermin dalam nilai wajar penghargaan dan mengarah pada pengeluaran langsung penghargaan kecuali ada juga layanan dan/atau kondisi kinerja.Tidak ada beban yang diakui untuk penghargaan yang pada akhirnya tidak diberikan karena advance kinerja bukan pasar dan/atau kondisi layanan belum dipenuhi. Jika penghargaan termasuk kondisi pasar atau non- vesting, transaksi diperlakukan sebagai vested terlepas dari apakah kondisi pasar atau non- vesting dipenuhi, asalkan semua kinerja dan/atau kondisi layanan lainnya dipenuhi.Ketika ketentuan penghargaan ekuitas- 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rugi.fek dilutif dari kompensasi berbasis saham tercermin sebagai dilusi saham tambahan dalam perhitungan rugi per saham dilusian.</t>
  </si>
  <si>
    <t>mengasuransikan aset tetap, kecuali tanah, 
terhadap risiko kebakaran dan risiko lainnya dengan 
nilai pertanggungan masing-masing sebesar 
Rp12.411.797 dan Rp12.264.397 pada tanggal  
31 Desember 2025 dan 2024, yang menurut 
pendapat manajemen cukup untuk menutup 
kemungkinan kerugian atas risiko tersebut. Aset sewa pembiayaan diasuransikan dengan 
jumlah pertanggungan sesuai dengan nilai pasar 
aset tersebut. Manajemen berpendapat bahwa tidak ada indikasi 
penurunan nilai pada aset tetap yang disajikan 
dalam laporan konsolidasi posisi keuangan pada 
tanggal 31 Desember 2025. Hak atas tanah Grup berupa Sertifikat Hak Guna 
Bangunan () yang memiliki masa berlaku 
antara tahun 2018 hingga 2050. Manajemen 
berpendapat bahwa SHGB tersebut dapat 
diperpanjang. Pada tanggal 31 Desember 2025 dan 2024, aset 
tetap tertentu dijadikan jaminan atas pinjaman bank. Sejumlah kendaraan dan alat berat dijaminkan atas 
sewa pembiayaan dan utang pembiayaan 
konsumen. Pada tanggal 31 Desember 2025, harga perolehan 
aset tetap Grup yang telah disusutkan penuh tetapi 
masih digunakan adalah senilai Rp2.280.351 (2024: 
Rp2.294.343).Per tanggal 31 Desember 2025 dan 2024, tidak 
terdapat jumlah tercatat aset tetap yang tidak 
dipakai sementara.</t>
  </si>
  <si>
    <t>PT Tirta Permai Bahari</t>
  </si>
  <si>
    <t>20 Desember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</si>
</sst>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2847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562778.0</v>
      </c>
      <c r="C8" s="38" t="n">
        <v>640498.0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1624.0</v>
      </c>
      <c r="C11" s="38" t="n">
        <v>8298.0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0.0</v>
      </c>
      <c r="C17" s="38" t="n">
        <v>17312.0</v>
      </c>
      <c r="D17" s="39" t="s">
        <v>440</v>
      </c>
    </row>
    <row r="18" spans="1:4" ht="15.75" thickBot="1">
      <c r="A18" s="40" t="s">
        <v>441</v>
      </c>
      <c r="B18" s="33"/>
      <c r="C18" s="33"/>
      <c r="D18" s="34" t="s">
        <v>442</v>
      </c>
    </row>
    <row r="19" spans="1:4" ht="15.75" thickBot="1">
      <c r="A19" s="41" t="s">
        <v>443</v>
      </c>
      <c r="B19" s="38" t="n">
        <v>642424.0</v>
      </c>
      <c r="C19" s="38" t="n">
        <v>707680.0</v>
      </c>
      <c r="D19" s="39" t="s">
        <v>444</v>
      </c>
    </row>
    <row r="20" spans="1:4" ht="15.75" thickBot="1">
      <c r="A20" s="41" t="s">
        <v>445</v>
      </c>
      <c r="B20" s="38" t="n">
        <v>14858.0</v>
      </c>
      <c r="C20" s="38" t="n">
        <v>6684.0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143795.0</v>
      </c>
      <c r="C37" s="38" t="n">
        <v>92079.0</v>
      </c>
      <c r="D37" s="39" t="s">
        <v>480</v>
      </c>
    </row>
    <row r="38" spans="1:4" ht="15.75" thickBot="1">
      <c r="A38" s="41" t="s">
        <v>481</v>
      </c>
      <c r="B38" s="38" t="n">
        <v>77764.0</v>
      </c>
      <c r="C38" s="38" t="n">
        <v>95890.0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1646043.0</v>
      </c>
      <c r="C42" s="38" t="n">
        <v>1760034.0</v>
      </c>
      <c r="D42" s="39" t="s">
        <v>484</v>
      </c>
    </row>
    <row r="43" spans="1:4" ht="15.75" thickBot="1">
      <c r="A43" s="37" t="s">
        <v>489</v>
      </c>
      <c r="B43" s="38"/>
      <c r="C43" s="38"/>
      <c r="D43" s="39" t="s">
        <v>490</v>
      </c>
    </row>
    <row r="44" spans="1:4" ht="15.75" thickBot="1">
      <c r="A44" s="37" t="s">
        <v>491</v>
      </c>
      <c r="B44" s="38" t="n">
        <v>90304.0</v>
      </c>
      <c r="C44" s="38" t="n">
        <v>74455.0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43469.0</v>
      </c>
      <c r="C50" s="38" t="n">
        <v>17086.0</v>
      </c>
      <c r="D50" s="39" t="s">
        <v>504</v>
      </c>
    </row>
    <row r="51" spans="1:4" ht="26.25" thickBot="1">
      <c r="A51" s="37" t="s">
        <v>505</v>
      </c>
      <c r="B51" s="38" t="n">
        <v>2192.0</v>
      </c>
      <c r="C51" s="38" t="n">
        <v>10486.0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13932.0</v>
      </c>
      <c r="C54" s="38"/>
      <c r="D54" s="39" t="s">
        <v>512</v>
      </c>
    </row>
    <row r="55" spans="1:4" ht="15.75" thickBot="1">
      <c r="A55" s="37" t="s">
        <v>513</v>
      </c>
      <c r="B55" s="38"/>
      <c r="C55" s="38"/>
      <c r="D55" s="39" t="s">
        <v>514</v>
      </c>
    </row>
    <row r="56" spans="1:4" ht="39" thickBot="1">
      <c r="A56" s="37" t="s">
        <v>515</v>
      </c>
      <c r="B56" s="38" t="n">
        <v>399.0</v>
      </c>
      <c r="C56" s="38" t="n">
        <v>18833.0</v>
      </c>
      <c r="D56" s="39" t="s">
        <v>516</v>
      </c>
    </row>
    <row r="57" spans="1:4" ht="51.75" thickBot="1">
      <c r="A57" s="37" t="s">
        <v>517</v>
      </c>
      <c r="B57" s="38"/>
      <c r="C57" s="38"/>
      <c r="D57" s="39" t="s">
        <v>518</v>
      </c>
    </row>
    <row r="58" spans="1:4" ht="15.75" thickBot="1">
      <c r="A58" s="40" t="s">
        <v>519</v>
      </c>
      <c r="B58" s="42" t="n">
        <v>3239582.0</v>
      </c>
      <c r="C58" s="42" t="n">
        <v>3449335.0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5283.0</v>
      </c>
      <c r="C74" s="38" t="n">
        <v>40421.0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3812.0</v>
      </c>
      <c r="C88" s="38" t="n">
        <v>2651.0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1.2936984E7</v>
      </c>
      <c r="C105" s="38" t="n">
        <v>1.3299433E7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60248.0</v>
      </c>
      <c r="C121" s="38" t="n">
        <v>71166.0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274456.0</v>
      </c>
      <c r="C126" s="38" t="n">
        <v>241342.0</v>
      </c>
      <c r="D126" s="39" t="s">
        <v>654</v>
      </c>
    </row>
    <row r="127" spans="1:4" ht="15.75" thickBot="1">
      <c r="A127" s="40" t="s">
        <v>655</v>
      </c>
      <c r="B127" s="42" t="n">
        <v>1.3280783E7</v>
      </c>
      <c r="C127" s="42" t="n">
        <v>1.3655013E7</v>
      </c>
      <c r="D127" s="34" t="s">
        <v>656</v>
      </c>
    </row>
    <row r="128" spans="1:4" ht="15.75" thickBot="1">
      <c r="A128" s="36" t="s">
        <v>657</v>
      </c>
      <c r="B128" s="42" t="n">
        <v>1.6520365E7</v>
      </c>
      <c r="C128" s="42" t="n">
        <v>1.7104348E7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1723971.0</v>
      </c>
      <c r="C132" s="38" t="n">
        <v>2156756.0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783489.0</v>
      </c>
      <c r="C135" s="38" t="n">
        <v>1104046.0</v>
      </c>
      <c r="D135" s="39" t="s">
        <v>672</v>
      </c>
    </row>
    <row r="136" spans="1:4" ht="15.75" thickBot="1">
      <c r="A136" s="44" t="s">
        <v>673</v>
      </c>
      <c r="B136" s="38" t="n">
        <v>922990.0</v>
      </c>
      <c r="C136" s="38" t="n">
        <v>834904.0</v>
      </c>
      <c r="D136" s="39" t="s">
        <v>674</v>
      </c>
    </row>
    <row r="137" spans="1:4" ht="15.75" thickBot="1">
      <c r="A137" s="43" t="s">
        <v>675</v>
      </c>
      <c r="B137" s="33"/>
      <c r="C137" s="33"/>
      <c r="D137" s="34" t="s">
        <v>676</v>
      </c>
    </row>
    <row r="138" spans="1:4" ht="15.75" thickBot="1">
      <c r="A138" s="44" t="s">
        <v>677</v>
      </c>
      <c r="B138" s="38" t="n">
        <v>273368.0</v>
      </c>
      <c r="C138" s="38" t="n">
        <v>305554.0</v>
      </c>
      <c r="D138" s="39" t="s">
        <v>678</v>
      </c>
    </row>
    <row r="139" spans="1:4" ht="15.75" thickBot="1">
      <c r="A139" s="44" t="s">
        <v>679</v>
      </c>
      <c r="B139" s="38" t="n">
        <v>176428.0</v>
      </c>
      <c r="C139" s="38" t="n">
        <v>172615.0</v>
      </c>
      <c r="D139" s="39" t="s">
        <v>680</v>
      </c>
    </row>
    <row r="140" spans="1:4" ht="26.25" thickBot="1">
      <c r="A140" s="43" t="s">
        <v>681</v>
      </c>
      <c r="B140" s="33"/>
      <c r="C140" s="33"/>
      <c r="D140" s="34" t="s">
        <v>682</v>
      </c>
    </row>
    <row r="141" spans="1:4" ht="26.25" thickBot="1">
      <c r="A141" s="44" t="s">
        <v>683</v>
      </c>
      <c r="B141" s="38"/>
      <c r="C141" s="38" t="n">
        <v>214857.0</v>
      </c>
      <c r="D141" s="39" t="s">
        <v>684</v>
      </c>
    </row>
    <row r="142" spans="1:4" ht="26.25" thickBot="1">
      <c r="A142" s="44" t="s">
        <v>685</v>
      </c>
      <c r="B142" s="38"/>
      <c r="C142" s="38" t="n">
        <v>1444757.0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262189.0</v>
      </c>
      <c r="C145" s="38" t="n">
        <v>372983.0</v>
      </c>
      <c r="D145" s="39" t="s">
        <v>692</v>
      </c>
    </row>
    <row r="146" spans="1:4" ht="26.25" thickBot="1">
      <c r="A146" s="41" t="s">
        <v>693</v>
      </c>
      <c r="B146" s="38" t="n">
        <v>37477.0</v>
      </c>
      <c r="C146" s="38" t="n">
        <v>33334.0</v>
      </c>
      <c r="D146" s="39" t="s">
        <v>694</v>
      </c>
    </row>
    <row r="147" spans="1:4" ht="15.75" thickBot="1">
      <c r="A147" s="41" t="s">
        <v>695</v>
      </c>
      <c r="B147" s="38" t="n">
        <v>28480.0</v>
      </c>
      <c r="C147" s="38" t="n">
        <v>20807.0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1527100.0</v>
      </c>
      <c r="C171" s="38" t="n">
        <v>1659614.0</v>
      </c>
      <c r="D171" s="39" t="s">
        <v>744</v>
      </c>
    </row>
    <row r="172" spans="1:4" ht="90" thickBot="1">
      <c r="A172" s="41" t="s">
        <v>745</v>
      </c>
      <c r="B172" s="38"/>
      <c r="C172" s="38" t="n">
        <v>0.0</v>
      </c>
      <c r="D172" s="39" t="s">
        <v>746</v>
      </c>
    </row>
    <row r="173" spans="1:4" ht="39" thickBot="1">
      <c r="A173" s="43" t="s">
        <v>747</v>
      </c>
      <c r="B173" s="33"/>
      <c r="C173" s="33"/>
      <c r="D173" s="34" t="s">
        <v>748</v>
      </c>
    </row>
    <row r="174" spans="1:4" ht="39" thickBot="1">
      <c r="A174" s="44" t="s">
        <v>749</v>
      </c>
      <c r="B174" s="38" t="n">
        <v>594793.0</v>
      </c>
      <c r="C174" s="38" t="n">
        <v>1779720.0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3807.0</v>
      </c>
      <c r="C183" s="38" t="n">
        <v>1649.0</v>
      </c>
      <c r="D183" s="39" t="s">
        <v>768</v>
      </c>
    </row>
    <row r="184" spans="1:4" ht="51.75" thickBot="1">
      <c r="A184" s="44" t="s">
        <v>769</v>
      </c>
      <c r="B184" s="38" t="n">
        <v>63150.0</v>
      </c>
      <c r="C184" s="38" t="n">
        <v>62379.0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265800.0</v>
      </c>
      <c r="C193" s="38" t="n">
        <v>287640.0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23362.0</v>
      </c>
      <c r="C197" s="38"/>
      <c r="D197" s="39" t="s">
        <v>796</v>
      </c>
    </row>
    <row r="198" spans="1:4" ht="26.25" thickBot="1">
      <c r="A198" s="43" t="s">
        <v>797</v>
      </c>
      <c r="B198" s="42" t="n">
        <v>6686404.0</v>
      </c>
      <c r="C198" s="42" t="n">
        <v>8792001.0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526914.0</v>
      </c>
      <c r="C201" s="38" t="n">
        <v>523944.0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6109168.0</v>
      </c>
      <c r="C206" s="38" t="n">
        <v>4389195.0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3893.0</v>
      </c>
      <c r="C215" s="38" t="n">
        <v>1369.0</v>
      </c>
      <c r="D215" s="39" t="s">
        <v>832</v>
      </c>
    </row>
    <row r="216" spans="1:4" ht="26.25" thickBot="1">
      <c r="A216" s="44" t="s">
        <v>833</v>
      </c>
      <c r="B216" s="38" t="n">
        <v>137202.0</v>
      </c>
      <c r="C216" s="38" t="n">
        <v>143938.0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12562.0</v>
      </c>
      <c r="C239" s="38" t="n">
        <v>12108.0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123202.0</v>
      </c>
      <c r="C242" s="38" t="n">
        <v>90665.0</v>
      </c>
      <c r="D242" s="39" t="s">
        <v>886</v>
      </c>
    </row>
    <row r="243" spans="1:4" ht="26.25" thickBot="1">
      <c r="A243" s="41" t="s">
        <v>887</v>
      </c>
      <c r="B243" s="38"/>
      <c r="C243" s="38"/>
      <c r="D243" s="39" t="s">
        <v>888</v>
      </c>
    </row>
    <row r="244" spans="1:4" ht="26.25" thickBot="1">
      <c r="A244" s="41" t="s">
        <v>889</v>
      </c>
      <c r="B244" s="38" t="n">
        <v>1.0</v>
      </c>
      <c r="C244" s="38" t="n">
        <v>1.0</v>
      </c>
      <c r="D244" s="39" t="s">
        <v>890</v>
      </c>
    </row>
    <row r="245" spans="1:4" ht="26.25" thickBot="1">
      <c r="A245" s="41" t="s">
        <v>891</v>
      </c>
      <c r="B245" s="38"/>
      <c r="C245" s="38"/>
      <c r="D245" s="39" t="s">
        <v>892</v>
      </c>
    </row>
    <row r="246" spans="1:4" ht="26.25" thickBot="1">
      <c r="A246" s="43" t="s">
        <v>893</v>
      </c>
      <c r="B246" s="42" t="n">
        <v>6912942.0</v>
      </c>
      <c r="C246" s="42" t="n">
        <v>5161220.0</v>
      </c>
      <c r="D246" s="34" t="s">
        <v>894</v>
      </c>
    </row>
    <row r="247" spans="1:4" ht="15.75" thickBot="1">
      <c r="A247" s="40" t="s">
        <v>895</v>
      </c>
      <c r="B247" s="42" t="n">
        <v>1.3599346E7</v>
      </c>
      <c r="C247" s="42" t="n">
        <v>1.3953221E7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8562752.0</v>
      </c>
      <c r="C250" s="38" t="n">
        <v>8562752.0</v>
      </c>
      <c r="D250" s="39" t="s">
        <v>902</v>
      </c>
    </row>
    <row r="251" spans="1:4" ht="15.75" thickBot="1">
      <c r="A251" s="41" t="s">
        <v>903</v>
      </c>
      <c r="B251" s="38"/>
      <c r="C251" s="38"/>
      <c r="D251" s="39" t="s">
        <v>904</v>
      </c>
    </row>
    <row r="252" spans="1:4" ht="15.75" thickBot="1">
      <c r="A252" s="41" t="s">
        <v>905</v>
      </c>
      <c r="B252" s="38" t="n">
        <v>-1653900.0</v>
      </c>
      <c r="C252" s="38" t="n">
        <v>-1653900.0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-543441.0</v>
      </c>
      <c r="C257" s="38" t="n">
        <v>-463021.0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11054.0</v>
      </c>
      <c r="C263" s="38" t="n">
        <v>11054.0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-3778679.0</v>
      </c>
      <c r="C268" s="38" t="n">
        <v>-3626884.0</v>
      </c>
      <c r="D268" s="39" t="s">
        <v>938</v>
      </c>
    </row>
    <row r="269" spans="1:4" ht="39" thickBot="1">
      <c r="A269" s="43" t="s">
        <v>939</v>
      </c>
      <c r="B269" s="42" t="n">
        <v>2597786.0</v>
      </c>
      <c r="C269" s="42" t="n">
        <v>2830001.0</v>
      </c>
      <c r="D269" s="34" t="s">
        <v>940</v>
      </c>
    </row>
    <row r="270" spans="1:4" ht="15.75" thickBot="1">
      <c r="A270" s="37" t="s">
        <v>941</v>
      </c>
      <c r="B270" s="38"/>
      <c r="C270" s="38"/>
      <c r="D270" s="39" t="s">
        <v>942</v>
      </c>
    </row>
    <row r="271" spans="1:4" ht="15.75" thickBot="1">
      <c r="A271" s="37" t="s">
        <v>943</v>
      </c>
      <c r="B271" s="38" t="n">
        <v>323233.0</v>
      </c>
      <c r="C271" s="38" t="n">
        <v>321126.0</v>
      </c>
      <c r="D271" s="39" t="s">
        <v>944</v>
      </c>
    </row>
    <row r="272" spans="1:4" ht="15.75" thickBot="1">
      <c r="A272" s="40" t="s">
        <v>945</v>
      </c>
      <c r="B272" s="42" t="n">
        <v>2921019.0</v>
      </c>
      <c r="C272" s="42" t="n">
        <v>3151127.0</v>
      </c>
      <c r="D272" s="34" t="s">
        <v>946</v>
      </c>
    </row>
    <row r="273" spans="1:4" ht="15.75" thickBot="1">
      <c r="A273" s="36" t="s">
        <v>947</v>
      </c>
      <c r="B273" s="42" t="n">
        <v>1.6520365E7</v>
      </c>
      <c r="C273" s="42" t="n">
        <v>1.7104348E7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8976099.0</v>
      </c>
      <c r="C6" s="72" t="n">
        <v>8857280.0</v>
      </c>
      <c r="D6" s="73" t="s">
        <v>1092</v>
      </c>
    </row>
    <row r="7" spans="1:4" ht="15.75" thickBot="1">
      <c r="A7" s="71" t="s">
        <v>1093</v>
      </c>
      <c r="B7" s="74" t="n">
        <v>7029056.0</v>
      </c>
      <c r="C7" s="74" t="n">
        <v>7108519.0</v>
      </c>
      <c r="D7" s="73" t="s">
        <v>1094</v>
      </c>
    </row>
    <row r="8" spans="1:4" ht="15.75" thickBot="1">
      <c r="A8" s="75" t="s">
        <v>1095</v>
      </c>
      <c r="B8" s="76" t="n">
        <v>1947043.0</v>
      </c>
      <c r="C8" s="76" t="n">
        <v>1748761.0</v>
      </c>
      <c r="D8" s="70" t="s">
        <v>1096</v>
      </c>
    </row>
    <row r="9" spans="1:4" ht="15.75" thickBot="1">
      <c r="A9" s="71" t="s">
        <v>1097</v>
      </c>
      <c r="B9" s="74" t="n">
        <v>730438.0</v>
      </c>
      <c r="C9" s="74" t="n">
        <v>996527.0</v>
      </c>
      <c r="D9" s="73" t="s">
        <v>1098</v>
      </c>
    </row>
    <row r="10" spans="1:4" ht="15.75" thickBot="1">
      <c r="A10" s="71" t="s">
        <v>1099</v>
      </c>
      <c r="B10" s="74" t="n">
        <v>397969.0</v>
      </c>
      <c r="C10" s="74" t="n">
        <v>369368.0</v>
      </c>
      <c r="D10" s="73" t="s">
        <v>1100</v>
      </c>
    </row>
    <row r="11" spans="1:4" ht="15.75" thickBot="1">
      <c r="A11" s="71" t="s">
        <v>1101</v>
      </c>
      <c r="B11" s="72" t="n">
        <v>41714.0</v>
      </c>
      <c r="C11" s="72" t="n">
        <v>19042.0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655550.0</v>
      </c>
      <c r="C15" s="74" t="n">
        <v>712032.0</v>
      </c>
      <c r="D15" s="73" t="s">
        <v>1110</v>
      </c>
    </row>
    <row r="16" spans="1:4" ht="26.25" thickBot="1">
      <c r="A16" s="71" t="s">
        <v>1111</v>
      </c>
      <c r="B16" s="72" t="n">
        <v>-218225.0</v>
      </c>
      <c r="C16" s="72" t="n">
        <v>-239763.0</v>
      </c>
      <c r="D16" s="73" t="s">
        <v>1112</v>
      </c>
    </row>
    <row r="17" spans="1:4" ht="39" thickBot="1">
      <c r="A17" s="71" t="s">
        <v>1113</v>
      </c>
      <c r="B17" s="72" t="n">
        <v>-30409.0</v>
      </c>
      <c r="C17" s="72" t="n">
        <v>-30998.0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33316.0</v>
      </c>
      <c r="D23" s="73" t="s">
        <v>1126</v>
      </c>
    </row>
    <row r="24" spans="1:4" ht="15.75" thickBot="1">
      <c r="A24" s="71" t="s">
        <v>1127</v>
      </c>
      <c r="B24" s="74" t="n">
        <v>79868.0</v>
      </c>
      <c r="C24" s="74" t="n">
        <v>0.0</v>
      </c>
      <c r="D24" s="73" t="s">
        <v>1128</v>
      </c>
    </row>
    <row r="25" spans="1:4" ht="15.75" thickBot="1">
      <c r="A25" s="71" t="s">
        <v>1129</v>
      </c>
      <c r="B25" s="72"/>
      <c r="C25" s="72"/>
      <c r="D25" s="73" t="s">
        <v>1130</v>
      </c>
    </row>
    <row r="26" spans="1:4" ht="26.25" thickBot="1">
      <c r="A26" s="75" t="s">
        <v>1131</v>
      </c>
      <c r="B26" s="76" t="n">
        <v>-123702.0</v>
      </c>
      <c r="C26" s="76" t="n">
        <v>-547569.0</v>
      </c>
      <c r="D26" s="70" t="s">
        <v>1132</v>
      </c>
    </row>
    <row r="27" spans="1:4" ht="15.75" thickBot="1">
      <c r="A27" s="71" t="s">
        <v>1133</v>
      </c>
      <c r="B27" s="72" t="n">
        <v>-22220.0</v>
      </c>
      <c r="C27" s="72" t="n">
        <v>-156624.0</v>
      </c>
      <c r="D27" s="73" t="s">
        <v>1134</v>
      </c>
    </row>
    <row r="28" spans="1:4" ht="26.25" thickBot="1">
      <c r="A28" s="75" t="s">
        <v>1135</v>
      </c>
      <c r="B28" s="76" t="n">
        <v>-145922.0</v>
      </c>
      <c r="C28" s="76" t="n">
        <v>-704193.0</v>
      </c>
      <c r="D28" s="70" t="s">
        <v>1136</v>
      </c>
    </row>
    <row r="29" spans="1:4" ht="15.75" thickBot="1">
      <c r="A29" s="71" t="s">
        <v>1137</v>
      </c>
      <c r="B29" s="72" t="n">
        <v>0.0</v>
      </c>
      <c r="C29" s="72" t="n">
        <v>0.0</v>
      </c>
      <c r="D29" s="73" t="s">
        <v>1138</v>
      </c>
    </row>
    <row r="30" spans="1:4" ht="15.75" thickBot="1">
      <c r="A30" s="75" t="s">
        <v>1139</v>
      </c>
      <c r="B30" s="76" t="n">
        <v>-145922.0</v>
      </c>
      <c r="C30" s="76" t="n">
        <v>-704193.0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-1486.0</v>
      </c>
      <c r="C34" s="72" t="n">
        <v>5566.0</v>
      </c>
      <c r="D34" s="73" t="s">
        <v>1148</v>
      </c>
    </row>
    <row r="35" spans="1:4" ht="51.75" thickBot="1">
      <c r="A35" s="78" t="s">
        <v>1149</v>
      </c>
      <c r="B35" s="72"/>
      <c r="C35" s="72"/>
      <c r="D35" s="73" t="s">
        <v>1150</v>
      </c>
    </row>
    <row r="36" spans="1:4" ht="51.75" thickBot="1">
      <c r="A36" s="79" t="s">
        <v>1151</v>
      </c>
      <c r="B36" s="76" t="n">
        <v>-1486.0</v>
      </c>
      <c r="C36" s="76" t="n">
        <v>5566.0</v>
      </c>
      <c r="D36" s="70" t="s">
        <v>1152</v>
      </c>
    </row>
    <row r="37" spans="1:4" ht="39" thickBot="1">
      <c r="A37" s="77" t="s">
        <v>1153</v>
      </c>
      <c r="B37" s="69"/>
      <c r="C37" s="69"/>
      <c r="D37" s="70" t="s">
        <v>1154</v>
      </c>
    </row>
    <row r="38" spans="1:4" ht="26.25" thickBot="1">
      <c r="A38" s="78" t="s">
        <v>1155</v>
      </c>
      <c r="B38" s="72" t="n">
        <v>-80420.0</v>
      </c>
      <c r="C38" s="72" t="n">
        <v>-98846.0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t="n">
        <v>0.0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-80420.0</v>
      </c>
      <c r="C50" s="76" t="n">
        <v>-98846.0</v>
      </c>
      <c r="D50" s="70" t="s">
        <v>1180</v>
      </c>
    </row>
    <row r="51" spans="1:4" ht="39" thickBot="1">
      <c r="A51" s="77" t="s">
        <v>1181</v>
      </c>
      <c r="B51" s="76" t="n">
        <v>-81906.0</v>
      </c>
      <c r="C51" s="76" t="n">
        <v>-93280.0</v>
      </c>
      <c r="D51" s="70" t="s">
        <v>1182</v>
      </c>
    </row>
    <row r="52" spans="1:4" ht="15.75" thickBot="1">
      <c r="A52" s="75" t="s">
        <v>1183</v>
      </c>
      <c r="B52" s="76" t="n">
        <v>-227828.0</v>
      </c>
      <c r="C52" s="76" t="n">
        <v>-797473.0</v>
      </c>
      <c r="D52" s="70" t="s">
        <v>1184</v>
      </c>
    </row>
    <row r="53" spans="1:4" ht="15.75" thickBot="1">
      <c r="A53" s="75" t="s">
        <v>1185</v>
      </c>
      <c r="B53" s="69"/>
      <c r="C53" s="69"/>
      <c r="D53" s="70" t="s">
        <v>1186</v>
      </c>
    </row>
    <row r="54" spans="1:4" ht="26.25" thickBot="1">
      <c r="A54" s="80" t="s">
        <v>1187</v>
      </c>
      <c r="B54" s="72" t="n">
        <v>-150260.0</v>
      </c>
      <c r="C54" s="72" t="n">
        <v>-716258.0</v>
      </c>
      <c r="D54" s="73" t="s">
        <v>1188</v>
      </c>
    </row>
    <row r="55" spans="1:4" ht="26.25" thickBot="1">
      <c r="A55" s="80" t="s">
        <v>1189</v>
      </c>
      <c r="B55" s="72" t="n">
        <v>4338.0</v>
      </c>
      <c r="C55" s="72" t="n">
        <v>12065.0</v>
      </c>
      <c r="D55" s="73" t="s">
        <v>1190</v>
      </c>
    </row>
    <row r="56" spans="1:4" ht="26.25" thickBot="1">
      <c r="A56" s="75" t="s">
        <v>1191</v>
      </c>
      <c r="B56" s="69"/>
      <c r="C56" s="69"/>
      <c r="D56" s="70" t="s">
        <v>1192</v>
      </c>
    </row>
    <row r="57" spans="1:4" ht="26.25" thickBot="1">
      <c r="A57" s="80" t="s">
        <v>1193</v>
      </c>
      <c r="B57" s="72" t="n">
        <v>-232215.0</v>
      </c>
      <c r="C57" s="72" t="n">
        <v>-810000.0</v>
      </c>
      <c r="D57" s="73" t="s">
        <v>1194</v>
      </c>
    </row>
    <row r="58" spans="1:4" ht="39" thickBot="1">
      <c r="A58" s="80" t="s">
        <v>1195</v>
      </c>
      <c r="B58" s="72" t="n">
        <v>4387.0</v>
      </c>
      <c r="C58" s="72" t="n">
        <v>12527.0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-8.77E-6</v>
      </c>
      <c r="C61" s="81" t="n">
        <v>-4.182E-5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8562752.0</v>
      </c>
      <c r="C8" s="140"/>
      <c r="D8" s="140" t="n">
        <v>-1653900.0</v>
      </c>
      <c r="E8" s="140"/>
      <c r="F8" s="140"/>
      <c r="G8" s="140"/>
      <c r="H8" s="140"/>
      <c r="I8" s="140"/>
      <c r="J8" s="140" t="n">
        <v>-463021.0</v>
      </c>
      <c r="K8" s="140"/>
      <c r="L8" s="140"/>
      <c r="M8" s="140"/>
      <c r="N8" s="140"/>
      <c r="O8" s="140"/>
      <c r="P8" s="140" t="n">
        <v>11054.0</v>
      </c>
      <c r="Q8" s="140"/>
      <c r="R8" s="140"/>
      <c r="S8" s="140"/>
      <c r="T8" s="140"/>
      <c r="U8" s="140"/>
      <c r="V8" s="140"/>
      <c r="W8" s="140" t="n">
        <v>-3626884.0</v>
      </c>
      <c r="X8" s="141" t="n">
        <v>2830001.0</v>
      </c>
      <c r="Y8" s="140"/>
      <c r="Z8" s="140" t="n">
        <v>321126.0</v>
      </c>
      <c r="AA8" s="141" t="n">
        <v>3151127.0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8562752.0</v>
      </c>
      <c r="C14" s="141"/>
      <c r="D14" s="141" t="n">
        <v>-1653900.0</v>
      </c>
      <c r="E14" s="141"/>
      <c r="F14" s="141"/>
      <c r="G14" s="141"/>
      <c r="H14" s="141"/>
      <c r="I14" s="141"/>
      <c r="J14" s="141" t="n">
        <v>-463021.0</v>
      </c>
      <c r="K14" s="141"/>
      <c r="L14" s="141"/>
      <c r="M14" s="141"/>
      <c r="N14" s="141"/>
      <c r="O14" s="141"/>
      <c r="P14" s="141" t="n">
        <v>11054.0</v>
      </c>
      <c r="Q14" s="141"/>
      <c r="R14" s="141"/>
      <c r="S14" s="141"/>
      <c r="T14" s="141"/>
      <c r="U14" s="141"/>
      <c r="V14" s="141"/>
      <c r="W14" s="141" t="n">
        <v>-3626884.0</v>
      </c>
      <c r="X14" s="141" t="n">
        <v>2830001.0</v>
      </c>
      <c r="Y14" s="141"/>
      <c r="Z14" s="141" t="n">
        <v>321126.0</v>
      </c>
      <c r="AA14" s="141" t="n">
        <v>3151127.0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-150260.0</v>
      </c>
      <c r="X15" s="141" t="n">
        <v>-150260.0</v>
      </c>
      <c r="Y15" s="140"/>
      <c r="Z15" s="140" t="n">
        <v>4338.0</v>
      </c>
      <c r="AA15" s="141" t="n">
        <v>-145922.0</v>
      </c>
      <c r="AB15" s="142" t="s">
        <v>1330</v>
      </c>
    </row>
    <row r="16" spans="1:28" ht="15.75" thickBot="1">
      <c r="A16" s="139" t="s">
        <v>1331</v>
      </c>
      <c r="B16" s="140"/>
      <c r="C16" s="140"/>
      <c r="D16" s="140"/>
      <c r="E16" s="140"/>
      <c r="F16" s="140"/>
      <c r="G16" s="140"/>
      <c r="H16" s="140"/>
      <c r="I16" s="140"/>
      <c r="J16" s="140" t="n">
        <v>-80420.0</v>
      </c>
      <c r="K16" s="140"/>
      <c r="L16" s="140"/>
      <c r="M16" s="140"/>
      <c r="N16" s="140"/>
      <c r="O16" s="140"/>
      <c r="P16" s="140"/>
      <c r="Q16" s="140"/>
      <c r="R16" s="140"/>
      <c r="S16" s="140"/>
      <c r="T16" s="140"/>
      <c r="U16" s="140"/>
      <c r="V16" s="140"/>
      <c r="W16" s="140" t="n">
        <v>-1535.0</v>
      </c>
      <c r="X16" s="141" t="n">
        <v>-81955.0</v>
      </c>
      <c r="Y16" s="140"/>
      <c r="Z16" s="140" t="n">
        <v>49.0</v>
      </c>
      <c r="AA16" s="141" t="n">
        <v>-81906.0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2280.0</v>
      </c>
      <c r="AA19" s="145" t="n">
        <v>2280.0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8562752.0</v>
      </c>
      <c r="C42" s="141"/>
      <c r="D42" s="141" t="n">
        <v>-1653900.0</v>
      </c>
      <c r="E42" s="141"/>
      <c r="F42" s="141"/>
      <c r="G42" s="141"/>
      <c r="H42" s="141"/>
      <c r="I42" s="141"/>
      <c r="J42" s="141" t="n">
        <v>-543441.0</v>
      </c>
      <c r="K42" s="141"/>
      <c r="L42" s="141"/>
      <c r="M42" s="141"/>
      <c r="N42" s="141"/>
      <c r="O42" s="141"/>
      <c r="P42" s="141" t="n">
        <v>11054.0</v>
      </c>
      <c r="Q42" s="141"/>
      <c r="R42" s="141"/>
      <c r="S42" s="141"/>
      <c r="T42" s="141"/>
      <c r="U42" s="141"/>
      <c r="V42" s="141"/>
      <c r="W42" s="141" t="n">
        <v>-3778679.0</v>
      </c>
      <c r="X42" s="141" t="n">
        <v>2597786.0</v>
      </c>
      <c r="Y42" s="141"/>
      <c r="Z42" s="141" t="n">
        <v>323233.0</v>
      </c>
      <c r="AA42" s="141" t="n">
        <v>2921019.0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8562752.0</v>
      </c>
      <c r="C8" s="155"/>
      <c r="D8" s="155" t="n">
        <v>-1653900.0</v>
      </c>
      <c r="E8" s="155"/>
      <c r="F8" s="155"/>
      <c r="G8" s="155"/>
      <c r="H8" s="155"/>
      <c r="I8" s="155"/>
      <c r="J8" s="155" t="n">
        <v>-364175.0</v>
      </c>
      <c r="K8" s="155"/>
      <c r="L8" s="155"/>
      <c r="M8" s="155"/>
      <c r="N8" s="155"/>
      <c r="O8" s="155"/>
      <c r="P8" s="155" t="n">
        <v>10500.0</v>
      </c>
      <c r="Q8" s="155"/>
      <c r="R8" s="155"/>
      <c r="S8" s="155"/>
      <c r="T8" s="155"/>
      <c r="U8" s="155"/>
      <c r="V8" s="155"/>
      <c r="W8" s="155" t="n">
        <v>-2915730.0</v>
      </c>
      <c r="X8" s="156" t="n">
        <v>3639447.0</v>
      </c>
      <c r="Y8" s="155"/>
      <c r="Z8" s="155" t="n">
        <v>342314.0</v>
      </c>
      <c r="AA8" s="156" t="n">
        <v>3981761.0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8562752.0</v>
      </c>
      <c r="C14" s="156"/>
      <c r="D14" s="156" t="n">
        <v>-1653900.0</v>
      </c>
      <c r="E14" s="156"/>
      <c r="F14" s="156"/>
      <c r="G14" s="156"/>
      <c r="H14" s="156"/>
      <c r="I14" s="156"/>
      <c r="J14" s="156" t="n">
        <v>-364175.0</v>
      </c>
      <c r="K14" s="156"/>
      <c r="L14" s="156"/>
      <c r="M14" s="156"/>
      <c r="N14" s="156"/>
      <c r="O14" s="156"/>
      <c r="P14" s="156" t="n">
        <v>10500.0</v>
      </c>
      <c r="Q14" s="156"/>
      <c r="R14" s="156"/>
      <c r="S14" s="156"/>
      <c r="T14" s="156"/>
      <c r="U14" s="156"/>
      <c r="V14" s="156"/>
      <c r="W14" s="156" t="n">
        <v>-2915730.0</v>
      </c>
      <c r="X14" s="156" t="n">
        <v>3639447.0</v>
      </c>
      <c r="Y14" s="156"/>
      <c r="Z14" s="156" t="n">
        <v>342314.0</v>
      </c>
      <c r="AA14" s="156" t="n">
        <v>3981761.0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-716258.0</v>
      </c>
      <c r="X15" s="156" t="n">
        <v>-716258.0</v>
      </c>
      <c r="Y15" s="155"/>
      <c r="Z15" s="155" t="n">
        <v>12065.0</v>
      </c>
      <c r="AA15" s="156" t="n">
        <v>-704193.0</v>
      </c>
      <c r="AB15" s="157" t="s">
        <v>1330</v>
      </c>
    </row>
    <row r="16" spans="1:28" ht="15.75" thickBot="1">
      <c r="A16" s="154" t="s">
        <v>1331</v>
      </c>
      <c r="B16" s="155"/>
      <c r="C16" s="155"/>
      <c r="D16" s="155"/>
      <c r="E16" s="155"/>
      <c r="F16" s="155"/>
      <c r="G16" s="155"/>
      <c r="H16" s="155"/>
      <c r="I16" s="155"/>
      <c r="J16" s="155" t="n">
        <v>-98846.0</v>
      </c>
      <c r="K16" s="155"/>
      <c r="L16" s="155"/>
      <c r="M16" s="155"/>
      <c r="N16" s="155"/>
      <c r="O16" s="155"/>
      <c r="P16" s="155"/>
      <c r="Q16" s="155"/>
      <c r="R16" s="155"/>
      <c r="S16" s="155"/>
      <c r="T16" s="155"/>
      <c r="U16" s="155"/>
      <c r="V16" s="155"/>
      <c r="W16" s="155" t="n">
        <v>5104.0</v>
      </c>
      <c r="X16" s="156" t="n">
        <v>-93742.0</v>
      </c>
      <c r="Y16" s="155"/>
      <c r="Z16" s="155" t="n">
        <v>462.0</v>
      </c>
      <c r="AA16" s="156" t="n">
        <v>-93280.0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4550.0</v>
      </c>
      <c r="AA20" s="160" t="n">
        <v>4550.0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t="n">
        <v>29165.0</v>
      </c>
      <c r="AA34" s="160" t="n">
        <v>29165.0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554.0</v>
      </c>
      <c r="Q41" s="155"/>
      <c r="R41" s="155"/>
      <c r="S41" s="155"/>
      <c r="T41" s="155"/>
      <c r="U41" s="155"/>
      <c r="V41" s="155"/>
      <c r="W41" s="155"/>
      <c r="X41" s="156" t="n">
        <v>554.0</v>
      </c>
      <c r="Y41" s="155"/>
      <c r="Z41" s="155"/>
      <c r="AA41" s="156" t="n">
        <v>554.0</v>
      </c>
      <c r="AB41" s="157" t="s">
        <v>1380</v>
      </c>
    </row>
    <row r="42" spans="1:28" ht="15.75" thickBot="1">
      <c r="A42" s="158" t="s">
        <v>1381</v>
      </c>
      <c r="B42" s="156" t="n">
        <v>8562752.0</v>
      </c>
      <c r="C42" s="156"/>
      <c r="D42" s="156" t="n">
        <v>-1653900.0</v>
      </c>
      <c r="E42" s="156"/>
      <c r="F42" s="156"/>
      <c r="G42" s="156"/>
      <c r="H42" s="156"/>
      <c r="I42" s="156"/>
      <c r="J42" s="156" t="n">
        <v>-463021.0</v>
      </c>
      <c r="K42" s="156"/>
      <c r="L42" s="156"/>
      <c r="M42" s="156"/>
      <c r="N42" s="156"/>
      <c r="O42" s="156"/>
      <c r="P42" s="156" t="n">
        <v>11054.0</v>
      </c>
      <c r="Q42" s="156"/>
      <c r="R42" s="156"/>
      <c r="S42" s="156"/>
      <c r="T42" s="156"/>
      <c r="U42" s="156"/>
      <c r="V42" s="156"/>
      <c r="W42" s="156" t="n">
        <v>-3626884.0</v>
      </c>
      <c r="X42" s="156" t="n">
        <v>2830001.0</v>
      </c>
      <c r="Y42" s="156"/>
      <c r="Z42" s="156" t="n">
        <v>321126.0</v>
      </c>
      <c r="AA42" s="156" t="n">
        <v>3151127.0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8887183.0</v>
      </c>
      <c r="C8" s="171" t="n">
        <v>9607006.0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7193982.0</v>
      </c>
      <c r="C16" s="173" t="n">
        <v>6782397.0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617033.0</v>
      </c>
      <c r="C22" s="173" t="n">
        <v>522062.0</v>
      </c>
      <c r="D22" s="172" t="s">
        <v>1420</v>
      </c>
    </row>
    <row r="23" spans="1:4" ht="51.75" thickBot="1">
      <c r="A23" s="170" t="s">
        <v>1421</v>
      </c>
      <c r="B23" s="173"/>
      <c r="C23" s="173"/>
      <c r="D23" s="172" t="s">
        <v>1422</v>
      </c>
    </row>
    <row r="24" spans="1:4" ht="26.25" thickBot="1">
      <c r="A24" s="169" t="s">
        <v>1423</v>
      </c>
      <c r="B24" s="174" t="n">
        <v>1076168.0</v>
      </c>
      <c r="C24" s="174" t="n">
        <v>2302547.0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41714.0</v>
      </c>
      <c r="C32" s="171" t="n">
        <v>19042.0</v>
      </c>
      <c r="D32" s="172" t="s">
        <v>1440</v>
      </c>
    </row>
    <row r="33" spans="1:4" ht="26.25" thickBot="1">
      <c r="A33" s="175" t="s">
        <v>1441</v>
      </c>
      <c r="B33" s="173"/>
      <c r="C33" s="173"/>
      <c r="D33" s="172" t="s">
        <v>1442</v>
      </c>
    </row>
    <row r="34" spans="1:4" ht="39" thickBot="1">
      <c r="A34" s="175" t="s">
        <v>1443</v>
      </c>
      <c r="B34" s="171" t="n">
        <v>25223.0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26137.0</v>
      </c>
      <c r="C37" s="173" t="n">
        <v>28117.0</v>
      </c>
      <c r="D37" s="172" t="s">
        <v>1450</v>
      </c>
    </row>
    <row r="38" spans="1:4" ht="26.25" thickBot="1">
      <c r="A38" s="175" t="s">
        <v>1451</v>
      </c>
      <c r="B38" s="171"/>
      <c r="C38" s="171"/>
      <c r="D38" s="172" t="s">
        <v>1452</v>
      </c>
    </row>
    <row r="39" spans="1:4" ht="39" thickBot="1">
      <c r="A39" s="175" t="s">
        <v>1453</v>
      </c>
      <c r="B39" s="171" t="n">
        <v>1116968.0</v>
      </c>
      <c r="C39" s="171" t="n">
        <v>2293472.0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1116968.0</v>
      </c>
      <c r="C47" s="174" t="n">
        <v>2293472.0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357151.0</v>
      </c>
      <c r="C53" s="173" t="n">
        <v>374731.0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23644.0</v>
      </c>
      <c r="C64" s="171" t="n">
        <v>7307.0</v>
      </c>
      <c r="D64" s="172" t="s">
        <v>1504</v>
      </c>
    </row>
    <row r="65" spans="1:4" ht="26.25" thickBot="1">
      <c r="A65" s="175" t="s">
        <v>1505</v>
      </c>
      <c r="B65" s="173" t="n">
        <v>2580.0</v>
      </c>
      <c r="C65" s="173" t="n">
        <v>5268.0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4997.0</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t="n">
        <v>4650.0</v>
      </c>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30998.0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-331090.0</v>
      </c>
      <c r="C113" s="174" t="n">
        <v>-399040.0</v>
      </c>
      <c r="D113" s="167" t="s">
        <v>1602</v>
      </c>
    </row>
    <row r="114" spans="1:4" ht="15.75" thickBot="1">
      <c r="A114" s="168" t="s">
        <v>1603</v>
      </c>
      <c r="B114" s="166"/>
      <c r="C114" s="166"/>
      <c r="D114" s="167" t="s">
        <v>1604</v>
      </c>
    </row>
    <row r="115" spans="1:4" ht="15.75" thickBot="1">
      <c r="A115" s="175" t="s">
        <v>1605</v>
      </c>
      <c r="B115" s="171" t="n">
        <v>1.2245394E7</v>
      </c>
      <c r="C115" s="171" t="n">
        <v>6072026.0</v>
      </c>
      <c r="D115" s="172" t="s">
        <v>1606</v>
      </c>
    </row>
    <row r="116" spans="1:4" ht="15.75" thickBot="1">
      <c r="A116" s="175" t="s">
        <v>1607</v>
      </c>
      <c r="B116" s="173" t="n">
        <v>1.2305156E7</v>
      </c>
      <c r="C116" s="173" t="n">
        <v>7098659.0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92101.0</v>
      </c>
      <c r="C132" s="173" t="n">
        <v>80887.0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6674.0</v>
      </c>
      <c r="C154" s="171" t="n">
        <v>-1400.0</v>
      </c>
      <c r="D154" s="172" t="s">
        <v>1684</v>
      </c>
    </row>
    <row r="155" spans="1:4" ht="15.75" thickBot="1">
      <c r="A155" s="175" t="s">
        <v>1685</v>
      </c>
      <c r="B155" s="171"/>
      <c r="C155" s="171"/>
      <c r="D155" s="172" t="s">
        <v>1686</v>
      </c>
    </row>
    <row r="156" spans="1:4" ht="15.75" thickBot="1">
      <c r="A156" s="175" t="s">
        <v>1687</v>
      </c>
      <c r="B156" s="173" t="n">
        <v>35767.0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4550.0</v>
      </c>
      <c r="D169" s="172" t="s">
        <v>1714</v>
      </c>
    </row>
    <row r="170" spans="1:4" ht="26.25" thickBot="1">
      <c r="A170" s="175" t="s">
        <v>1715</v>
      </c>
      <c r="B170" s="171"/>
      <c r="C170" s="171"/>
      <c r="D170" s="172" t="s">
        <v>1716</v>
      </c>
    </row>
    <row r="171" spans="1:4" ht="26.25" thickBot="1">
      <c r="A171" s="175" t="s">
        <v>1717</v>
      </c>
      <c r="B171" s="173" t="n">
        <v>686146.0</v>
      </c>
      <c r="C171" s="173" t="n">
        <v>685606.0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-867102.0</v>
      </c>
      <c r="C174" s="174" t="n">
        <v>-1799076.0</v>
      </c>
      <c r="D174" s="167" t="s">
        <v>1724</v>
      </c>
    </row>
    <row r="175" spans="1:4" ht="26.25" thickBot="1">
      <c r="A175" s="168" t="s">
        <v>1725</v>
      </c>
      <c r="B175" s="174" t="n">
        <v>-81224.0</v>
      </c>
      <c r="C175" s="174" t="n">
        <v>95356.0</v>
      </c>
      <c r="D175" s="167" t="s">
        <v>1726</v>
      </c>
    </row>
    <row r="176" spans="1:4" ht="26.25" thickBot="1">
      <c r="A176" s="176" t="s">
        <v>1727</v>
      </c>
      <c r="B176" s="171" t="n">
        <v>640498.0</v>
      </c>
      <c r="C176" s="171" t="n">
        <v>545114.0</v>
      </c>
      <c r="D176" s="172" t="s">
        <v>1728</v>
      </c>
    </row>
    <row r="177" spans="1:4" ht="26.25" thickBot="1">
      <c r="A177" s="176" t="s">
        <v>1729</v>
      </c>
      <c r="B177" s="171" t="n">
        <v>3504.0</v>
      </c>
      <c r="C177" s="171" t="n">
        <v>28.0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562778.0</v>
      </c>
      <c r="C180" s="174" t="n">
        <v>640498.0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2905</v>
      </c>
      <c r="C7" s="202" t="s">
        <v>1934</v>
      </c>
    </row>
    <row r="8" spans="1:3" ht="75" customHeight="1" thickBot="1">
      <c r="A8" s="200" t="s">
        <v>421</v>
      </c>
      <c r="B8" s="201" t="s">
        <v>2853</v>
      </c>
      <c r="C8" s="202" t="s">
        <v>422</v>
      </c>
    </row>
    <row r="9" spans="1:3" ht="75" customHeight="1" thickBot="1">
      <c r="A9" s="200" t="s">
        <v>1935</v>
      </c>
      <c r="B9" s="201"/>
      <c r="C9" s="202" t="s">
        <v>1936</v>
      </c>
    </row>
    <row r="10" spans="1:3" ht="75" customHeight="1" thickBot="1">
      <c r="A10" s="200" t="s">
        <v>968</v>
      </c>
      <c r="B10" s="201" t="s">
        <v>2927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2903</v>
      </c>
      <c r="C21" s="202" t="s">
        <v>1950</v>
      </c>
    </row>
    <row r="22" spans="1:3" ht="75" customHeight="1" thickBot="1">
      <c r="A22" s="200" t="s">
        <v>1951</v>
      </c>
      <c r="B22" s="201" t="s">
        <v>2904</v>
      </c>
      <c r="C22" s="202" t="s">
        <v>1952</v>
      </c>
    </row>
    <row r="23" spans="1:3" ht="75" customHeight="1" thickBot="1">
      <c r="A23" s="200" t="s">
        <v>1953</v>
      </c>
      <c r="B23" s="201" t="s">
        <v>2892</v>
      </c>
      <c r="C23" s="202" t="s">
        <v>1954</v>
      </c>
    </row>
    <row r="24" spans="1:3" ht="75" customHeight="1" thickBot="1">
      <c r="A24" s="200" t="s">
        <v>1022</v>
      </c>
      <c r="B24" s="201" t="s">
        <v>2899</v>
      </c>
      <c r="C24" s="202" t="s">
        <v>1023</v>
      </c>
    </row>
    <row r="25" spans="1:3" ht="75" customHeight="1" thickBot="1">
      <c r="A25" s="200" t="s">
        <v>1955</v>
      </c>
      <c r="B25" s="201" t="s">
        <v>2924</v>
      </c>
      <c r="C25" s="202" t="s">
        <v>1956</v>
      </c>
    </row>
    <row r="26" spans="1:3" ht="75" customHeight="1" thickBot="1">
      <c r="A26" s="200" t="s">
        <v>1957</v>
      </c>
      <c r="B26" s="201" t="s">
        <v>2909</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t="s">
        <v>2871</v>
      </c>
      <c r="C29" s="202" t="s">
        <v>1964</v>
      </c>
    </row>
    <row r="30" spans="1:3" ht="75" customHeight="1" thickBot="1">
      <c r="A30" s="200" t="s">
        <v>1965</v>
      </c>
      <c r="B30" s="201"/>
      <c r="C30" s="202" t="s">
        <v>1966</v>
      </c>
    </row>
    <row r="31" spans="1:3" ht="75" customHeight="1" thickBot="1">
      <c r="A31" s="200" t="s">
        <v>1967</v>
      </c>
      <c r="B31" s="201" t="s">
        <v>2888</v>
      </c>
      <c r="C31" s="202" t="s">
        <v>1968</v>
      </c>
    </row>
    <row r="32" spans="1:3" ht="75" customHeight="1" thickBot="1">
      <c r="A32" s="200" t="s">
        <v>1969</v>
      </c>
      <c r="B32" s="201" t="s">
        <v>2921</v>
      </c>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2931</v>
      </c>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1084170.0</v>
      </c>
      <c r="D6" s="207" t="n">
        <v>3963.0</v>
      </c>
      <c r="E6" s="208"/>
      <c r="F6" s="207"/>
      <c r="G6" s="207" t="n">
        <v>3226.0</v>
      </c>
      <c r="H6" s="207"/>
      <c r="I6" s="207"/>
      <c r="J6" s="208"/>
      <c r="K6" s="209" t="n">
        <v>1091359.0</v>
      </c>
      <c r="L6" s="210" t="s">
        <v>2026</v>
      </c>
      <c r="M6" s="684" t="s">
        <v>2027</v>
      </c>
    </row>
    <row r="7" spans="1:13" ht="26.25" thickBot="1">
      <c r="A7" s="682"/>
      <c r="B7" s="206" t="s">
        <v>2028</v>
      </c>
      <c r="C7" s="207" t="n">
        <v>4929045.0</v>
      </c>
      <c r="D7" s="207" t="n">
        <v>9370.0</v>
      </c>
      <c r="E7" s="208" t="n">
        <v>438.0</v>
      </c>
      <c r="F7" s="207" t="n">
        <v>62363.0</v>
      </c>
      <c r="G7" s="207" t="n">
        <v>9923.0</v>
      </c>
      <c r="H7" s="207"/>
      <c r="I7" s="207"/>
      <c r="J7" s="208"/>
      <c r="K7" s="209" t="n">
        <v>5010263.0</v>
      </c>
      <c r="L7" s="210" t="s">
        <v>2029</v>
      </c>
      <c r="M7" s="684"/>
    </row>
    <row r="8" spans="1:13" ht="15.75" thickBot="1">
      <c r="A8" s="682"/>
      <c r="B8" s="206" t="s">
        <v>2030</v>
      </c>
      <c r="C8" s="207" t="n">
        <v>1.487402E7</v>
      </c>
      <c r="D8" s="207" t="n">
        <v>54922.0</v>
      </c>
      <c r="E8" s="208" t="n">
        <v>23633.0</v>
      </c>
      <c r="F8" s="207" t="n">
        <v>94879.0</v>
      </c>
      <c r="G8" s="207" t="n">
        <v>27517.0</v>
      </c>
      <c r="H8" s="207"/>
      <c r="I8" s="207"/>
      <c r="J8" s="208"/>
      <c r="K8" s="209" t="n">
        <v>1.5027705E7</v>
      </c>
      <c r="L8" s="210" t="s">
        <v>2031</v>
      </c>
      <c r="M8" s="684"/>
    </row>
    <row r="9" spans="1:13" ht="15.75" thickBot="1">
      <c r="A9" s="682"/>
      <c r="B9" s="206" t="s">
        <v>2032</v>
      </c>
      <c r="C9" s="207" t="n">
        <v>1134528.0</v>
      </c>
      <c r="D9" s="207" t="n">
        <v>39622.0</v>
      </c>
      <c r="E9" s="208" t="n">
        <v>43667.0</v>
      </c>
      <c r="F9" s="207" t="n">
        <v>73.0</v>
      </c>
      <c r="G9" s="207" t="n">
        <v>403.0</v>
      </c>
      <c r="H9" s="207"/>
      <c r="I9" s="207"/>
      <c r="J9" s="208"/>
      <c r="K9" s="209" t="n">
        <v>1130959.0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205274.0</v>
      </c>
      <c r="D11" s="207" t="n">
        <v>11614.0</v>
      </c>
      <c r="E11" s="208" t="n">
        <v>49.0</v>
      </c>
      <c r="F11" s="207" t="n">
        <v>-3197.0</v>
      </c>
      <c r="G11" s="207" t="n">
        <v>310.0</v>
      </c>
      <c r="H11" s="207"/>
      <c r="I11" s="207"/>
      <c r="J11" s="208"/>
      <c r="K11" s="209" t="n">
        <v>213952.0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2.2227037E7</v>
      </c>
      <c r="D20" s="209" t="n">
        <v>119491.0</v>
      </c>
      <c r="E20" s="208" t="n">
        <v>67787.0</v>
      </c>
      <c r="F20" s="209" t="n">
        <v>154118.0</v>
      </c>
      <c r="G20" s="209" t="n">
        <v>41379.0</v>
      </c>
      <c r="H20" s="209"/>
      <c r="I20" s="209"/>
      <c r="J20" s="208"/>
      <c r="K20" s="209" t="n">
        <v>2.2474238E7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295831.0</v>
      </c>
      <c r="D33" s="207" t="n">
        <v>2290.0</v>
      </c>
      <c r="E33" s="208" t="n">
        <v>47046.0</v>
      </c>
      <c r="F33" s="207"/>
      <c r="G33" s="207" t="n">
        <v>0.0</v>
      </c>
      <c r="H33" s="207"/>
      <c r="I33" s="207"/>
      <c r="J33" s="208"/>
      <c r="K33" s="209" t="n">
        <v>251075.0</v>
      </c>
      <c r="L33" s="210" t="s">
        <v>2081</v>
      </c>
      <c r="M33" s="684"/>
    </row>
    <row r="34" spans="1:13" ht="15.75" thickBot="1">
      <c r="A34" s="682"/>
      <c r="B34" s="211" t="s">
        <v>614</v>
      </c>
      <c r="C34" s="209" t="n">
        <v>295831.0</v>
      </c>
      <c r="D34" s="209" t="n">
        <v>2290.0</v>
      </c>
      <c r="E34" s="208" t="n">
        <v>47046.0</v>
      </c>
      <c r="F34" s="209"/>
      <c r="G34" s="209" t="n">
        <v>0.0</v>
      </c>
      <c r="H34" s="209"/>
      <c r="I34" s="209"/>
      <c r="J34" s="208"/>
      <c r="K34" s="209" t="n">
        <v>251075.0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110918.0</v>
      </c>
      <c r="D41" s="207" t="n">
        <v>393893.0</v>
      </c>
      <c r="E41" s="208" t="n">
        <v>15331.0</v>
      </c>
      <c r="F41" s="207" t="n">
        <v>-154118.0</v>
      </c>
      <c r="G41" s="207" t="n">
        <v>-36810.0</v>
      </c>
      <c r="H41" s="207"/>
      <c r="I41" s="207"/>
      <c r="J41" s="208"/>
      <c r="K41" s="209" t="n">
        <v>298552.0</v>
      </c>
      <c r="L41" s="210" t="s">
        <v>2095</v>
      </c>
      <c r="M41" s="684"/>
    </row>
    <row r="42" spans="1:13" ht="15.75" thickBot="1">
      <c r="A42" s="682"/>
      <c r="B42" s="211" t="s">
        <v>2096</v>
      </c>
      <c r="C42" s="209" t="n">
        <v>110918.0</v>
      </c>
      <c r="D42" s="209" t="n">
        <v>393893.0</v>
      </c>
      <c r="E42" s="208" t="n">
        <v>15331.0</v>
      </c>
      <c r="F42" s="209" t="n">
        <v>-154118.0</v>
      </c>
      <c r="G42" s="209" t="n">
        <v>-36810.0</v>
      </c>
      <c r="H42" s="209"/>
      <c r="I42" s="209"/>
      <c r="J42" s="208"/>
      <c r="K42" s="209" t="n">
        <v>298552.0</v>
      </c>
      <c r="L42" s="212" t="s">
        <v>2097</v>
      </c>
      <c r="M42" s="684"/>
    </row>
    <row r="43" spans="1:13" ht="15.75" thickBot="1">
      <c r="A43" s="683"/>
      <c r="B43" s="211" t="s">
        <v>612</v>
      </c>
      <c r="C43" s="209" t="n">
        <v>2.2633786E7</v>
      </c>
      <c r="D43" s="209" t="n">
        <v>515674.0</v>
      </c>
      <c r="E43" s="208" t="n">
        <v>130164.0</v>
      </c>
      <c r="F43" s="209" t="n">
        <v>0.0</v>
      </c>
      <c r="G43" s="209" t="n">
        <v>4569.0</v>
      </c>
      <c r="H43" s="209"/>
      <c r="I43" s="209"/>
      <c r="J43" s="208"/>
      <c r="K43" s="209" t="n">
        <v>2.3023865E7</v>
      </c>
      <c r="L43" s="212" t="s">
        <v>613</v>
      </c>
      <c r="M43" s="685"/>
    </row>
    <row r="44" spans="1:13" ht="15.75" thickBot="1">
      <c r="A44" s="690" t="s">
        <v>2098</v>
      </c>
      <c r="B44" s="206" t="s">
        <v>2025</v>
      </c>
      <c r="C44" s="207" t="n">
        <v>235503.0</v>
      </c>
      <c r="D44" s="207" t="n">
        <v>11118.0</v>
      </c>
      <c r="E44" s="208"/>
      <c r="F44" s="207"/>
      <c r="G44" s="207" t="n">
        <v>1854.0</v>
      </c>
      <c r="H44" s="207"/>
      <c r="I44" s="207"/>
      <c r="J44" s="208"/>
      <c r="K44" s="209" t="n">
        <v>248475.0</v>
      </c>
      <c r="L44" s="210" t="s">
        <v>2026</v>
      </c>
      <c r="M44" s="691" t="s">
        <v>2099</v>
      </c>
    </row>
    <row r="45" spans="1:13" ht="26.25" thickBot="1">
      <c r="A45" s="682"/>
      <c r="B45" s="206" t="s">
        <v>2028</v>
      </c>
      <c r="C45" s="207" t="n">
        <v>1644872.0</v>
      </c>
      <c r="D45" s="207" t="n">
        <v>133044.0</v>
      </c>
      <c r="E45" s="208" t="n">
        <v>86.0</v>
      </c>
      <c r="F45" s="207" t="n">
        <v>-6325.0</v>
      </c>
      <c r="G45" s="207" t="n">
        <v>7050.0</v>
      </c>
      <c r="H45" s="207"/>
      <c r="I45" s="207"/>
      <c r="J45" s="208"/>
      <c r="K45" s="209" t="n">
        <v>1778555.0</v>
      </c>
      <c r="L45" s="210" t="s">
        <v>2029</v>
      </c>
      <c r="M45" s="684"/>
    </row>
    <row r="46" spans="1:13" ht="15.75" thickBot="1">
      <c r="A46" s="682"/>
      <c r="B46" s="206" t="s">
        <v>2030</v>
      </c>
      <c r="C46" s="207" t="n">
        <v>6159277.0</v>
      </c>
      <c r="D46" s="207" t="n">
        <v>551241.0</v>
      </c>
      <c r="E46" s="208" t="n">
        <v>15651.0</v>
      </c>
      <c r="F46" s="207" t="n">
        <v>7029.0</v>
      </c>
      <c r="G46" s="207" t="n">
        <v>21127.0</v>
      </c>
      <c r="H46" s="207"/>
      <c r="I46" s="207"/>
      <c r="J46" s="208"/>
      <c r="K46" s="209" t="n">
        <v>6723023.0</v>
      </c>
      <c r="L46" s="210" t="s">
        <v>2031</v>
      </c>
      <c r="M46" s="684"/>
    </row>
    <row r="47" spans="1:13" ht="15.75" thickBot="1">
      <c r="A47" s="682"/>
      <c r="B47" s="206" t="s">
        <v>2032</v>
      </c>
      <c r="C47" s="207" t="n">
        <v>968372.0</v>
      </c>
      <c r="D47" s="207" t="n">
        <v>64431.0</v>
      </c>
      <c r="E47" s="208" t="n">
        <v>36191.0</v>
      </c>
      <c r="F47" s="207"/>
      <c r="G47" s="207" t="n">
        <v>307.0</v>
      </c>
      <c r="H47" s="207"/>
      <c r="I47" s="207"/>
      <c r="J47" s="208"/>
      <c r="K47" s="209" t="n">
        <v>996919.0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173196.0</v>
      </c>
      <c r="D49" s="207" t="n">
        <v>14089.0</v>
      </c>
      <c r="E49" s="208" t="n">
        <v>27.0</v>
      </c>
      <c r="F49" s="207" t="n">
        <v>-704.0</v>
      </c>
      <c r="G49" s="207" t="n">
        <v>299.0</v>
      </c>
      <c r="H49" s="207"/>
      <c r="I49" s="207"/>
      <c r="J49" s="208"/>
      <c r="K49" s="209" t="n">
        <v>186853.0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9181220.0</v>
      </c>
      <c r="D58" s="209" t="n">
        <v>773923.0</v>
      </c>
      <c r="E58" s="208" t="n">
        <v>51955.0</v>
      </c>
      <c r="F58" s="209"/>
      <c r="G58" s="209" t="n">
        <v>30637.0</v>
      </c>
      <c r="H58" s="209"/>
      <c r="I58" s="209"/>
      <c r="J58" s="208"/>
      <c r="K58" s="209" t="n">
        <v>9933825.0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153133.0</v>
      </c>
      <c r="D71" s="207" t="n">
        <v>48421.0</v>
      </c>
      <c r="E71" s="208" t="n">
        <v>47746.0</v>
      </c>
      <c r="F71" s="207" t="n">
        <v>0.0</v>
      </c>
      <c r="G71" s="207" t="n">
        <v>-752.0</v>
      </c>
      <c r="H71" s="207"/>
      <c r="I71" s="207"/>
      <c r="J71" s="208"/>
      <c r="K71" s="209" t="n">
        <v>153056.0</v>
      </c>
      <c r="L71" s="210" t="s">
        <v>2081</v>
      </c>
      <c r="M71" s="684"/>
    </row>
    <row r="72" spans="1:13" ht="15.75" thickBot="1">
      <c r="A72" s="682"/>
      <c r="B72" s="211" t="s">
        <v>614</v>
      </c>
      <c r="C72" s="209" t="n">
        <v>153133.0</v>
      </c>
      <c r="D72" s="209" t="n">
        <v>48421.0</v>
      </c>
      <c r="E72" s="208" t="n">
        <v>47746.0</v>
      </c>
      <c r="F72" s="209" t="n">
        <v>0.0</v>
      </c>
      <c r="G72" s="209" t="n">
        <v>-752.0</v>
      </c>
      <c r="H72" s="209"/>
      <c r="I72" s="209"/>
      <c r="J72" s="208"/>
      <c r="K72" s="209" t="n">
        <v>153056.0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9334353.0</v>
      </c>
      <c r="D81" s="209" t="n">
        <v>822344.0</v>
      </c>
      <c r="E81" s="208" t="n">
        <v>99701.0</v>
      </c>
      <c r="F81" s="209" t="n">
        <v>0.0</v>
      </c>
      <c r="G81" s="209" t="n">
        <v>29885.0</v>
      </c>
      <c r="H81" s="209"/>
      <c r="I81" s="209"/>
      <c r="J81" s="208"/>
      <c r="K81" s="209" t="n">
        <v>1.0086881E7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1.3299433E7</v>
      </c>
      <c r="D85" s="213"/>
      <c r="E85" s="213"/>
      <c r="F85" s="213"/>
      <c r="G85" s="213"/>
      <c r="H85" s="213"/>
      <c r="I85" s="213"/>
      <c r="J85" s="213"/>
      <c r="K85" s="209" t="n">
        <v>1.2936984E7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1081321.0</v>
      </c>
      <c r="D6" s="218" t="n">
        <v>2849.0</v>
      </c>
      <c r="E6" s="219" t="n">
        <v>0.0</v>
      </c>
      <c r="F6" s="218"/>
      <c r="G6" s="218"/>
      <c r="H6" s="218"/>
      <c r="I6" s="218"/>
      <c r="J6" s="219"/>
      <c r="K6" s="220" t="n">
        <v>1084170.0</v>
      </c>
      <c r="L6" s="221" t="s">
        <v>2026</v>
      </c>
      <c r="M6" s="698" t="s">
        <v>2027</v>
      </c>
    </row>
    <row r="7" spans="1:13" ht="26.25" thickBot="1">
      <c r="A7" s="695"/>
      <c r="B7" s="217" t="s">
        <v>2028</v>
      </c>
      <c r="C7" s="218" t="n">
        <v>4790486.0</v>
      </c>
      <c r="D7" s="218" t="n">
        <v>2638.0</v>
      </c>
      <c r="E7" s="219" t="n">
        <v>4059.0</v>
      </c>
      <c r="F7" s="218" t="n">
        <v>139980.0</v>
      </c>
      <c r="G7" s="218"/>
      <c r="H7" s="218"/>
      <c r="I7" s="218"/>
      <c r="J7" s="219"/>
      <c r="K7" s="220" t="n">
        <v>4929045.0</v>
      </c>
      <c r="L7" s="221" t="s">
        <v>2029</v>
      </c>
      <c r="M7" s="698"/>
    </row>
    <row r="8" spans="1:13" ht="15.75" thickBot="1">
      <c r="A8" s="695"/>
      <c r="B8" s="217" t="s">
        <v>2030</v>
      </c>
      <c r="C8" s="218" t="n">
        <v>1.4610183E7</v>
      </c>
      <c r="D8" s="218" t="n">
        <v>64327.0</v>
      </c>
      <c r="E8" s="219" t="n">
        <v>20263.0</v>
      </c>
      <c r="F8" s="218" t="n">
        <v>219773.0</v>
      </c>
      <c r="G8" s="218"/>
      <c r="H8" s="218"/>
      <c r="I8" s="218"/>
      <c r="J8" s="219"/>
      <c r="K8" s="220" t="n">
        <v>1.487402E7</v>
      </c>
      <c r="L8" s="221" t="s">
        <v>2031</v>
      </c>
      <c r="M8" s="698"/>
    </row>
    <row r="9" spans="1:13" ht="15.75" thickBot="1">
      <c r="A9" s="695"/>
      <c r="B9" s="217" t="s">
        <v>2032</v>
      </c>
      <c r="C9" s="218" t="n">
        <v>1135944.0</v>
      </c>
      <c r="D9" s="218" t="n">
        <v>110097.0</v>
      </c>
      <c r="E9" s="219" t="n">
        <v>111513.0</v>
      </c>
      <c r="F9" s="218"/>
      <c r="G9" s="218"/>
      <c r="H9" s="218"/>
      <c r="I9" s="218"/>
      <c r="J9" s="219"/>
      <c r="K9" s="220" t="n">
        <v>1134528.0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189173.0</v>
      </c>
      <c r="D11" s="218" t="n">
        <v>17246.0</v>
      </c>
      <c r="E11" s="219" t="n">
        <v>1145.0</v>
      </c>
      <c r="F11" s="218" t="n">
        <v>0.0</v>
      </c>
      <c r="G11" s="218"/>
      <c r="H11" s="218"/>
      <c r="I11" s="218"/>
      <c r="J11" s="219"/>
      <c r="K11" s="220" t="n">
        <v>205274.0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2.1807107E7</v>
      </c>
      <c r="D20" s="220" t="n">
        <v>197157.0</v>
      </c>
      <c r="E20" s="219" t="n">
        <v>136980.0</v>
      </c>
      <c r="F20" s="220" t="n">
        <v>359753.0</v>
      </c>
      <c r="G20" s="220"/>
      <c r="H20" s="220"/>
      <c r="I20" s="220"/>
      <c r="J20" s="219"/>
      <c r="K20" s="220" t="n">
        <v>2.2227037E7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286576.0</v>
      </c>
      <c r="D33" s="218" t="n">
        <v>9299.0</v>
      </c>
      <c r="E33" s="219" t="n">
        <v>44.0</v>
      </c>
      <c r="F33" s="218" t="n">
        <v>0.0</v>
      </c>
      <c r="G33" s="218"/>
      <c r="H33" s="218"/>
      <c r="I33" s="218"/>
      <c r="J33" s="219"/>
      <c r="K33" s="220" t="n">
        <v>295831.0</v>
      </c>
      <c r="L33" s="221" t="s">
        <v>2081</v>
      </c>
      <c r="M33" s="698"/>
    </row>
    <row r="34" spans="1:13" ht="15.75" thickBot="1">
      <c r="A34" s="695"/>
      <c r="B34" s="222" t="s">
        <v>614</v>
      </c>
      <c r="C34" s="220" t="n">
        <v>286576.0</v>
      </c>
      <c r="D34" s="220" t="n">
        <v>9299.0</v>
      </c>
      <c r="E34" s="219" t="n">
        <v>44.0</v>
      </c>
      <c r="F34" s="220" t="n">
        <v>0.0</v>
      </c>
      <c r="G34" s="220"/>
      <c r="H34" s="220"/>
      <c r="I34" s="220"/>
      <c r="J34" s="219"/>
      <c r="K34" s="220" t="n">
        <v>295831.0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227656.0</v>
      </c>
      <c r="D41" s="218" t="n">
        <v>246200.0</v>
      </c>
      <c r="E41" s="219" t="n">
        <v>3185.0</v>
      </c>
      <c r="F41" s="218" t="n">
        <v>-359753.0</v>
      </c>
      <c r="G41" s="218"/>
      <c r="H41" s="218"/>
      <c r="I41" s="218"/>
      <c r="J41" s="219"/>
      <c r="K41" s="220" t="n">
        <v>110918.0</v>
      </c>
      <c r="L41" s="221" t="s">
        <v>2095</v>
      </c>
      <c r="M41" s="698"/>
    </row>
    <row r="42" spans="1:13" ht="15.75" thickBot="1">
      <c r="A42" s="695"/>
      <c r="B42" s="222" t="s">
        <v>2096</v>
      </c>
      <c r="C42" s="220" t="n">
        <v>227656.0</v>
      </c>
      <c r="D42" s="220" t="n">
        <v>246200.0</v>
      </c>
      <c r="E42" s="219" t="n">
        <v>3185.0</v>
      </c>
      <c r="F42" s="220" t="n">
        <v>-359753.0</v>
      </c>
      <c r="G42" s="220"/>
      <c r="H42" s="220"/>
      <c r="I42" s="220"/>
      <c r="J42" s="219"/>
      <c r="K42" s="220" t="n">
        <v>110918.0</v>
      </c>
      <c r="L42" s="223" t="s">
        <v>2097</v>
      </c>
      <c r="M42" s="698"/>
    </row>
    <row r="43" spans="1:13" ht="15.75" thickBot="1">
      <c r="A43" s="696"/>
      <c r="B43" s="222" t="s">
        <v>612</v>
      </c>
      <c r="C43" s="220" t="n">
        <v>2.2321339E7</v>
      </c>
      <c r="D43" s="220" t="n">
        <v>452656.0</v>
      </c>
      <c r="E43" s="219" t="n">
        <v>140209.0</v>
      </c>
      <c r="F43" s="220" t="n">
        <v>0.0</v>
      </c>
      <c r="G43" s="220"/>
      <c r="H43" s="220"/>
      <c r="I43" s="220"/>
      <c r="J43" s="219"/>
      <c r="K43" s="220" t="n">
        <v>2.2633786E7</v>
      </c>
      <c r="L43" s="223" t="s">
        <v>613</v>
      </c>
      <c r="M43" s="699"/>
    </row>
    <row r="44" spans="1:13" ht="15.75" thickBot="1">
      <c r="A44" s="694" t="s">
        <v>2098</v>
      </c>
      <c r="B44" s="217" t="s">
        <v>2025</v>
      </c>
      <c r="C44" s="218" t="n">
        <v>220384.0</v>
      </c>
      <c r="D44" s="218" t="n">
        <v>15119.0</v>
      </c>
      <c r="E44" s="219"/>
      <c r="F44" s="218"/>
      <c r="G44" s="218"/>
      <c r="H44" s="218"/>
      <c r="I44" s="218"/>
      <c r="J44" s="219"/>
      <c r="K44" s="220" t="n">
        <v>235503.0</v>
      </c>
      <c r="L44" s="221" t="s">
        <v>2026</v>
      </c>
      <c r="M44" s="697" t="s">
        <v>2099</v>
      </c>
    </row>
    <row r="45" spans="1:13" ht="26.25" thickBot="1">
      <c r="A45" s="695"/>
      <c r="B45" s="217" t="s">
        <v>2028</v>
      </c>
      <c r="C45" s="218" t="n">
        <v>1523929.0</v>
      </c>
      <c r="D45" s="218" t="n">
        <v>125792.0</v>
      </c>
      <c r="E45" s="219" t="n">
        <v>3516.0</v>
      </c>
      <c r="F45" s="218" t="n">
        <v>-1333.0</v>
      </c>
      <c r="G45" s="218"/>
      <c r="H45" s="218"/>
      <c r="I45" s="218"/>
      <c r="J45" s="219"/>
      <c r="K45" s="220" t="n">
        <v>1644872.0</v>
      </c>
      <c r="L45" s="221" t="s">
        <v>2029</v>
      </c>
      <c r="M45" s="698"/>
    </row>
    <row r="46" spans="1:13" ht="15.75" thickBot="1">
      <c r="A46" s="695"/>
      <c r="B46" s="217" t="s">
        <v>2030</v>
      </c>
      <c r="C46" s="218" t="n">
        <v>5629262.0</v>
      </c>
      <c r="D46" s="218" t="n">
        <v>548791.0</v>
      </c>
      <c r="E46" s="219" t="n">
        <v>18875.0</v>
      </c>
      <c r="F46" s="218" t="n">
        <v>99.0</v>
      </c>
      <c r="G46" s="218"/>
      <c r="H46" s="218"/>
      <c r="I46" s="218"/>
      <c r="J46" s="219"/>
      <c r="K46" s="220" t="n">
        <v>6159277.0</v>
      </c>
      <c r="L46" s="221" t="s">
        <v>2031</v>
      </c>
      <c r="M46" s="698"/>
    </row>
    <row r="47" spans="1:13" ht="15.75" thickBot="1">
      <c r="A47" s="695"/>
      <c r="B47" s="217" t="s">
        <v>2032</v>
      </c>
      <c r="C47" s="218" t="n">
        <v>985501.0</v>
      </c>
      <c r="D47" s="218" t="n">
        <v>75995.0</v>
      </c>
      <c r="E47" s="219" t="n">
        <v>94459.0</v>
      </c>
      <c r="F47" s="218" t="n">
        <v>1335.0</v>
      </c>
      <c r="G47" s="218"/>
      <c r="H47" s="218"/>
      <c r="I47" s="218"/>
      <c r="J47" s="219"/>
      <c r="K47" s="220" t="n">
        <v>968372.0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141386.0</v>
      </c>
      <c r="D49" s="218" t="n">
        <v>31918.0</v>
      </c>
      <c r="E49" s="219" t="n">
        <v>7.0</v>
      </c>
      <c r="F49" s="218" t="n">
        <v>-101.0</v>
      </c>
      <c r="G49" s="218"/>
      <c r="H49" s="218"/>
      <c r="I49" s="218"/>
      <c r="J49" s="219"/>
      <c r="K49" s="220" t="n">
        <v>173196.0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8500462.0</v>
      </c>
      <c r="D58" s="220" t="n">
        <v>797615.0</v>
      </c>
      <c r="E58" s="219" t="n">
        <v>116857.0</v>
      </c>
      <c r="F58" s="220" t="n">
        <v>0.0</v>
      </c>
      <c r="G58" s="220"/>
      <c r="H58" s="220"/>
      <c r="I58" s="220"/>
      <c r="J58" s="219"/>
      <c r="K58" s="220" t="n">
        <v>9181220.0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94776.0</v>
      </c>
      <c r="D71" s="218" t="n">
        <v>58401.0</v>
      </c>
      <c r="E71" s="219" t="n">
        <v>44.0</v>
      </c>
      <c r="F71" s="218"/>
      <c r="G71" s="218"/>
      <c r="H71" s="218"/>
      <c r="I71" s="218"/>
      <c r="J71" s="219"/>
      <c r="K71" s="220" t="n">
        <v>153133.0</v>
      </c>
      <c r="L71" s="221" t="s">
        <v>2081</v>
      </c>
      <c r="M71" s="698"/>
    </row>
    <row r="72" spans="1:13" ht="15.75" thickBot="1">
      <c r="A72" s="695"/>
      <c r="B72" s="222" t="s">
        <v>614</v>
      </c>
      <c r="C72" s="220" t="n">
        <v>94776.0</v>
      </c>
      <c r="D72" s="220" t="n">
        <v>58401.0</v>
      </c>
      <c r="E72" s="219" t="n">
        <v>44.0</v>
      </c>
      <c r="F72" s="220" t="n">
        <v>0.0</v>
      </c>
      <c r="G72" s="220"/>
      <c r="H72" s="220"/>
      <c r="I72" s="220"/>
      <c r="J72" s="219"/>
      <c r="K72" s="220" t="n">
        <v>153133.0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8595238.0</v>
      </c>
      <c r="D81" s="220" t="n">
        <v>856016.0</v>
      </c>
      <c r="E81" s="219" t="n">
        <v>116901.0</v>
      </c>
      <c r="F81" s="220" t="n">
        <v>0.0</v>
      </c>
      <c r="G81" s="220"/>
      <c r="H81" s="220"/>
      <c r="I81" s="220"/>
      <c r="J81" s="219"/>
      <c r="K81" s="220" t="n">
        <v>9334353.0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1.3726101E7</v>
      </c>
      <c r="D85" s="224"/>
      <c r="E85" s="224"/>
      <c r="F85" s="224"/>
      <c r="G85" s="224"/>
      <c r="H85" s="224"/>
      <c r="I85" s="224"/>
      <c r="J85" s="224"/>
      <c r="K85" s="220" t="n">
        <v>1.3299433E7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2371649.0</v>
      </c>
      <c r="D7" s="274" t="s">
        <v>2127</v>
      </c>
      <c r="E7" s="271" t="s">
        <v>2126</v>
      </c>
      <c r="F7" s="272" t="s">
        <v>2877</v>
      </c>
      <c r="G7" s="273" t="n">
        <v>2091320.0</v>
      </c>
      <c r="H7" s="274" t="s">
        <v>2127</v>
      </c>
    </row>
    <row r="8" spans="1:8" ht="15.75" thickBot="1">
      <c r="A8" s="271" t="s">
        <v>2128</v>
      </c>
      <c r="B8" s="272" t="s">
        <v>2854</v>
      </c>
      <c r="C8" s="273" t="n">
        <v>15910.0</v>
      </c>
      <c r="D8" s="274" t="s">
        <v>2129</v>
      </c>
      <c r="E8" s="271" t="s">
        <v>2128</v>
      </c>
      <c r="F8" s="272" t="s">
        <v>2933</v>
      </c>
      <c r="G8" s="273" t="n">
        <v>17680.0</v>
      </c>
      <c r="H8" s="274" t="s">
        <v>2129</v>
      </c>
    </row>
    <row r="9" spans="1:8" ht="15.75" thickBot="1">
      <c r="A9" s="271" t="s">
        <v>2130</v>
      </c>
      <c r="B9" s="272" t="s">
        <v>2887</v>
      </c>
      <c r="C9" s="273" t="n">
        <v>13462.0</v>
      </c>
      <c r="D9" s="274" t="s">
        <v>2131</v>
      </c>
      <c r="E9" s="271" t="s">
        <v>2130</v>
      </c>
      <c r="F9" s="272" t="s">
        <v>2854</v>
      </c>
      <c r="G9" s="273" t="n">
        <v>15869.0</v>
      </c>
      <c r="H9" s="274" t="s">
        <v>2131</v>
      </c>
    </row>
    <row r="10" spans="1:8" ht="15.75" thickBot="1">
      <c r="A10" s="271" t="s">
        <v>2132</v>
      </c>
      <c r="B10" s="272" t="s">
        <v>2868</v>
      </c>
      <c r="C10" s="273" t="n">
        <v>7122.0</v>
      </c>
      <c r="D10" s="274" t="s">
        <v>2133</v>
      </c>
      <c r="E10" s="271" t="s">
        <v>2132</v>
      </c>
      <c r="F10" s="272" t="s">
        <v>2887</v>
      </c>
      <c r="G10" s="273" t="n">
        <v>7953.0</v>
      </c>
      <c r="H10" s="274" t="s">
        <v>2133</v>
      </c>
    </row>
    <row r="11" spans="1:8" ht="15.75" thickBot="1">
      <c r="A11" s="271" t="s">
        <v>2134</v>
      </c>
      <c r="B11" s="272" t="s">
        <v>2865</v>
      </c>
      <c r="C11" s="273" t="n">
        <v>6253.0</v>
      </c>
      <c r="D11" s="274" t="s">
        <v>2135</v>
      </c>
      <c r="E11" s="271" t="s">
        <v>2134</v>
      </c>
      <c r="F11" s="272" t="s">
        <v>2865</v>
      </c>
      <c r="G11" s="273" t="n">
        <v>6755.0</v>
      </c>
      <c r="H11" s="274" t="s">
        <v>2135</v>
      </c>
    </row>
    <row r="12" spans="1:8" ht="15.75" thickBot="1">
      <c r="A12" s="271" t="s">
        <v>2136</v>
      </c>
      <c r="B12" s="272" t="s">
        <v>2862</v>
      </c>
      <c r="C12" s="273" t="n">
        <v>4242.0</v>
      </c>
      <c r="D12" s="274" t="s">
        <v>2137</v>
      </c>
      <c r="E12" s="271" t="s">
        <v>2136</v>
      </c>
      <c r="F12" s="272" t="s">
        <v>2868</v>
      </c>
      <c r="G12" s="273" t="n">
        <v>6117.0</v>
      </c>
      <c r="H12" s="274" t="s">
        <v>2137</v>
      </c>
    </row>
    <row r="13" spans="1:8" ht="15.75" thickBot="1">
      <c r="A13" s="271" t="s">
        <v>2138</v>
      </c>
      <c r="B13" s="272" t="s">
        <v>2918</v>
      </c>
      <c r="C13" s="273" t="n">
        <v>1517.0</v>
      </c>
      <c r="D13" s="274" t="s">
        <v>2139</v>
      </c>
      <c r="E13" s="271" t="s">
        <v>2138</v>
      </c>
      <c r="F13" s="272" t="s">
        <v>2862</v>
      </c>
      <c r="G13" s="273" t="n">
        <v>3847.0</v>
      </c>
      <c r="H13" s="274" t="s">
        <v>2139</v>
      </c>
    </row>
    <row r="14" spans="1:8" ht="15.75" thickBot="1">
      <c r="A14" s="271" t="s">
        <v>2140</v>
      </c>
      <c r="B14" s="272" t="s">
        <v>2885</v>
      </c>
      <c r="C14" s="273" t="n">
        <v>1199.0</v>
      </c>
      <c r="D14" s="274" t="s">
        <v>2141</v>
      </c>
      <c r="E14" s="271" t="s">
        <v>2140</v>
      </c>
      <c r="F14" s="272" t="s">
        <v>2918</v>
      </c>
      <c r="G14" s="273" t="n">
        <v>3051.0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3472.0</v>
      </c>
      <c r="D17" s="274" t="s">
        <v>2147</v>
      </c>
      <c r="E17" s="271" t="s">
        <v>2146</v>
      </c>
      <c r="F17" s="272" t="s">
        <v>2565</v>
      </c>
      <c r="G17" s="273" t="n">
        <v>1213.0</v>
      </c>
      <c r="H17" s="274" t="s">
        <v>2147</v>
      </c>
    </row>
    <row r="18" spans="1:8" ht="15.75" thickBot="1">
      <c r="A18" s="275" t="s">
        <v>2148</v>
      </c>
      <c r="B18" s="276"/>
      <c r="C18" s="277" t="n">
        <v>2424826.0</v>
      </c>
      <c r="D18" s="278" t="s">
        <v>2149</v>
      </c>
      <c r="E18" s="275" t="s">
        <v>2148</v>
      </c>
      <c r="F18" s="276"/>
      <c r="G18" s="277" t="n">
        <v>2153805.0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6551273.0</v>
      </c>
      <c r="D29" s="274" t="s">
        <v>2171</v>
      </c>
      <c r="E29" s="271" t="s">
        <v>2170</v>
      </c>
      <c r="F29" s="272"/>
      <c r="G29" s="273" t="n">
        <v>6703475.0</v>
      </c>
      <c r="H29" s="274" t="s">
        <v>2171</v>
      </c>
    </row>
    <row r="30" spans="1:8" ht="15.75" thickBot="1">
      <c r="A30" s="275" t="s">
        <v>2172</v>
      </c>
      <c r="B30" s="276"/>
      <c r="C30" s="277" t="n">
        <v>6551273.0</v>
      </c>
      <c r="D30" s="278" t="s">
        <v>2173</v>
      </c>
      <c r="E30" s="275" t="s">
        <v>2172</v>
      </c>
      <c r="F30" s="276"/>
      <c r="G30" s="277" t="n">
        <v>6703475.0</v>
      </c>
      <c r="H30" s="278" t="s">
        <v>2173</v>
      </c>
    </row>
    <row r="31" spans="1:8" ht="15.75" thickBot="1">
      <c r="A31" s="275" t="s">
        <v>2174</v>
      </c>
      <c r="B31" s="276"/>
      <c r="C31" s="277" t="n">
        <v>8976099.0</v>
      </c>
      <c r="D31" s="278" t="s">
        <v>2175</v>
      </c>
      <c r="E31" s="275" t="s">
        <v>2174</v>
      </c>
      <c r="F31" s="276"/>
      <c r="G31" s="277" t="n">
        <v>8857280.0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761970.0</v>
      </c>
      <c r="D7" s="330" t="s">
        <v>2321</v>
      </c>
      <c r="E7" s="761" t="s">
        <v>2322</v>
      </c>
      <c r="F7" s="758" t="s">
        <v>2172</v>
      </c>
      <c r="G7" s="328" t="s">
        <v>2321</v>
      </c>
      <c r="H7" s="329" t="n">
        <v>815700.0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761970.0</v>
      </c>
      <c r="D19" s="333" t="s">
        <v>2336</v>
      </c>
      <c r="E19" s="762"/>
      <c r="F19" s="759"/>
      <c r="G19" s="331" t="s">
        <v>2335</v>
      </c>
      <c r="H19" s="332" t="n">
        <v>815700.0</v>
      </c>
      <c r="I19" s="333" t="s">
        <v>2336</v>
      </c>
      <c r="J19" s="762"/>
    </row>
    <row r="20" spans="1:10" ht="15.75" thickBot="1">
      <c r="A20" s="757" t="s">
        <v>2148</v>
      </c>
      <c r="B20" s="328" t="s">
        <v>2321</v>
      </c>
      <c r="C20" s="329" t="n">
        <v>14858.0</v>
      </c>
      <c r="D20" s="330" t="s">
        <v>2321</v>
      </c>
      <c r="E20" s="760" t="s">
        <v>2337</v>
      </c>
      <c r="F20" s="757" t="s">
        <v>2148</v>
      </c>
      <c r="G20" s="328" t="s">
        <v>2321</v>
      </c>
      <c r="H20" s="329" t="n">
        <v>6684.0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14858.0</v>
      </c>
      <c r="D32" s="333" t="s">
        <v>2336</v>
      </c>
      <c r="E32" s="762"/>
      <c r="F32" s="759"/>
      <c r="G32" s="331" t="s">
        <v>2335</v>
      </c>
      <c r="H32" s="332" t="n">
        <v>6684.0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761970.0</v>
      </c>
      <c r="D37" s="334" t="n">
        <v>119546.0</v>
      </c>
      <c r="E37" s="332" t="n">
        <v>642424.0</v>
      </c>
      <c r="F37" s="330" t="s">
        <v>2322</v>
      </c>
      <c r="G37" s="333" t="s">
        <v>2336</v>
      </c>
      <c r="H37" s="328" t="s">
        <v>2172</v>
      </c>
      <c r="I37" s="331" t="s">
        <v>2335</v>
      </c>
      <c r="J37" s="332" t="n">
        <v>815700.0</v>
      </c>
      <c r="K37" s="334" t="n">
        <v>108020.0</v>
      </c>
      <c r="L37" s="332" t="n">
        <v>707680.0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14858.0</v>
      </c>
      <c r="D42" s="334"/>
      <c r="E42" s="332" t="n">
        <v>14858.0</v>
      </c>
      <c r="F42" s="330" t="s">
        <v>2337</v>
      </c>
      <c r="G42" s="333" t="s">
        <v>2336</v>
      </c>
      <c r="H42" s="328" t="s">
        <v>2148</v>
      </c>
      <c r="I42" s="331" t="s">
        <v>2335</v>
      </c>
      <c r="J42" s="332" t="n">
        <v>6684.0</v>
      </c>
      <c r="K42" s="334"/>
      <c r="L42" s="332" t="n">
        <v>6684.0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556745.0</v>
      </c>
      <c r="D7" s="341" t="s">
        <v>2344</v>
      </c>
      <c r="E7" s="342" t="s">
        <v>2345</v>
      </c>
      <c r="F7" s="338" t="s">
        <v>2342</v>
      </c>
      <c r="G7" s="339" t="s">
        <v>2343</v>
      </c>
      <c r="H7" s="340" t="n">
        <v>544220.0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75394.0</v>
      </c>
      <c r="D12" s="342" t="s">
        <v>2348</v>
      </c>
      <c r="E12" s="770" t="s">
        <v>2349</v>
      </c>
      <c r="F12" s="768" t="s">
        <v>2346</v>
      </c>
      <c r="G12" s="338" t="s">
        <v>2347</v>
      </c>
      <c r="H12" s="343" t="n">
        <v>88380.0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16742.0</v>
      </c>
      <c r="D17" s="342" t="s">
        <v>2359</v>
      </c>
      <c r="E17" s="770"/>
      <c r="F17" s="768"/>
      <c r="G17" s="338" t="s">
        <v>2358</v>
      </c>
      <c r="H17" s="343" t="n">
        <v>40950.0</v>
      </c>
      <c r="I17" s="342" t="s">
        <v>2359</v>
      </c>
      <c r="J17" s="770"/>
    </row>
    <row r="18" spans="1:10" ht="15.75" thickBot="1">
      <c r="A18" s="768"/>
      <c r="B18" s="338" t="s">
        <v>2360</v>
      </c>
      <c r="C18" s="343" t="n">
        <v>6905.0</v>
      </c>
      <c r="D18" s="342" t="s">
        <v>2361</v>
      </c>
      <c r="E18" s="770"/>
      <c r="F18" s="768"/>
      <c r="G18" s="338" t="s">
        <v>2360</v>
      </c>
      <c r="H18" s="343" t="n">
        <v>28768.0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121042.0</v>
      </c>
      <c r="D34" s="342" t="s">
        <v>2393</v>
      </c>
      <c r="E34" s="770"/>
      <c r="F34" s="768"/>
      <c r="G34" s="338" t="s">
        <v>2392</v>
      </c>
      <c r="H34" s="343" t="n">
        <v>120066.0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220083.0</v>
      </c>
      <c r="D42" s="341" t="s">
        <v>2344</v>
      </c>
      <c r="E42" s="771"/>
      <c r="F42" s="769"/>
      <c r="G42" s="339" t="s">
        <v>2343</v>
      </c>
      <c r="H42" s="340" t="n">
        <v>278164.0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776828.0</v>
      </c>
      <c r="D47" s="340" t="n">
        <v>119546.0</v>
      </c>
      <c r="E47" s="340" t="n">
        <v>657282.0</v>
      </c>
      <c r="F47" s="341" t="s">
        <v>2344</v>
      </c>
      <c r="G47" s="342" t="s">
        <v>2409</v>
      </c>
      <c r="H47" s="338" t="s">
        <v>2408</v>
      </c>
      <c r="I47" s="339" t="s">
        <v>2343</v>
      </c>
      <c r="J47" s="340" t="n">
        <v>822384.0</v>
      </c>
      <c r="K47" s="340" t="n">
        <v>108020.0</v>
      </c>
      <c r="L47" s="340" t="n">
        <v>714364.0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48589.0</v>
      </c>
      <c r="E7" s="781" t="s">
        <v>2322</v>
      </c>
      <c r="F7" s="350" t="s">
        <v>2414</v>
      </c>
      <c r="G7" s="779" t="s">
        <v>2172</v>
      </c>
      <c r="H7" s="347" t="s">
        <v>2292</v>
      </c>
      <c r="I7" s="348" t="s">
        <v>2855</v>
      </c>
      <c r="J7" s="349" t="n">
        <v>60913.0</v>
      </c>
      <c r="K7" s="781" t="s">
        <v>2322</v>
      </c>
      <c r="L7" s="350" t="s">
        <v>2414</v>
      </c>
    </row>
    <row r="8" spans="1:12" ht="15.75" thickBot="1">
      <c r="A8" s="779"/>
      <c r="B8" s="347" t="s">
        <v>2294</v>
      </c>
      <c r="C8" s="348" t="s">
        <v>2855</v>
      </c>
      <c r="D8" s="349" t="n">
        <v>40945.0</v>
      </c>
      <c r="E8" s="781"/>
      <c r="F8" s="350" t="s">
        <v>2415</v>
      </c>
      <c r="G8" s="779"/>
      <c r="H8" s="347" t="s">
        <v>2294</v>
      </c>
      <c r="I8" s="348" t="s">
        <v>2874</v>
      </c>
      <c r="J8" s="349" t="n">
        <v>34806.0</v>
      </c>
      <c r="K8" s="781"/>
      <c r="L8" s="350" t="s">
        <v>2415</v>
      </c>
    </row>
    <row r="9" spans="1:12" ht="15.75" thickBot="1">
      <c r="A9" s="779"/>
      <c r="B9" s="347" t="s">
        <v>2296</v>
      </c>
      <c r="C9" s="348" t="s">
        <v>2891</v>
      </c>
      <c r="D9" s="349" t="n">
        <v>29447.0</v>
      </c>
      <c r="E9" s="781"/>
      <c r="F9" s="350" t="s">
        <v>2416</v>
      </c>
      <c r="G9" s="779"/>
      <c r="H9" s="347" t="s">
        <v>2296</v>
      </c>
      <c r="I9" s="348" t="s">
        <v>2891</v>
      </c>
      <c r="J9" s="349" t="n">
        <v>34158.0</v>
      </c>
      <c r="K9" s="781"/>
      <c r="L9" s="350" t="s">
        <v>2416</v>
      </c>
    </row>
    <row r="10" spans="1:12" ht="15.75" thickBot="1">
      <c r="A10" s="779"/>
      <c r="B10" s="347" t="s">
        <v>2298</v>
      </c>
      <c r="C10" s="348" t="s">
        <v>2898</v>
      </c>
      <c r="D10" s="349" t="n">
        <v>26630.0</v>
      </c>
      <c r="E10" s="781"/>
      <c r="F10" s="350" t="s">
        <v>2417</v>
      </c>
      <c r="G10" s="779"/>
      <c r="H10" s="347" t="s">
        <v>2298</v>
      </c>
      <c r="I10" s="348" t="s">
        <v>2856</v>
      </c>
      <c r="J10" s="349" t="n">
        <v>26418.0</v>
      </c>
      <c r="K10" s="781"/>
      <c r="L10" s="350" t="s">
        <v>2417</v>
      </c>
    </row>
    <row r="11" spans="1:12" ht="15.75" thickBot="1">
      <c r="A11" s="779"/>
      <c r="B11" s="347" t="s">
        <v>2300</v>
      </c>
      <c r="C11" s="348" t="s">
        <v>2874</v>
      </c>
      <c r="D11" s="349" t="n">
        <v>26465.0</v>
      </c>
      <c r="E11" s="781"/>
      <c r="F11" s="350" t="s">
        <v>2418</v>
      </c>
      <c r="G11" s="779"/>
      <c r="H11" s="347" t="s">
        <v>2300</v>
      </c>
      <c r="I11" s="348" t="s">
        <v>2920</v>
      </c>
      <c r="J11" s="349" t="n">
        <v>25675.0</v>
      </c>
      <c r="K11" s="781"/>
      <c r="L11" s="350" t="s">
        <v>2418</v>
      </c>
    </row>
    <row r="12" spans="1:12" ht="15.75" thickBot="1">
      <c r="A12" s="779"/>
      <c r="B12" s="347" t="s">
        <v>2302</v>
      </c>
      <c r="C12" s="348" t="s">
        <v>2860</v>
      </c>
      <c r="D12" s="349" t="n">
        <v>43939.0</v>
      </c>
      <c r="E12" s="781"/>
      <c r="F12" s="350" t="s">
        <v>2419</v>
      </c>
      <c r="G12" s="779"/>
      <c r="H12" s="347" t="s">
        <v>2302</v>
      </c>
      <c r="I12" s="348" t="s">
        <v>2875</v>
      </c>
      <c r="J12" s="349" t="n">
        <v>23248.0</v>
      </c>
      <c r="K12" s="781"/>
      <c r="L12" s="350" t="s">
        <v>2419</v>
      </c>
    </row>
    <row r="13" spans="1:12" ht="15.75" thickBot="1">
      <c r="A13" s="779"/>
      <c r="B13" s="347" t="s">
        <v>2304</v>
      </c>
      <c r="C13" s="348" t="s">
        <v>2900</v>
      </c>
      <c r="D13" s="349" t="n">
        <v>21856.0</v>
      </c>
      <c r="E13" s="781"/>
      <c r="F13" s="350" t="s">
        <v>2420</v>
      </c>
      <c r="G13" s="779"/>
      <c r="H13" s="347" t="s">
        <v>2304</v>
      </c>
      <c r="I13" s="348" t="s">
        <v>2860</v>
      </c>
      <c r="J13" s="349" t="n">
        <v>42248.0</v>
      </c>
      <c r="K13" s="781"/>
      <c r="L13" s="350" t="s">
        <v>2420</v>
      </c>
    </row>
    <row r="14" spans="1:12" ht="15.75" thickBot="1">
      <c r="A14" s="779"/>
      <c r="B14" s="347" t="s">
        <v>2306</v>
      </c>
      <c r="C14" s="348" t="s">
        <v>2917</v>
      </c>
      <c r="D14" s="349" t="n">
        <v>18882.0</v>
      </c>
      <c r="E14" s="781"/>
      <c r="F14" s="350" t="s">
        <v>2421</v>
      </c>
      <c r="G14" s="779"/>
      <c r="H14" s="347" t="s">
        <v>2306</v>
      </c>
      <c r="I14" s="348" t="s">
        <v>2906</v>
      </c>
      <c r="J14" s="349" t="n">
        <v>15749.0</v>
      </c>
      <c r="K14" s="781"/>
      <c r="L14" s="350" t="s">
        <v>2421</v>
      </c>
    </row>
    <row r="15" spans="1:12" ht="15.75" thickBot="1">
      <c r="A15" s="779"/>
      <c r="B15" s="347" t="s">
        <v>2308</v>
      </c>
      <c r="C15" s="348" t="s">
        <v>2881</v>
      </c>
      <c r="D15" s="349" t="n">
        <v>7465.0</v>
      </c>
      <c r="E15" s="781"/>
      <c r="F15" s="350" t="s">
        <v>2422</v>
      </c>
      <c r="G15" s="779"/>
      <c r="H15" s="347" t="s">
        <v>2308</v>
      </c>
      <c r="I15" s="348" t="s">
        <v>2881</v>
      </c>
      <c r="J15" s="349" t="n">
        <v>4477.0</v>
      </c>
      <c r="K15" s="781"/>
      <c r="L15" s="350" t="s">
        <v>2422</v>
      </c>
    </row>
    <row r="16" spans="1:12" ht="26.25" thickBot="1">
      <c r="A16" s="779"/>
      <c r="B16" s="347" t="s">
        <v>2310</v>
      </c>
      <c r="C16" s="348" t="s">
        <v>2872</v>
      </c>
      <c r="D16" s="349" t="n">
        <v>4731.0</v>
      </c>
      <c r="E16" s="781"/>
      <c r="F16" s="350" t="s">
        <v>2423</v>
      </c>
      <c r="G16" s="779"/>
      <c r="H16" s="347" t="s">
        <v>2310</v>
      </c>
      <c r="I16" s="348" t="s">
        <v>2872</v>
      </c>
      <c r="J16" s="349" t="n">
        <v>3434.0</v>
      </c>
      <c r="K16" s="781"/>
      <c r="L16" s="350" t="s">
        <v>2423</v>
      </c>
    </row>
    <row r="17" spans="1:14" ht="15.75" thickBot="1">
      <c r="A17" s="779"/>
      <c r="B17" s="347" t="s">
        <v>2424</v>
      </c>
      <c r="C17" s="348" t="s">
        <v>2869</v>
      </c>
      <c r="D17" s="349" t="n">
        <v>493021.0</v>
      </c>
      <c r="E17" s="781"/>
      <c r="F17" s="350" t="s">
        <v>2425</v>
      </c>
      <c r="G17" s="779"/>
      <c r="H17" s="347" t="s">
        <v>2424</v>
      </c>
      <c r="I17" s="348" t="s">
        <v>2869</v>
      </c>
      <c r="J17" s="349" t="n">
        <v>544574.0</v>
      </c>
      <c r="K17" s="781"/>
      <c r="L17" s="350" t="s">
        <v>2425</v>
      </c>
    </row>
    <row r="18" spans="1:14" ht="15.75" thickBot="1">
      <c r="A18" s="780"/>
      <c r="B18" s="351" t="s">
        <v>2426</v>
      </c>
      <c r="C18" s="352"/>
      <c r="D18" s="353" t="n">
        <v>761970.0</v>
      </c>
      <c r="E18" s="782"/>
      <c r="F18" s="354" t="s">
        <v>2427</v>
      </c>
      <c r="G18" s="780"/>
      <c r="H18" s="351" t="s">
        <v>2426</v>
      </c>
      <c r="I18" s="352"/>
      <c r="J18" s="353" t="n">
        <v>815700.0</v>
      </c>
      <c r="K18" s="782"/>
      <c r="L18" s="354" t="s">
        <v>2427</v>
      </c>
    </row>
    <row r="19" spans="1:14" ht="15.75" thickBot="1">
      <c r="A19" s="783" t="s">
        <v>2148</v>
      </c>
      <c r="B19" s="347" t="s">
        <v>2292</v>
      </c>
      <c r="C19" s="348" t="s">
        <v>2862</v>
      </c>
      <c r="D19" s="349" t="n">
        <v>4663.0</v>
      </c>
      <c r="E19" s="784" t="s">
        <v>2337</v>
      </c>
      <c r="F19" s="350" t="s">
        <v>2414</v>
      </c>
      <c r="G19" s="783" t="s">
        <v>2148</v>
      </c>
      <c r="H19" s="347" t="s">
        <v>2292</v>
      </c>
      <c r="I19" s="348" t="s">
        <v>2868</v>
      </c>
      <c r="J19" s="349" t="n">
        <v>2867.0</v>
      </c>
      <c r="K19" s="784" t="s">
        <v>2337</v>
      </c>
      <c r="L19" s="350" t="s">
        <v>2414</v>
      </c>
    </row>
    <row r="20" spans="1:14" ht="15.75" thickBot="1">
      <c r="A20" s="779"/>
      <c r="B20" s="347" t="s">
        <v>2294</v>
      </c>
      <c r="C20" s="348" t="s">
        <v>2868</v>
      </c>
      <c r="D20" s="349" t="n">
        <v>3530.0</v>
      </c>
      <c r="E20" s="781"/>
      <c r="F20" s="350" t="s">
        <v>2415</v>
      </c>
      <c r="G20" s="779"/>
      <c r="H20" s="347" t="s">
        <v>2294</v>
      </c>
      <c r="I20" s="348" t="s">
        <v>2854</v>
      </c>
      <c r="J20" s="349" t="n">
        <v>1827.0</v>
      </c>
      <c r="K20" s="781"/>
      <c r="L20" s="350" t="s">
        <v>2415</v>
      </c>
    </row>
    <row r="21" spans="1:14" ht="15.75" thickBot="1">
      <c r="A21" s="779"/>
      <c r="B21" s="347" t="s">
        <v>2296</v>
      </c>
      <c r="C21" s="348" t="s">
        <v>2887</v>
      </c>
      <c r="D21" s="349" t="n">
        <v>2341.0</v>
      </c>
      <c r="E21" s="781"/>
      <c r="F21" s="350" t="s">
        <v>2416</v>
      </c>
      <c r="G21" s="779"/>
      <c r="H21" s="347" t="s">
        <v>2296</v>
      </c>
      <c r="I21" s="348" t="s">
        <v>2862</v>
      </c>
      <c r="J21" s="349" t="n">
        <v>484.0</v>
      </c>
      <c r="K21" s="781"/>
      <c r="L21" s="350" t="s">
        <v>2416</v>
      </c>
    </row>
    <row r="22" spans="1:14" ht="15.75" thickBot="1">
      <c r="A22" s="779"/>
      <c r="B22" s="347" t="s">
        <v>2298</v>
      </c>
      <c r="C22" s="348" t="s">
        <v>2854</v>
      </c>
      <c r="D22" s="349" t="n">
        <v>1827.0</v>
      </c>
      <c r="E22" s="781"/>
      <c r="F22" s="350" t="s">
        <v>2417</v>
      </c>
      <c r="G22" s="779"/>
      <c r="H22" s="347" t="s">
        <v>2298</v>
      </c>
      <c r="I22" s="348" t="s">
        <v>2908</v>
      </c>
      <c r="J22" s="349" t="n">
        <v>387.0</v>
      </c>
      <c r="K22" s="781"/>
      <c r="L22" s="350" t="s">
        <v>2417</v>
      </c>
    </row>
    <row r="23" spans="1:14" ht="15.75" thickBot="1">
      <c r="A23" s="779"/>
      <c r="B23" s="347" t="s">
        <v>2300</v>
      </c>
      <c r="C23" s="348" t="s">
        <v>2865</v>
      </c>
      <c r="D23" s="349" t="n">
        <v>1605.0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2869</v>
      </c>
      <c r="D29" s="349" t="n">
        <v>892.0</v>
      </c>
      <c r="E29" s="781"/>
      <c r="F29" s="350" t="s">
        <v>2425</v>
      </c>
      <c r="G29" s="779"/>
      <c r="H29" s="347" t="s">
        <v>2424</v>
      </c>
      <c r="I29" s="348" t="s">
        <v>2869</v>
      </c>
      <c r="J29" s="349" t="n">
        <v>1119.0</v>
      </c>
      <c r="K29" s="781"/>
      <c r="L29" s="350" t="s">
        <v>2425</v>
      </c>
    </row>
    <row r="30" spans="1:14" ht="15.75" thickBot="1">
      <c r="A30" s="780"/>
      <c r="B30" s="351" t="s">
        <v>2426</v>
      </c>
      <c r="C30" s="352"/>
      <c r="D30" s="353" t="n">
        <v>14858.0</v>
      </c>
      <c r="E30" s="782"/>
      <c r="F30" s="354" t="s">
        <v>2427</v>
      </c>
      <c r="G30" s="780"/>
      <c r="H30" s="351" t="s">
        <v>2426</v>
      </c>
      <c r="I30" s="352"/>
      <c r="J30" s="353" t="n">
        <v>6684.0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761970.0</v>
      </c>
      <c r="D35" s="355" t="n">
        <v>119546.0</v>
      </c>
      <c r="E35" s="353" t="n">
        <v>642424.0</v>
      </c>
      <c r="F35" s="350" t="s">
        <v>2322</v>
      </c>
      <c r="G35" s="354" t="s">
        <v>2427</v>
      </c>
      <c r="H35" s="347" t="s">
        <v>2172</v>
      </c>
      <c r="I35" s="351" t="s">
        <v>2426</v>
      </c>
      <c r="J35" s="353" t="n">
        <v>815700.0</v>
      </c>
      <c r="K35" s="355" t="n">
        <v>108020.0</v>
      </c>
      <c r="L35" s="353" t="n">
        <v>707680.0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14858.0</v>
      </c>
      <c r="D40" s="355"/>
      <c r="E40" s="353" t="n">
        <v>14858.0</v>
      </c>
      <c r="F40" s="350" t="s">
        <v>2337</v>
      </c>
      <c r="G40" s="354" t="s">
        <v>2427</v>
      </c>
      <c r="H40" s="347" t="s">
        <v>2148</v>
      </c>
      <c r="I40" s="351" t="s">
        <v>2426</v>
      </c>
      <c r="J40" s="353" t="n">
        <v>6684.0</v>
      </c>
      <c r="K40" s="355"/>
      <c r="L40" s="353" t="n">
        <v>6684.0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194714.0</v>
      </c>
      <c r="C33" s="434" t="n">
        <v>154416.0</v>
      </c>
      <c r="D33" s="435" t="s">
        <v>2516</v>
      </c>
    </row>
    <row r="34" spans="1:4" ht="15.75" thickBot="1">
      <c r="A34" s="433" t="s">
        <v>2517</v>
      </c>
      <c r="B34" s="434" t="n">
        <v>197082.0</v>
      </c>
      <c r="C34" s="434" t="n">
        <v>218919.0</v>
      </c>
      <c r="D34" s="435" t="s">
        <v>2518</v>
      </c>
    </row>
    <row r="35" spans="1:4" ht="15.75" thickBot="1">
      <c r="A35" s="433" t="s">
        <v>2519</v>
      </c>
      <c r="B35" s="434" t="n">
        <v>240671.0</v>
      </c>
      <c r="C35" s="434" t="n">
        <v>277689.0</v>
      </c>
      <c r="D35" s="435" t="s">
        <v>2520</v>
      </c>
    </row>
    <row r="36" spans="1:4" ht="15.75" thickBot="1">
      <c r="A36" s="433" t="s">
        <v>2521</v>
      </c>
      <c r="B36" s="434" t="n">
        <v>1070962.0</v>
      </c>
      <c r="C36" s="434" t="n">
        <v>1165706.0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805.0</v>
      </c>
      <c r="C40" s="434" t="n">
        <v>1680.0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1704234.0</v>
      </c>
      <c r="C59" s="437" t="n">
        <v>1818410.0</v>
      </c>
      <c r="D59" s="430" t="s">
        <v>2568</v>
      </c>
    </row>
    <row r="60" spans="1:4" ht="26.25" thickBot="1">
      <c r="A60" s="436" t="s">
        <v>2569</v>
      </c>
      <c r="B60" s="438" t="n">
        <v>58191.0</v>
      </c>
      <c r="C60" s="438" t="n">
        <v>58376.0</v>
      </c>
      <c r="D60" s="430" t="s">
        <v>2570</v>
      </c>
    </row>
    <row r="61" spans="1:4" ht="15.75" thickBot="1">
      <c r="A61" s="436" t="s">
        <v>968</v>
      </c>
      <c r="B61" s="437"/>
      <c r="C61" s="437"/>
      <c r="D61" s="430" t="s">
        <v>969</v>
      </c>
    </row>
    <row r="62" spans="1:4" ht="15.75" thickBot="1">
      <c r="A62" s="433" t="s">
        <v>483</v>
      </c>
      <c r="B62" s="434" t="n">
        <v>1646043.0</v>
      </c>
      <c r="C62" s="434" t="n">
        <v>1760034.0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58376.0</v>
      </c>
      <c r="C68" s="434" t="n">
        <v>63753.0</v>
      </c>
      <c r="D68" s="435" t="s">
        <v>2574</v>
      </c>
    </row>
    <row r="69" spans="1:4" ht="26.25" thickBot="1">
      <c r="A69" s="440" t="s">
        <v>2575</v>
      </c>
      <c r="B69" s="434" t="n">
        <v>-185.0</v>
      </c>
      <c r="C69" s="434" t="n">
        <v>-5377.0</v>
      </c>
      <c r="D69" s="435" t="s">
        <v>2576</v>
      </c>
    </row>
    <row r="70" spans="1:4" ht="26.25" thickBot="1">
      <c r="A70" s="432" t="s">
        <v>2577</v>
      </c>
      <c r="B70" s="437" t="n">
        <v>58191.0</v>
      </c>
      <c r="C70" s="437" t="n">
        <v>58376.0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277689.0</v>
      </c>
      <c r="C6" s="550" t="n">
        <v>295006.0</v>
      </c>
      <c r="D6" s="551" t="s">
        <v>2702</v>
      </c>
    </row>
    <row r="7" spans="1:4" ht="15.75" thickBot="1">
      <c r="A7" s="549" t="s">
        <v>2703</v>
      </c>
      <c r="B7" s="552" t="n">
        <v>2941842.0</v>
      </c>
      <c r="C7" s="552" t="n">
        <v>3322092.0</v>
      </c>
      <c r="D7" s="551" t="s">
        <v>2704</v>
      </c>
    </row>
    <row r="8" spans="1:4" ht="15.75" thickBot="1">
      <c r="A8" s="549" t="s">
        <v>2705</v>
      </c>
      <c r="B8" s="550" t="n">
        <v>240671.0</v>
      </c>
      <c r="C8" s="550" t="n">
        <v>277689.0</v>
      </c>
      <c r="D8" s="551" t="s">
        <v>2706</v>
      </c>
    </row>
    <row r="9" spans="1:4" ht="15.75" thickBot="1">
      <c r="A9" s="553" t="s">
        <v>2707</v>
      </c>
      <c r="B9" s="554" t="n">
        <v>2978860.0</v>
      </c>
      <c r="C9" s="554" t="n">
        <v>3339409.0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317897.0</v>
      </c>
      <c r="C19" s="552" t="n">
        <v>274651.0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3677578.0</v>
      </c>
      <c r="C27" s="552" t="n">
        <v>3479361.0</v>
      </c>
      <c r="D27" s="551" t="s">
        <v>2744</v>
      </c>
    </row>
    <row r="28" spans="1:4" ht="15.75" thickBot="1">
      <c r="A28" s="553" t="s">
        <v>2745</v>
      </c>
      <c r="B28" s="554" t="n">
        <v>6974335.0</v>
      </c>
      <c r="C28" s="554" t="n">
        <v>7093421.0</v>
      </c>
      <c r="D28" s="548" t="s">
        <v>2746</v>
      </c>
    </row>
    <row r="29" spans="1:4" ht="15.75" thickBot="1">
      <c r="A29" s="549" t="s">
        <v>2747</v>
      </c>
      <c r="B29" s="550" t="n">
        <v>218919.0</v>
      </c>
      <c r="C29" s="550" t="n">
        <v>237603.0</v>
      </c>
      <c r="D29" s="551" t="s">
        <v>2748</v>
      </c>
    </row>
    <row r="30" spans="1:4" ht="15.75" thickBot="1">
      <c r="A30" s="549" t="s">
        <v>2749</v>
      </c>
      <c r="B30" s="550" t="n">
        <v>195041.0</v>
      </c>
      <c r="C30" s="550" t="n">
        <v>218919.0</v>
      </c>
      <c r="D30" s="551" t="s">
        <v>2750</v>
      </c>
    </row>
    <row r="31" spans="1:4" ht="15.75" thickBot="1">
      <c r="A31" s="553" t="s">
        <v>2751</v>
      </c>
      <c r="B31" s="554" t="n">
        <v>6998213.0</v>
      </c>
      <c r="C31" s="554" t="n">
        <v>7112105.0</v>
      </c>
      <c r="D31" s="548" t="s">
        <v>2752</v>
      </c>
    </row>
    <row r="32" spans="1:4" ht="15.75" thickBot="1">
      <c r="A32" s="549" t="s">
        <v>2753</v>
      </c>
      <c r="B32" s="550" t="n">
        <v>154416.0</v>
      </c>
      <c r="C32" s="550" t="n">
        <v>150830.0</v>
      </c>
      <c r="D32" s="551" t="s">
        <v>2754</v>
      </c>
    </row>
    <row r="33" spans="1:4" ht="15.75" thickBot="1">
      <c r="A33" s="549" t="s">
        <v>2755</v>
      </c>
      <c r="B33" s="552"/>
      <c r="C33" s="552"/>
      <c r="D33" s="551" t="s">
        <v>2756</v>
      </c>
    </row>
    <row r="34" spans="1:4" ht="15.75" thickBot="1">
      <c r="A34" s="549" t="s">
        <v>2757</v>
      </c>
      <c r="B34" s="550" t="n">
        <v>123573.0</v>
      </c>
      <c r="C34" s="550" t="n">
        <v>154416.0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7029056.0</v>
      </c>
      <c r="C39" s="554" t="n">
        <v>7108519.0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t="n">
        <v>30.0</v>
      </c>
      <c r="J95" s="569" t="n">
        <v>490479.0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490479.0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2936.0</v>
      </c>
      <c r="D228" s="569" t="n">
        <v>2936.0</v>
      </c>
      <c r="E228" s="888" t="s">
        <v>2793</v>
      </c>
      <c r="F228" s="570" t="s">
        <v>2321</v>
      </c>
      <c r="G228" s="885" t="s">
        <v>2793</v>
      </c>
      <c r="H228" s="568" t="s">
        <v>2321</v>
      </c>
      <c r="I228" s="569" t="n">
        <v>19661.0</v>
      </c>
      <c r="J228" s="569" t="n">
        <v>19661.0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2936.0</v>
      </c>
      <c r="E240" s="890"/>
      <c r="F240" s="574" t="s">
        <v>2336</v>
      </c>
      <c r="G240" s="887"/>
      <c r="H240" s="571" t="s">
        <v>2335</v>
      </c>
      <c r="I240" s="572"/>
      <c r="J240" s="573" t="n">
        <v>19661.0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401.0</v>
      </c>
      <c r="D277" s="569" t="n">
        <v>6732440.0</v>
      </c>
      <c r="E277" s="889"/>
      <c r="F277" s="570" t="s">
        <v>2332</v>
      </c>
      <c r="G277" s="886"/>
      <c r="H277" s="568" t="s">
        <v>2332</v>
      </c>
      <c r="I277" s="569" t="n">
        <v>272.0</v>
      </c>
      <c r="J277" s="569" t="n">
        <v>4397427.0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6732440.0</v>
      </c>
      <c r="E279" s="890"/>
      <c r="F279" s="574" t="s">
        <v>2336</v>
      </c>
      <c r="G279" s="887"/>
      <c r="H279" s="571" t="s">
        <v>2335</v>
      </c>
      <c r="I279" s="572"/>
      <c r="J279" s="573" t="n">
        <v>4397427.0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41667.0</v>
      </c>
      <c r="D291" s="569" t="n">
        <v>26667.0</v>
      </c>
      <c r="E291" s="889"/>
      <c r="F291" s="570" t="s">
        <v>2334</v>
      </c>
      <c r="G291" s="886"/>
      <c r="H291" s="568" t="s">
        <v>2333</v>
      </c>
      <c r="I291" s="569"/>
      <c r="J291" s="569"/>
      <c r="K291" s="889"/>
      <c r="L291" s="570" t="s">
        <v>2334</v>
      </c>
    </row>
    <row r="292" spans="1:12" ht="15.75" thickBot="1">
      <c r="A292" s="887"/>
      <c r="B292" s="571" t="s">
        <v>2335</v>
      </c>
      <c r="C292" s="572"/>
      <c r="D292" s="573" t="n">
        <v>26667.0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t="n">
        <v>67.0</v>
      </c>
      <c r="J303" s="569" t="n">
        <v>1090935.0</v>
      </c>
      <c r="K303" s="889"/>
      <c r="L303" s="570" t="s">
        <v>2332</v>
      </c>
    </row>
    <row r="304" spans="1:12" ht="26.25" thickBot="1">
      <c r="A304" s="886"/>
      <c r="B304" s="568" t="s">
        <v>2333</v>
      </c>
      <c r="C304" s="569"/>
      <c r="D304" s="569"/>
      <c r="E304" s="889"/>
      <c r="F304" s="570" t="s">
        <v>2334</v>
      </c>
      <c r="G304" s="886"/>
      <c r="H304" s="568" t="s">
        <v>2333</v>
      </c>
      <c r="I304" s="569" t="n">
        <v>269176.0</v>
      </c>
      <c r="J304" s="569" t="n">
        <v>170927.0</v>
      </c>
      <c r="K304" s="889"/>
      <c r="L304" s="570" t="s">
        <v>2334</v>
      </c>
    </row>
    <row r="305" spans="1:12" ht="15.75" thickBot="1">
      <c r="A305" s="887"/>
      <c r="B305" s="571" t="s">
        <v>2335</v>
      </c>
      <c r="C305" s="572"/>
      <c r="D305" s="573"/>
      <c r="E305" s="890"/>
      <c r="F305" s="574" t="s">
        <v>2336</v>
      </c>
      <c r="G305" s="887"/>
      <c r="H305" s="571" t="s">
        <v>2335</v>
      </c>
      <c r="I305" s="572"/>
      <c r="J305" s="573" t="n">
        <v>1261862.0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6762043.0</v>
      </c>
      <c r="E310" s="570" t="s">
        <v>2803</v>
      </c>
      <c r="F310" s="574" t="s">
        <v>2336</v>
      </c>
      <c r="G310" s="568" t="s">
        <v>2802</v>
      </c>
      <c r="H310" s="571" t="s">
        <v>2335</v>
      </c>
      <c r="I310" s="572"/>
      <c r="J310" s="573" t="n">
        <v>6169429.0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6762043.0</v>
      </c>
      <c r="C314" s="573" t="n">
        <v>6169429.0</v>
      </c>
      <c r="D314" s="574" t="s">
        <v>2804</v>
      </c>
    </row>
    <row r="315" spans="1:12" ht="26.25" thickBot="1">
      <c r="A315" s="577" t="s">
        <v>2805</v>
      </c>
      <c r="B315" s="569" t="n">
        <v>58082.0</v>
      </c>
      <c r="C315" s="569" t="n">
        <v>514.0</v>
      </c>
      <c r="D315" s="570" t="s">
        <v>2806</v>
      </c>
    </row>
    <row r="316" spans="1:12" ht="15.75" thickBot="1">
      <c r="A316" s="578" t="s">
        <v>2807</v>
      </c>
      <c r="B316" s="573" t="n">
        <v>6703961.0</v>
      </c>
      <c r="C316" s="573" t="n">
        <v>6168915.0</v>
      </c>
      <c r="D316" s="574" t="s">
        <v>2808</v>
      </c>
    </row>
    <row r="317" spans="1:12" ht="39" thickBot="1">
      <c r="A317" s="579" t="s">
        <v>749</v>
      </c>
      <c r="B317" s="569" t="n">
        <v>594793.0</v>
      </c>
      <c r="C317" s="569" t="n">
        <v>1779720.0</v>
      </c>
      <c r="D317" s="570" t="s">
        <v>750</v>
      </c>
    </row>
    <row r="318" spans="1:12" ht="26.25" thickBot="1">
      <c r="A318" s="579" t="s">
        <v>813</v>
      </c>
      <c r="B318" s="569" t="n">
        <v>6109168.0</v>
      </c>
      <c r="C318" s="569" t="n">
        <v>4389195.0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30.0</v>
      </c>
      <c r="L89" s="595" t="s">
        <v>2915</v>
      </c>
      <c r="M89" s="595" t="s">
        <v>2926</v>
      </c>
      <c r="N89" s="595" t="s">
        <v>2852</v>
      </c>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2936.0</v>
      </c>
      <c r="D211" s="595" t="s">
        <v>2864</v>
      </c>
      <c r="E211" s="595" t="s">
        <v>2859</v>
      </c>
      <c r="F211" s="595" t="s">
        <v>2852</v>
      </c>
      <c r="G211" s="903" t="s">
        <v>2793</v>
      </c>
      <c r="H211" s="596" t="s">
        <v>2321</v>
      </c>
      <c r="I211" s="900" t="s">
        <v>2793</v>
      </c>
      <c r="J211" s="593" t="s">
        <v>2321</v>
      </c>
      <c r="K211" s="594" t="n">
        <v>19661.0</v>
      </c>
      <c r="L211" s="595" t="s">
        <v>2857</v>
      </c>
      <c r="M211" s="595" t="s">
        <v>2859</v>
      </c>
      <c r="N211" s="595" t="s">
        <v>2852</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401.0</v>
      </c>
      <c r="D257" s="595" t="s">
        <v>2870</v>
      </c>
      <c r="E257" s="595" t="s">
        <v>2916</v>
      </c>
      <c r="F257" s="595" t="s">
        <v>2852</v>
      </c>
      <c r="G257" s="904"/>
      <c r="H257" s="596" t="s">
        <v>2332</v>
      </c>
      <c r="I257" s="901"/>
      <c r="J257" s="593" t="s">
        <v>2332</v>
      </c>
      <c r="K257" s="594" t="n">
        <v>272.0</v>
      </c>
      <c r="L257" s="595" t="s">
        <v>2934</v>
      </c>
      <c r="M257" s="595" t="s">
        <v>2878</v>
      </c>
      <c r="N257" s="595" t="s">
        <v>2852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67.0</v>
      </c>
      <c r="L269" s="595" t="s">
        <v>2929</v>
      </c>
      <c r="M269" s="595" t="s">
        <v>2867</v>
      </c>
      <c r="N269" s="595" t="s">
        <v>2852</v>
      </c>
      <c r="O269" s="904"/>
      <c r="P269" s="596" t="s">
        <v>2332</v>
      </c>
    </row>
    <row r="270" spans="1:16" ht="26.25" thickBot="1">
      <c r="A270" s="902"/>
      <c r="B270" s="593" t="s">
        <v>2333</v>
      </c>
      <c r="C270" s="594" t="n">
        <v>41667.0</v>
      </c>
      <c r="D270" s="595" t="s">
        <v>2925</v>
      </c>
      <c r="E270" s="595" t="s">
        <v>2895</v>
      </c>
      <c r="F270" s="595" t="s">
        <v>2852</v>
      </c>
      <c r="G270" s="905"/>
      <c r="H270" s="596" t="s">
        <v>2334</v>
      </c>
      <c r="I270" s="902"/>
      <c r="J270" s="593" t="s">
        <v>2333</v>
      </c>
      <c r="K270" s="594" t="n">
        <v>269176.0</v>
      </c>
      <c r="L270" s="595" t="s">
        <v>2858</v>
      </c>
      <c r="M270" s="595" t="s">
        <v>2923</v>
      </c>
      <c r="N270" s="595" t="s">
        <v>2852</v>
      </c>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772472.0</v>
      </c>
      <c r="J59" s="604" t="n">
        <v>772472.0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772472.0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19502.0</v>
      </c>
      <c r="D85" s="604" t="n">
        <v>19502.0</v>
      </c>
      <c r="E85" s="915" t="s">
        <v>2782</v>
      </c>
      <c r="F85" s="605" t="s">
        <v>2321</v>
      </c>
      <c r="G85" s="912" t="s">
        <v>2782</v>
      </c>
      <c r="H85" s="603" t="s">
        <v>2321</v>
      </c>
      <c r="I85" s="604" t="n">
        <v>19256.0</v>
      </c>
      <c r="J85" s="604" t="n">
        <v>19256.0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t="n">
        <v>5.0</v>
      </c>
      <c r="J95" s="604" t="n">
        <v>80810.0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19502.0</v>
      </c>
      <c r="E97" s="917"/>
      <c r="F97" s="609" t="s">
        <v>2336</v>
      </c>
      <c r="G97" s="914"/>
      <c r="H97" s="606" t="s">
        <v>2335</v>
      </c>
      <c r="I97" s="607"/>
      <c r="J97" s="608" t="n">
        <v>100066.0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t="n">
        <v>9339.0</v>
      </c>
      <c r="J215" s="604" t="n">
        <v>9339.0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t="n">
        <v>9339.0</v>
      </c>
      <c r="K227" s="917"/>
      <c r="L227" s="609" t="s">
        <v>2336</v>
      </c>
    </row>
    <row r="228" spans="1:12" ht="15.75" thickBot="1">
      <c r="A228" s="912" t="s">
        <v>2793</v>
      </c>
      <c r="B228" s="603" t="s">
        <v>2321</v>
      </c>
      <c r="C228" s="604" t="n">
        <v>20000.0</v>
      </c>
      <c r="D228" s="604" t="n">
        <v>20000.0</v>
      </c>
      <c r="E228" s="915" t="s">
        <v>2793</v>
      </c>
      <c r="F228" s="605" t="s">
        <v>2321</v>
      </c>
      <c r="G228" s="912" t="s">
        <v>2793</v>
      </c>
      <c r="H228" s="603" t="s">
        <v>2321</v>
      </c>
      <c r="I228" s="604" t="n">
        <v>20000.0</v>
      </c>
      <c r="J228" s="604" t="n">
        <v>20000.0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20000.0</v>
      </c>
      <c r="E240" s="917"/>
      <c r="F240" s="609" t="s">
        <v>2336</v>
      </c>
      <c r="G240" s="914"/>
      <c r="H240" s="606" t="s">
        <v>2335</v>
      </c>
      <c r="I240" s="607"/>
      <c r="J240" s="608" t="n">
        <v>20000.0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150000.0</v>
      </c>
      <c r="D267" s="604" t="n">
        <v>150000.0</v>
      </c>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20.0</v>
      </c>
      <c r="D277" s="604" t="n">
        <v>332284.0</v>
      </c>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482284.0</v>
      </c>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1409664.0</v>
      </c>
      <c r="D291" s="604" t="n">
        <v>902185.0</v>
      </c>
      <c r="E291" s="916"/>
      <c r="F291" s="605" t="s">
        <v>2334</v>
      </c>
      <c r="G291" s="913"/>
      <c r="H291" s="603" t="s">
        <v>2333</v>
      </c>
      <c r="I291" s="604" t="n">
        <v>1503743.0</v>
      </c>
      <c r="J291" s="604" t="n">
        <v>954879.0</v>
      </c>
      <c r="K291" s="916"/>
      <c r="L291" s="605" t="s">
        <v>2334</v>
      </c>
    </row>
    <row r="292" spans="1:12" ht="15.75" thickBot="1">
      <c r="A292" s="914"/>
      <c r="B292" s="606" t="s">
        <v>2335</v>
      </c>
      <c r="C292" s="607"/>
      <c r="D292" s="608" t="n">
        <v>902185.0</v>
      </c>
      <c r="E292" s="917"/>
      <c r="F292" s="609" t="s">
        <v>2336</v>
      </c>
      <c r="G292" s="914"/>
      <c r="H292" s="606" t="s">
        <v>2335</v>
      </c>
      <c r="I292" s="607"/>
      <c r="J292" s="608" t="n">
        <v>954879.0</v>
      </c>
      <c r="K292" s="917"/>
      <c r="L292" s="609" t="s">
        <v>2336</v>
      </c>
    </row>
    <row r="293" spans="1:12" ht="15.75" thickBot="1">
      <c r="A293" s="912" t="s">
        <v>2800</v>
      </c>
      <c r="B293" s="603" t="s">
        <v>2321</v>
      </c>
      <c r="C293" s="604" t="n">
        <v>300000.0</v>
      </c>
      <c r="D293" s="604" t="n">
        <v>300000.0</v>
      </c>
      <c r="E293" s="915" t="s">
        <v>2801</v>
      </c>
      <c r="F293" s="605" t="s">
        <v>2321</v>
      </c>
      <c r="G293" s="912" t="s">
        <v>2800</v>
      </c>
      <c r="H293" s="603" t="s">
        <v>2321</v>
      </c>
      <c r="I293" s="604" t="n">
        <v>300000.0</v>
      </c>
      <c r="J293" s="604" t="n">
        <v>300000.0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300000.0</v>
      </c>
      <c r="E305" s="917"/>
      <c r="F305" s="609" t="s">
        <v>2336</v>
      </c>
      <c r="G305" s="914"/>
      <c r="H305" s="606" t="s">
        <v>2335</v>
      </c>
      <c r="I305" s="607"/>
      <c r="J305" s="608" t="n">
        <v>300000.0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1723971.0</v>
      </c>
      <c r="E310" s="605" t="s">
        <v>2803</v>
      </c>
      <c r="F310" s="609" t="s">
        <v>2336</v>
      </c>
      <c r="G310" s="603" t="s">
        <v>2802</v>
      </c>
      <c r="H310" s="606" t="s">
        <v>2335</v>
      </c>
      <c r="I310" s="607"/>
      <c r="J310" s="608" t="n">
        <v>2156756.0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772472.0</v>
      </c>
      <c r="L55" s="649" t="s">
        <v>2919</v>
      </c>
      <c r="M55" s="649" t="s">
        <v>2882</v>
      </c>
      <c r="N55" s="649" t="s">
        <v>2851</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19502.0</v>
      </c>
      <c r="D79" s="649" t="s">
        <v>2866</v>
      </c>
      <c r="E79" s="649" t="s">
        <v>2859</v>
      </c>
      <c r="F79" s="649" t="s">
        <v>2851</v>
      </c>
      <c r="G79" s="945" t="s">
        <v>2782</v>
      </c>
      <c r="H79" s="650" t="s">
        <v>2321</v>
      </c>
      <c r="I79" s="942" t="s">
        <v>2782</v>
      </c>
      <c r="J79" s="647" t="s">
        <v>2321</v>
      </c>
      <c r="K79" s="648" t="n">
        <v>19256.0</v>
      </c>
      <c r="L79" s="649" t="s">
        <v>2897</v>
      </c>
      <c r="M79" s="649" t="s">
        <v>2859</v>
      </c>
      <c r="N79" s="649" t="s">
        <v>2851</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t="n">
        <v>5.0</v>
      </c>
      <c r="L89" s="649" t="s">
        <v>2876</v>
      </c>
      <c r="M89" s="649" t="s">
        <v>2911</v>
      </c>
      <c r="N89" s="649" t="s">
        <v>2852</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9339.0</v>
      </c>
      <c r="L199" s="649" t="s">
        <v>2907</v>
      </c>
      <c r="M199" s="649" t="s">
        <v>2902</v>
      </c>
      <c r="N199" s="649" t="s">
        <v>2851</v>
      </c>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20000.0</v>
      </c>
      <c r="D211" s="649" t="s">
        <v>2864</v>
      </c>
      <c r="E211" s="649" t="s">
        <v>2859</v>
      </c>
      <c r="F211" s="649" t="s">
        <v>2852</v>
      </c>
      <c r="G211" s="945" t="s">
        <v>2793</v>
      </c>
      <c r="H211" s="650" t="s">
        <v>2321</v>
      </c>
      <c r="I211" s="942" t="s">
        <v>2793</v>
      </c>
      <c r="J211" s="647" t="s">
        <v>2321</v>
      </c>
      <c r="K211" s="648" t="n">
        <v>20000.0</v>
      </c>
      <c r="L211" s="649" t="s">
        <v>2901</v>
      </c>
      <c r="M211" s="649" t="s">
        <v>2859</v>
      </c>
      <c r="N211" s="649" t="s">
        <v>2852</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150000.0</v>
      </c>
      <c r="D247" s="649" t="s">
        <v>2879</v>
      </c>
      <c r="E247" s="649" t="s">
        <v>2889</v>
      </c>
      <c r="F247" s="649" t="s">
        <v>2852</v>
      </c>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20.0</v>
      </c>
      <c r="D257" s="649" t="s">
        <v>2879</v>
      </c>
      <c r="E257" s="649" t="s">
        <v>2916</v>
      </c>
      <c r="F257" s="649" t="s">
        <v>2852</v>
      </c>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t="n">
        <v>1409664.0</v>
      </c>
      <c r="D270" s="649" t="s">
        <v>2861</v>
      </c>
      <c r="E270" s="649" t="s">
        <v>2863</v>
      </c>
      <c r="F270" s="649" t="s">
        <v>2852</v>
      </c>
      <c r="G270" s="947"/>
      <c r="H270" s="650" t="s">
        <v>2334</v>
      </c>
      <c r="I270" s="944"/>
      <c r="J270" s="647" t="s">
        <v>2333</v>
      </c>
      <c r="K270" s="648" t="n">
        <v>1503743.0</v>
      </c>
      <c r="L270" s="649" t="s">
        <v>2912</v>
      </c>
      <c r="M270" s="649" t="s">
        <v>2914</v>
      </c>
      <c r="N270" s="649" t="s">
        <v>2852</v>
      </c>
      <c r="O270" s="947"/>
      <c r="P270" s="650" t="s">
        <v>2334</v>
      </c>
    </row>
    <row r="271" spans="1:16" ht="15.75" thickBot="1">
      <c r="A271" s="942" t="s">
        <v>2800</v>
      </c>
      <c r="B271" s="647" t="s">
        <v>2321</v>
      </c>
      <c r="C271" s="648" t="n">
        <v>300000.0</v>
      </c>
      <c r="D271" s="649" t="s">
        <v>2896</v>
      </c>
      <c r="E271" s="649" t="s">
        <v>2930</v>
      </c>
      <c r="F271" s="649" t="s">
        <v>2851</v>
      </c>
      <c r="G271" s="945" t="s">
        <v>2801</v>
      </c>
      <c r="H271" s="650" t="s">
        <v>2321</v>
      </c>
      <c r="I271" s="942" t="s">
        <v>2800</v>
      </c>
      <c r="J271" s="647" t="s">
        <v>2321</v>
      </c>
      <c r="K271" s="648" t="n">
        <v>300000.0</v>
      </c>
      <c r="L271" s="649" t="s">
        <v>2884</v>
      </c>
      <c r="M271" s="649" t="s">
        <v>2928</v>
      </c>
      <c r="N271" s="649" t="s">
        <v>2851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