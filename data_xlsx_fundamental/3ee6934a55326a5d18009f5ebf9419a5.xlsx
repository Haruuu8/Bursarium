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2"/>
  <workbookPr/>
  <mc:AlternateContent xmlns:mc="http://schemas.openxmlformats.org/markup-compatibility/2006">
    <mc:Choice Requires="x15">
      <x15ac:absPath xmlns:x15ac="http://schemas.microsoft.com/office/spreadsheetml/2010/11/ac" url="\\192.168.18.154\fujitsu-xbrl-files\raportado\output\trst_maker_0112_2024_0_153_1722216853842\excel-submitted\"/>
    </mc:Choice>
  </mc:AlternateContent>
  <xr:revisionPtr revIDLastSave="0" documentId="13_ncr:1_{602CBEB8-6736-4138-8C1A-113560A76239}" xr6:coauthVersionLast="36" xr6:coauthVersionMax="36" xr10:uidLastSave="{00000000-0000-0000-0000-000000000000}"/>
  <bookViews>
    <workbookView xWindow="0" yWindow="0" windowWidth="17970" windowHeight="5535" firstSheet="20" activeTab="26"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30000" sheetId="18" r:id="rId16"/>
    <sheet name="1632000" sheetId="19" r:id="rId17"/>
    <sheet name="16401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'1630000'!$B$65</definedName>
    <definedName name="rap.context.title.CurrentYearDuration.0" localSheetId="16">'1632000'!$B$4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'1630000'!$B$4</definedName>
    <definedName name="rap.context.title.CurrentYearInstant.0" localSheetId="17">'1640100'!$A$3</definedName>
    <definedName name="rap.context.title.CurrentYearInstant.0" localSheetId="18">'1640200'!$A$3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'1620200'!$A$8</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14">'1620200'!$A$43</definedName>
    <definedName name="rap.context.title.CurrentYearInstant.2" localSheetId="18">'1640200'!$A$43</definedName>
    <definedName name="rap.context.title.CurrentYearInstant.2" localSheetId="21">'1691000a'!$B$312</definedName>
    <definedName name="rap.context.title.CurrentYearInstant.2">'1620100'!$A$38</definedName>
    <definedName name="rap.context.title.PriorEndYearInstant.0" localSheetId="13">'1620100'!$F$3</definedName>
    <definedName name="rap.context.title.PriorEndYearInstant.0" localSheetId="14">'1620200'!$F$3</definedName>
    <definedName name="rap.context.title.PriorEndYearInstant.0" localSheetId="15">'1630000'!$C$4</definedName>
    <definedName name="rap.context.title.PriorEndYearInstant.0" localSheetId="17">'1640100'!$F$3</definedName>
    <definedName name="rap.context.title.PriorEndYearInstant.0" localSheetId="18">'1640200'!$F$3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4">'1620200'!$F$8</definedName>
    <definedName name="rap.context.title.PriorEndYearInstant.1" localSheetId="15">'1630000'!$C$65</definedName>
    <definedName name="rap.context.title.PriorEndYearInstant.1" localSheetId="18">'1640200'!$F$38</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'1620100'!$H$33</definedName>
    <definedName name="rap.context.title.PriorEndYearInstant.2" localSheetId="14">'1620200'!$H$43</definedName>
    <definedName name="rap.context.title.PriorEndYearInstant.2" localSheetId="18">'1640200'!$F$43</definedName>
    <definedName name="rap.context.title.PriorEndYearInstant.2" localSheetId="21">'1691000a'!$C$312</definedName>
    <definedName name="rap.context.title.PriorEndYearInstant.2">'1620100'!$H$38</definedName>
    <definedName name="rap.context.title.PriorYearDuration.0" localSheetId="12">'1617000'!$E$3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<sst xmlns="http://schemas.openxmlformats.org/spreadsheetml/2006/main" count="8453" uniqueCount="2161">
  <si>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</si>
  <si>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</si>
  <si>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</si>
  <si>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</si>
  <si>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</si>
  <si>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</si>
  <si>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</si>
  <si>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</si>
  <si>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</si>
  <si>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</si>
  <si>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endDate</t>
    <phoneticPr fontId="0"/>
  </si>
  <si>
    <t>instant</t>
    <phoneticPr fontId="0"/>
  </si>
  <si>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</si>
  <si>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</si>
  <si>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</si>
  <si>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</si>
  <si>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</si>
  <si>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</si>
  <si>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</si>
  <si>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</si>
  <si>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</si>
  <si>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</si>
  <si>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</si>
  <si>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</si>
  <si>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</si>
  <si>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</si>
  <si>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</si>
  <si>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</si>
  <si>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</si>
  <si>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</si>
  <si>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</si>
  <si>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</si>
  <si>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</si>
  <si>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</si>
  <si>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</si>
  <si>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</si>
  <si>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</si>
  <si>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</si>
  <si>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</si>
  <si>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</si>
  <si>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</si>
  <si>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</si>
  <si>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</si>
  <si>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</si>
  <si>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</si>
  <si>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</si>
  <si>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</si>
  <si>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</si>
  <si>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</si>
  <si>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</si>
  <si>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</si>
  <si>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</si>
  <si>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</si>
  <si>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</si>
  <si>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</si>
  <si>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</si>
  <si>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</si>
  <si>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</si>
  <si>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</si>
  <si>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</si>
  <si>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</si>
  <si>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</si>
  <si>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</si>
  <si>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</si>
  <si>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</si>
  <si>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</si>
  <si>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</si>
  <si>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</si>
  <si>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</si>
  <si>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</si>
  <si>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</si>
  <si>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</si>
  <si>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</si>
  <si>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</si>
  <si>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</si>
  <si>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</si>
  <si>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</si>
  <si>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</si>
  <si>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</si>
  <si>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</si>
  <si>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</si>
  <si>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</si>
  <si>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</si>
  <si>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</si>
  <si>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</si>
  <si>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</si>
  <si>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</si>
  <si>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</si>
  <si>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</si>
  <si>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</si>
  <si>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</si>
  <si>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</si>
  <si>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</si>
  <si>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</si>
  <si>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</si>
  <si>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</si>
  <si>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</si>
  <si>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</si>
  <si>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</si>
  <si>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</si>
  <si>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</si>
  <si>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</si>
  <si>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</si>
  <si>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</si>
  <si>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</si>
  <si>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</si>
  <si>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</si>
  <si>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</si>
  <si>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</si>
  <si>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</si>
  <si>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</si>
  <si>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</si>
  <si>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</si>
  <si>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</si>
  <si>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</si>
  <si>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</si>
  <si>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</si>
  <si>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</si>
  <si>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</si>
  <si>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</si>
  <si>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</si>
  <si>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</si>
  <si>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</si>
  <si>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</si>
  <si>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</si>
  <si>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</si>
  <si>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</si>
  <si>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</si>
  <si>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</si>
  <si>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</si>
  <si>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</si>
  <si>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</si>
  <si>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</si>
  <si>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</si>
  <si>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</si>
  <si>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</si>
  <si>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</si>
  <si>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</si>
  <si>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</si>
  <si>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</si>
  <si>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</si>
  <si>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</si>
  <si>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</si>
  <si>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</si>
  <si>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</si>
  <si>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</si>
  <si>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</si>
  <si>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</si>
  <si>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</si>
  <si>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</si>
  <si>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</si>
  <si>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</si>
  <si>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</si>
  <si>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</si>
  <si>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</si>
  <si>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</si>
  <si>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</si>
  <si>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</si>
  <si>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</si>
  <si>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</si>
  <si>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</si>
  <si>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</si>
  <si>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</si>
  <si>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</si>
  <si>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</si>
  <si>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</si>
  <si>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</si>
  <si>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</si>
  <si>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</si>
  <si>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</si>
  <si>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</si>
  <si>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</si>
  <si>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</si>
  <si>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</si>
  <si>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</si>
  <si>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</si>
  <si>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</si>
  <si>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</si>
  <si>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</si>
  <si>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</si>
  <si>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</si>
  <si>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</si>
  <si>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</si>
  <si>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</si>
  <si>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</si>
  <si>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</si>
  <si>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</si>
  <si>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</si>
  <si>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</si>
  <si>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</si>
  <si>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</si>
  <si>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</si>
  <si>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</si>
  <si>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</si>
  <si>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</si>
  <si>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</si>
  <si>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</si>
  <si>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</si>
  <si>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</si>
  <si>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</si>
  <si>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</si>
  <si>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</si>
  <si>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</si>
  <si>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</si>
  <si>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</si>
  <si>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</si>
  <si>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</si>
  <si>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</si>
  <si>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</si>
  <si>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</si>
  <si>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</si>
  <si>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</si>
  <si>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</si>
  <si>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</si>
  <si>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</si>
  <si>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</si>
  <si>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</si>
  <si>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</si>
  <si>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</si>
  <si>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</si>
  <si>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</si>
  <si>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</si>
  <si>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</si>
  <si>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</si>
  <si>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</si>
  <si>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</si>
  <si>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</si>
  <si>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</si>
  <si>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</si>
  <si>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</si>
  <si>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</si>
  <si>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</si>
  <si>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</si>
  <si>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</si>
  <si>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</si>
  <si>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</si>
  <si>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</si>
  <si>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</si>
  <si>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</si>
  <si>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</si>
  <si>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</si>
  <si>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</si>
  <si>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</si>
  <si>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</si>
  <si>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</si>
  <si>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</si>
  <si>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</si>
  <si>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</si>
  <si>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</si>
  <si>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</si>
  <si>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</si>
  <si>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</si>
  <si>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</si>
  <si>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</si>
  <si>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</si>
  <si>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</si>
  <si>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</si>
  <si>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</si>
  <si>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</si>
  <si>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</si>
  <si>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</si>
  <si>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</si>
  <si>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</si>
  <si>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</si>
  <si>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</si>
  <si>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</si>
  <si>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</si>
  <si>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</si>
  <si>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</si>
  <si>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</si>
  <si>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</si>
  <si>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</si>
  <si>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</si>
  <si>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</si>
  <si>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</si>
  <si>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</si>
  <si>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</si>
  <si>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</si>
  <si>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</si>
  <si>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</si>
  <si>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</si>
  <si>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</si>
  <si>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</si>
  <si>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</si>
  <si>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</si>
  <si>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</si>
  <si>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</si>
  <si>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</si>
  <si>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</si>
  <si>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</si>
  <si>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</si>
  <si>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</si>
  <si>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</si>
  <si>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</si>
  <si>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</si>
  <si>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</si>
  <si>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</si>
  <si>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</si>
  <si>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</si>
  <si>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</si>
  <si>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</si>
  <si>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</si>
  <si>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</si>
  <si>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</si>
  <si>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</si>
  <si>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</si>
  <si>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</si>
  <si>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</si>
  <si>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</si>
  <si>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</si>
  <si>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</si>
  <si>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</si>
  <si>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</si>
  <si>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</si>
  <si>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</si>
  <si>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</si>
  <si>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</si>
  <si>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</si>
  <si>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</si>
  <si>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</si>
  <si>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</si>
  <si>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</si>
  <si>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</si>
  <si>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</si>
  <si>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</si>
  <si>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</si>
  <si>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</si>
  <si>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</si>
  <si>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</si>
  <si>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</si>
  <si>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</si>
  <si>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</si>
  <si>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</si>
  <si>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</si>
  <si>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</si>
  <si>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</si>
  <si>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</si>
  <si>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</si>
  <si>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</si>
  <si>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</si>
  <si>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</si>
  <si>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</si>
  <si>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</si>
  <si>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</si>
  <si>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</si>
  <si>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</si>
  <si>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</si>
  <si>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</si>
  <si>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</si>
  <si>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</si>
  <si>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</si>
  <si>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</si>
  <si>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</si>
  <si>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</si>
  <si>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</si>
  <si>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</si>
  <si>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</si>
  <si>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</si>
  <si>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</si>
  <si>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</si>
  <si>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</si>
  <si>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</si>
  <si>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</si>
  <si>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</si>
  <si>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</si>
  <si>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</si>
  <si>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</si>
  <si>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</si>
  <si>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</si>
  <si>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</si>
  <si>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</si>
  <si>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</si>
  <si>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</si>
  <si>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</si>
  <si>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</si>
  <si>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</si>
  <si>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</si>
  <si>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</si>
  <si>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</si>
  <si>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</si>
  <si>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</si>
  <si>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</si>
  <si>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</si>
  <si>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</si>
  <si>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</si>
  <si>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</si>
  <si>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</si>
  <si>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</si>
  <si>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</si>
  <si>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</si>
  <si>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</si>
  <si>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</si>
  <si>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</si>
  <si>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</si>
  <si>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</si>
  <si>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</si>
  <si>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</si>
  <si>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</si>
  <si>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</si>
  <si>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</si>
  <si>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</si>
  <si>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</si>
  <si>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</si>
  <si>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</si>
  <si>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</si>
  <si>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</si>
  <si>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</si>
  <si>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</si>
  <si>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</si>
  <si>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</si>
  <si>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</si>
  <si>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</si>
  <si>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</si>
  <si>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</si>
  <si>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</si>
  <si>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</si>
  <si>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</si>
  <si>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</si>
  <si>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</si>
  <si>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</si>
  <si>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TRST</t>
  </si>
  <si>
    <t>2024-06-30</t>
  </si>
  <si>
    <t>2024-01-01</t>
  </si>
  <si>
    <t>AA099</t>
  </si>
  <si>
    <t>Trias Sentosa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</si>
  <si>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</si>
  <si>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</si>
  <si>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</si>
  <si>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</si>
  <si>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</si>
  <si>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</si>
  <si>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</si>
  <si>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</si>
  <si>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</si>
  <si>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</si>
  <si>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</si>
  <si>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</si>
  <si>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</si>
  <si>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</si>
  <si>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</si>
  <si>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</si>
  <si>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</si>
  <si>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</si>
  <si>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</si>
  <si>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</si>
  <si>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</si>
  <si>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</si>
  <si>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</si>
  <si>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</si>
  <si>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</si>
  <si>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</si>
  <si>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</si>
  <si>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</si>
  <si>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</si>
  <si>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</si>
  <si>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</si>
  <si>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</si>
  <si>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</si>
  <si>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</si>
  <si>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</si>
  <si>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</si>
  <si>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</si>
  <si>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</si>
  <si>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</si>
  <si>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</si>
  <si>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</si>
  <si>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</si>
  <si>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</si>
  <si>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</si>
  <si>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</si>
  <si>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</si>
  <si>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</si>
  <si>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</si>
  <si>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</si>
  <si>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</si>
  <si>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</si>
  <si>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</si>
  <si>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</si>
  <si>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</si>
  <si>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</si>
  <si>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</si>
  <si>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</si>
  <si>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</si>
  <si>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</si>
  <si>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</si>
  <si>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</si>
  <si>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</si>
  <si>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</si>
  <si>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</si>
  <si>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</si>
  <si>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</si>
  <si>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</si>
  <si>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</si>
  <si>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</si>
  <si>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</si>
  <si>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</si>
  <si>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</si>
  <si>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</si>
  <si>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</si>
  <si>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</si>
  <si>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</si>
  <si>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</si>
  <si>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</si>
  <si>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</si>
  <si>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</si>
  <si>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</si>
  <si>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</si>
  <si>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</si>
  <si>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</si>
  <si>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</si>
  <si>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</si>
  <si>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</si>
  <si>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</si>
  <si>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</si>
  <si>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</si>
  <si>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</si>
  <si>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</si>
  <si>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</si>
  <si>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</si>
  <si>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</si>
  <si>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</si>
  <si>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</si>
  <si>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</si>
  <si>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</si>
  <si>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</si>
  <si>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</si>
  <si>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</si>
  <si>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</si>
  <si>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</si>
  <si>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</si>
  <si>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</si>
  <si>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</si>
  <si>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</si>
  <si>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</si>
  <si>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</si>
  <si>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</si>
  <si>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</si>
  <si>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</si>
  <si>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</si>
  <si>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</si>
  <si>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</si>
  <si>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</si>
  <si>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</si>
  <si>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</si>
  <si>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</si>
  <si>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</si>
  <si>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</si>
  <si>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</si>
  <si>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</si>
  <si>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</si>
  <si>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</si>
  <si>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</si>
  <si>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</si>
  <si>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</si>
  <si>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</si>
  <si>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</si>
  <si>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</si>
  <si>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</si>
  <si>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</si>
  <si>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</si>
  <si>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</si>
  <si>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</si>
  <si>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</si>
  <si>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</si>
  <si>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</si>
  <si>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</si>
  <si>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</si>
  <si>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</si>
  <si>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</si>
  <si>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</si>
  <si>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</si>
  <si>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</si>
  <si>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</si>
  <si>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</si>
  <si>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</si>
  <si>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</si>
  <si>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</si>
  <si>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</si>
  <si>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</si>
  <si>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</si>
  <si>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</si>
  <si>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</si>
  <si>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</si>
  <si>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</si>
  <si>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</si>
  <si>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</si>
  <si>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</si>
  <si>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</si>
  <si>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</si>
  <si>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</si>
  <si>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</si>
  <si>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</si>
  <si>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</si>
  <si>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</si>
  <si>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</si>
  <si>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</si>
  <si>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</si>
  <si>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</si>
  <si>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</si>
  <si>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</si>
  <si>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</si>
  <si>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</si>
  <si>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</si>
  <si>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</si>
  <si>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</si>
  <si>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</si>
  <si>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</si>
  <si>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</si>
  <si>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</si>
  <si>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</si>
  <si>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</si>
  <si>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</si>
  <si>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</si>
  <si>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</si>
  <si>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</si>
  <si>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</si>
  <si>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</si>
  <si>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</si>
  <si>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</si>
  <si>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</si>
  <si>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</si>
  <si>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</si>
  <si>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</si>
  <si>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</si>
  <si>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</si>
  <si>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</si>
  <si>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</si>
  <si>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</si>
  <si>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</si>
  <si>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</si>
  <si>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</si>
  <si>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</si>
  <si>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</si>
  <si>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</si>
  <si>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</si>
  <si>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</si>
  <si>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</si>
  <si>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</si>
  <si>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</si>
  <si>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</si>
  <si>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</si>
  <si>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</si>
  <si>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</si>
  <si>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</si>
  <si>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</si>
  <si>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</si>
  <si>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</si>
  <si>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</si>
  <si>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</si>
  <si>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</si>
  <si>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</si>
  <si>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</si>
  <si>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</si>
  <si>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</si>
  <si>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</si>
  <si>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</si>
  <si>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</si>
  <si>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</si>
  <si>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</si>
  <si>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</si>
  <si>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</si>
  <si>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</si>
  <si>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</si>
  <si>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</si>
  <si>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</si>
  <si>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</si>
  <si>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</si>
  <si>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</si>
  <si>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</si>
  <si>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</si>
  <si>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</si>
  <si>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</si>
  <si>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</si>
  <si>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</si>
  <si>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</si>
  <si>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</si>
  <si>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</si>
  <si>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</si>
  <si>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</si>
  <si>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</si>
  <si>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</si>
  <si>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</si>
  <si>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</si>
  <si>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</si>
  <si>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</si>
  <si>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</si>
  <si>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</si>
  <si>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</si>
  <si>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</si>
  <si>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</si>
  <si>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</si>
  <si>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</si>
  <si>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</si>
  <si>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</si>
  <si>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</si>
  <si>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</si>
  <si>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</si>
  <si>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</si>
  <si>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</si>
  <si>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</si>
  <si>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</si>
  <si>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</si>
  <si>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</si>
  <si>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</si>
  <si>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</si>
  <si>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</si>
  <si>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</si>
  <si>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</si>
  <si>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</si>
  <si>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</si>
  <si>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</si>
  <si>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</si>
  <si>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</si>
  <si>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</si>
  <si>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</si>
  <si>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</si>
  <si>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</si>
  <si>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</si>
  <si>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</si>
  <si>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</si>
  <si>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</si>
  <si>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</si>
  <si>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</si>
  <si>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</si>
  <si>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</si>
  <si>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</si>
  <si>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</si>
  <si>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</si>
  <si>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</si>
  <si>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</si>
  <si>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</si>
  <si>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</si>
  <si>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</si>
  <si>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</si>
  <si>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</si>
  <si>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</si>
  <si>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</si>
  <si>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</si>
  <si>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</si>
  <si>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</si>
  <si>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</si>
  <si>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</si>
  <si>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</si>
  <si>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</si>
  <si>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</si>
  <si>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</si>
  <si>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</si>
  <si>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</si>
  <si>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</si>
  <si>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</si>
  <si>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</si>
  <si>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</si>
  <si>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</si>
  <si>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</si>
  <si>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</si>
  <si>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</si>
  <si>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</si>
  <si>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</si>
  <si>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</si>
  <si>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</si>
  <si>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</si>
  <si>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</si>
  <si>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</si>
  <si>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</si>
  <si>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</si>
  <si>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</si>
  <si>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</si>
  <si>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</si>
  <si>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</si>
  <si>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</si>
  <si>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</si>
  <si>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</si>
  <si>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</si>
  <si>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</si>
  <si>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</si>
  <si>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</si>
  <si>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</si>
  <si>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</si>
  <si>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</si>
  <si>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</si>
  <si>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</si>
  <si>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</si>
  <si>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</si>
  <si>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</si>
  <si>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</si>
  <si>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</si>
  <si>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</si>
  <si>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</si>
  <si>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</si>
  <si>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</si>
  <si>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</si>
  <si>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</si>
  <si>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</si>
  <si>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</si>
  <si>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</si>
  <si>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</si>
  <si>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</si>
  <si>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</si>
  <si>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</si>
  <si>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</si>
  <si>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</si>
  <si>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</si>
  <si>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</si>
  <si>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</si>
  <si>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</si>
  <si>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</si>
  <si>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</si>
  <si>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</si>
  <si>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</si>
  <si>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</si>
  <si>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</si>
  <si>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</si>
  <si>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</si>
  <si>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</si>
  <si>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</si>
  <si>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</si>
  <si>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</si>
  <si>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</si>
  <si>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</si>
  <si>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</si>
  <si>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</si>
  <si>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</si>
  <si>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</si>
  <si>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</si>
  <si>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</si>
  <si>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</si>
  <si>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</si>
  <si>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</si>
  <si>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</si>
  <si>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</si>
  <si>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</si>
  <si>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</si>
  <si>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</si>
  <si>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</si>
  <si>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</si>
  <si>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</si>
  <si>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</si>
  <si>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</si>
  <si>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</si>
  <si>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</si>
  <si>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</si>
  <si>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</si>
  <si>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</si>
  <si>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</si>
  <si>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</si>
  <si>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</si>
  <si>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</si>
  <si>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</si>
  <si>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</si>
  <si>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</si>
  <si>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</si>
  <si>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</si>
  <si>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</si>
  <si>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</si>
  <si>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</si>
  <si>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</si>
  <si>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</si>
  <si>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</si>
  <si>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</si>
  <si>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</si>
  <si>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</si>
  <si>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</si>
  <si>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</si>
  <si>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</si>
  <si>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</si>
  <si>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</si>
  <si>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</si>
  <si>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</si>
  <si>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</si>
  <si>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</si>
  <si>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</si>
  <si>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</si>
  <si>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</si>
  <si>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</si>
  <si>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</si>
  <si>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</si>
  <si>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</si>
  <si>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</si>
  <si>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</si>
  <si>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</si>
  <si>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</si>
  <si>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</si>
  <si>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</si>
  <si>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</si>
  <si>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</si>
  <si>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</si>
  <si>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</si>
  <si>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</si>
  <si>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</si>
  <si>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</si>
  <si>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</si>
  <si>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</si>
  <si>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</si>
  <si>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</si>
  <si>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</si>
  <si>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</si>
  <si>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</si>
  <si>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</si>
  <si>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</si>
  <si>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</si>
  <si>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</si>
  <si>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</si>
  <si>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</si>
  <si>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</si>
  <si>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</si>
  <si>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</si>
  <si>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</si>
  <si>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</si>
  <si>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</si>
  <si>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</si>
  <si>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</si>
  <si>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</si>
  <si>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</si>
  <si>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</si>
  <si>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</si>
  <si>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</si>
  <si>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</si>
  <si>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</si>
  <si>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</si>
  <si>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</si>
  <si>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</si>
  <si>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</si>
  <si>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</si>
  <si>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</si>
  <si>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</si>
  <si>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</si>
  <si>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</si>
  <si>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</si>
  <si>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</si>
  <si>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</si>
  <si>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</si>
  <si>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</si>
  <si>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</si>
  <si>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</si>
  <si>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</si>
  <si>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</si>
  <si>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</si>
  <si>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</si>
  <si>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</si>
  <si>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</si>
  <si>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</si>
  <si>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</si>
  <si>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</si>
  <si>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</si>
  <si>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</si>
  <si>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</si>
  <si>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</si>
  <si>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</si>
  <si>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</si>
  <si>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</si>
  <si>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</si>
  <si>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</si>
  <si>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</si>
  <si>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</si>
  <si>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</si>
  <si>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</si>
  <si>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</si>
  <si>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</si>
  <si>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</si>
  <si>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</si>
  <si>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</si>
  <si>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</si>
  <si>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</si>
  <si>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</si>
  <si>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</si>
  <si>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</si>
  <si>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</si>
  <si>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</si>
  <si>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</si>
  <si>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</si>
  <si>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</si>
  <si>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</si>
  <si>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</si>
  <si>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</si>
  <si>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</si>
  <si>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</si>
  <si>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</si>
  <si>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</si>
  <si>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</si>
  <si>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</si>
  <si>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</si>
  <si>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</si>
  <si>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</si>
  <si>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</si>
  <si>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</si>
  <si>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</si>
  <si>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</si>
  <si>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</si>
  <si>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</si>
  <si>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</si>
  <si>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</si>
  <si>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</si>
  <si>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</si>
  <si>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</si>
  <si>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</si>
  <si>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</si>
  <si>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</si>
  <si>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</si>
  <si>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</si>
  <si>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</si>
  <si>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</si>
  <si>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</si>
  <si>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</si>
  <si>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</si>
  <si>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</si>
  <si>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</si>
  <si>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</si>
  <si>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</si>
  <si>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</si>
  <si>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</si>
  <si>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</si>
  <si>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</si>
  <si>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</si>
  <si>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</si>
  <si>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</si>
  <si>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</si>
  <si>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</si>
  <si>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</si>
  <si>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</si>
  <si>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</si>
  <si>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</si>
  <si>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</si>
  <si>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</si>
  <si>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</si>
  <si>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</si>
  <si>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</si>
  <si>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</si>
  <si>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</si>
  <si>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</si>
  <si>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</si>
  <si>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</si>
  <si>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</si>
  <si>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</si>
  <si>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</si>
  <si>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</si>
  <si>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</si>
  <si>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</si>
  <si>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</si>
  <si>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</si>
  <si>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</si>
  <si>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</si>
  <si>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</si>
  <si>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</si>
  <si>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</si>
  <si>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</si>
  <si>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</si>
  <si>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</si>
  <si>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</si>
  <si>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</si>
  <si>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</si>
  <si>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</si>
  <si>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</si>
  <si>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</si>
  <si>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</si>
  <si>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</si>
  <si>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</si>
  <si>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</si>
  <si>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</si>
  <si>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</si>
  <si>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</si>
  <si>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</si>
  <si>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</si>
  <si>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</si>
  <si>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</si>
  <si>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</si>
  <si>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</si>
  <si>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</si>
  <si>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</si>
  <si>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</si>
  <si>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</si>
  <si>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</si>
  <si>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</si>
  <si>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</si>
  <si>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</si>
  <si>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</si>
  <si>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</si>
  <si>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</si>
  <si>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</si>
  <si>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</si>
  <si>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</si>
  <si>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</si>
  <si>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</si>
  <si>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</si>
  <si>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</si>
  <si>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</si>
  <si>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</si>
  <si>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</si>
  <si>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</si>
  <si>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</si>
  <si>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</si>
  <si>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</si>
  <si>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</si>
  <si>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</si>
  <si>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</si>
  <si>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</si>
  <si>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</si>
  <si>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</si>
  <si>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</si>
  <si>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</si>
  <si>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</si>
  <si>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</si>
  <si>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</si>
  <si>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</si>
  <si>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</si>
  <si>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</si>
  <si>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</si>
  <si>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</si>
  <si>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</si>
  <si>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</si>
  <si>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</si>
  <si>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</si>
  <si>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</si>
  <si>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</si>
  <si>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</si>
  <si>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</si>
  <si>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</si>
  <si>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</si>
  <si>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</si>
  <si>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</si>
  <si>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</si>
  <si>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</si>
  <si>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</si>
  <si>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</si>
  <si>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</si>
  <si>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</si>
  <si>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</si>
  <si>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</si>
  <si>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</si>
  <si>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</si>
  <si>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</si>
  <si>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</si>
  <si>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</si>
  <si>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</si>
  <si>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</si>
  <si>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</si>
  <si>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</si>
  <si>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</si>
  <si>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</si>
  <si>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</si>
  <si>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</si>
  <si>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</si>
  <si>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</si>
  <si>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</si>
  <si>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</si>
  <si>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</si>
  <si>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</si>
  <si>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</si>
  <si>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</si>
  <si>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</si>
  <si>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</si>
  <si>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</si>
  <si>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</si>
  <si>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</si>
  <si>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</si>
  <si>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</si>
  <si>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</si>
  <si>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</si>
  <si>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</si>
  <si>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</si>
  <si>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</si>
  <si>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</si>
  <si>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</si>
  <si>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</si>
  <si>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</si>
  <si>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</si>
  <si>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</si>
  <si>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</si>
  <si>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</si>
  <si>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</si>
  <si>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</si>
  <si>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</si>
  <si>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</si>
  <si>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</si>
  <si>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</si>
  <si>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</si>
  <si>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</si>
  <si>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</si>
  <si>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</si>
  <si>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</si>
  <si>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</si>
  <si>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</si>
  <si>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</si>
  <si>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</si>
  <si>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</si>
  <si>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</si>
  <si>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</si>
  <si>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</si>
  <si>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</si>
  <si>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</si>
  <si>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</si>
  <si>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</si>
  <si>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</si>
  <si>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</si>
  <si>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</si>
  <si>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</si>
  <si>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</si>
  <si>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</si>
  <si>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</si>
  <si>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</si>
  <si>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</si>
  <si>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</si>
  <si>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</si>
  <si>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</si>
  <si>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</si>
  <si>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</si>
  <si>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</si>
  <si>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</si>
  <si>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</si>
  <si>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</si>
  <si>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</si>
  <si>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</si>
  <si>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</si>
  <si>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</si>
  <si>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</si>
  <si>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</si>
  <si>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</si>
  <si>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</si>
  <si>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</si>
  <si>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</si>
  <si>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</si>
  <si>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</si>
  <si>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</si>
  <si>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</si>
  <si>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</si>
  <si>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</si>
  <si>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</si>
  <si>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</si>
  <si>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</si>
  <si>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</si>
  <si>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</si>
  <si>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</si>
  <si>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</si>
  <si>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</si>
  <si>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</si>
  <si>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</si>
  <si>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</si>
  <si>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</si>
  <si>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</si>
  <si>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</si>
  <si>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</si>
  <si>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</si>
  <si>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</si>
  <si>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</si>
  <si>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</si>
  <si>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</si>
  <si>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</si>
  <si>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</si>
  <si>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</si>
  <si>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</si>
  <si>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</si>
  <si>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</si>
  <si>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</si>
  <si>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</si>
  <si>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</si>
  <si>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</si>
  <si>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</si>
  <si>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</si>
  <si>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</si>
  <si>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</si>
  <si>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</si>
  <si>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</si>
  <si>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</si>
  <si>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</si>
  <si>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</si>
  <si>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</si>
  <si>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</si>
  <si>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</si>
  <si>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</si>
  <si>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</si>
  <si>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</si>
  <si>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</si>
  <si>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</si>
  <si>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</si>
  <si>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</si>
  <si>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</si>
  <si>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</si>
  <si>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</si>
  <si>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</si>
  <si>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</si>
  <si>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</si>
  <si>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</si>
  <si>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</si>
  <si>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</si>
  <si>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</si>
  <si>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</si>
  <si>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</si>
  <si>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</si>
  <si>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</si>
  <si>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</si>
  <si>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</si>
  <si>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</si>
  <si>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</si>
  <si>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</si>
  <si>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</si>
  <si>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</si>
  <si>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</si>
  <si>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</si>
  <si>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</si>
  <si>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</si>
  <si>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</si>
  <si>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</si>
  <si>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</si>
  <si>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</si>
  <si>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</si>
  <si>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</si>
  <si>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</si>
  <si>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</si>
  <si>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</si>
  <si>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</si>
  <si>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</si>
  <si>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</si>
  <si>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</si>
  <si>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</si>
  <si>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</si>
  <si>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</si>
  <si>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</si>
  <si>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</si>
  <si>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</si>
  <si>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</si>
  <si>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</si>
  <si>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</si>
  <si>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</si>
  <si>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</si>
  <si>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</si>
  <si>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</si>
  <si>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</si>
  <si>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</si>
  <si>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</si>
  <si>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</si>
  <si>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</si>
  <si>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</si>
  <si>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</si>
  <si>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</si>
  <si>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</si>
  <si>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</si>
  <si>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</si>
  <si>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</si>
  <si>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</si>
  <si>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</si>
  <si>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</si>
  <si>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</si>
  <si>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</si>
  <si>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</si>
  <si>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</si>
  <si>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</si>
  <si>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</si>
  <si>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</si>
  <si>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</si>
  <si>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</si>
  <si>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</si>
  <si>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</si>
  <si>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</si>
  <si>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</si>
  <si>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</si>
  <si>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</si>
  <si>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</si>
  <si>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</si>
  <si>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</si>
  <si>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</si>
  <si>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</si>
  <si>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</si>
  <si>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</si>
  <si>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</si>
  <si>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</si>
  <si>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</si>
  <si>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</si>
  <si>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</si>
  <si>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</si>
  <si>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</si>
  <si>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</si>
  <si>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</si>
  <si>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</si>
  <si>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</si>
  <si>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</si>
  <si>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</si>
  <si>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</si>
  <si>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</si>
  <si>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</si>
  <si>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</si>
  <si>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</si>
  <si>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</si>
  <si>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</si>
  <si>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</si>
  <si>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</si>
  <si>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</si>
  <si>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</si>
  <si>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</si>
  <si>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</si>
  <si>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</si>
  <si>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</si>
  <si>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</si>
  <si>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</si>
  <si>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</si>
  <si>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</si>
  <si>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</si>
  <si>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</si>
  <si>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</si>
  <si>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</si>
  <si>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</si>
  <si>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</si>
  <si>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</si>
  <si>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</si>
  <si>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</si>
  <si>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</si>
  <si>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</si>
  <si>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</si>
  <si>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</si>
  <si>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</si>
  <si>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</si>
  <si>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</si>
  <si>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</si>
  <si>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</si>
  <si>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</si>
  <si>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</si>
  <si>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</si>
  <si>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</si>
  <si>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</si>
  <si>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</si>
  <si>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</si>
  <si>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</si>
  <si>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</si>
  <si>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</si>
  <si>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</si>
  <si>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</si>
  <si>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</si>
  <si>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</si>
  <si>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</si>
  <si>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</si>
  <si>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</si>
  <si>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</si>
  <si>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</si>
  <si>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</si>
  <si>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</si>
  <si>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</si>
  <si>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</si>
  <si>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</si>
  <si>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</si>
  <si>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</si>
  <si>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</si>
  <si>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</si>
  <si>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</si>
  <si>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</si>
  <si>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</si>
  <si>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</si>
  <si>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</si>
  <si>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</si>
  <si>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</si>
  <si>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</si>
  <si>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</si>
  <si>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</si>
  <si>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</si>
  <si>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</si>
  <si>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</si>
  <si>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</si>
  <si>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</si>
  <si>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</si>
  <si>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</si>
  <si>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</si>
  <si>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</si>
  <si>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</si>
  <si>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</si>
  <si>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</si>
  <si>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</si>
  <si>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</si>
  <si>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</si>
  <si>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</si>
  <si>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</si>
  <si>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</si>
  <si>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</si>
  <si>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</si>
  <si>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</si>
  <si>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</si>
  <si>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</si>
  <si>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</si>
  <si>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</si>
  <si>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</si>
  <si>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</si>
  <si>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</si>
  <si>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</si>
  <si>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</si>
  <si>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</si>
  <si>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</si>
  <si>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</si>
  <si>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</si>
  <si>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</si>
  <si>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</si>
  <si>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</si>
  <si>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</si>
  <si>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</si>
  <si>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</si>
  <si>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</si>
  <si>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</si>
  <si>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</si>
  <si>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</si>
  <si>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</si>
  <si>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</si>
  <si>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</si>
  <si>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</si>
  <si>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</si>
  <si>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</si>
  <si>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</si>
  <si>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</si>
  <si>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</si>
  <si>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</si>
  <si>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</si>
  <si>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</si>
  <si>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</si>
  <si>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</si>
  <si>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</si>
  <si>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</si>
  <si>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</si>
  <si>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</si>
  <si>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</si>
  <si>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</si>
  <si>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</si>
  <si>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</si>
  <si>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</si>
  <si>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</si>
  <si>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</si>
  <si>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</si>
  <si>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</si>
  <si>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</si>
  <si>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</si>
  <si>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</si>
  <si>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</si>
  <si>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</si>
  <si>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</si>
  <si>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</si>
  <si>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</si>
  <si>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untuk laporan arus kas konsolidasian, disusun berdasarkan dasar akrual dengan menggunakan konsep biaya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t>
  </si>
  <si>
    <t>Basis of preparation of consolidated financial statements</t>
  </si>
  <si>
    <t>Prinsip-prinsip konsolidasi</t>
  </si>
  <si>
    <t>Laporan keuangan konsolidasian meliputi laporan keuangan konsolidasian Perusahaan dan entitas-entitas yang dikendalikan secara langsung ataupun tidak langsung oleh Perusahaan.Laporan keuangan Entitas Anak disusun dengan periode pelaporan yang sama dengan Perusahaan. Kebijakan akuntansi yang digunakan dalam penyajian laporan keuangan konsolidasian telah diterapkan secara konsisten oleh Grup, kecuali dinyatakan lain.Entitas-entitas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anak.Laba atau rugi dan setiap komponen atas penghasilan komprehensif lain diatribusikan pada pemegang saham entitas induk Grup dan pada kepentingan non pengendali (KNP), walaupun hasil di kepentingan non pengendali mempunyai saldo defisit.Transaksi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 pengendali juga dicatat pada ekuitas.</t>
  </si>
  <si>
    <t>Principles of consolidation</t>
  </si>
  <si>
    <t>Dalam laporan arus kas konsolidasian, kas dan kas di bank terdiri dari kas dan bank yang dapat segera dikonversikan menjadi kas dalam jumlah yang dapat yang ditentukan dan memiliki risiko perubahan nilai yang tidak signifikan dan tidak digunakan sebagai jaminan atas pinjaman serta tidak dibatasi penggunaannya.</t>
  </si>
  <si>
    <t>Piutang usaha dan piutang lain-lain</t>
  </si>
  <si>
    <t>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biaya transaksi.</t>
  </si>
  <si>
    <t>Trade and other receivables</t>
  </si>
  <si>
    <t>Persediaan</t>
  </si>
  <si>
    <t>Persediaan dinyatakan sebesar nilai yang lebih rendah antara biaya perolehan dan nilai realisasi neto. Biaya perolehan ditentukan dengan metode rata-rata tertimbang (weighted-average method) dan meliputi biaya pembelian dan biaya konversi.Biaya yang dikeluarkan untuk setiap produk agar berada dalam kondisi dan tempat yang siap digunakan atau dijual, dicatat sebagai berikut-Bahan baku, suku cadang, dan bahan pembantu: biaya pembelian-Barang jadi dan barang dalam proses: Biaya bahan baku langsung dan tenaga kerja dan proporsi biaya overhead manufaktur berdasarkan kapasitas operasi normal, tetapi tidak termasuk biaya pinjaman.Penyisihan atas persediaan usang atau penurunan nilai persediaan, jika ada, ditetapkan berdasarkan hasil penelaahan secara berkala terhadap nilai pasar, kondisi fisik dan tingkat perputaran persediaan untuk menurunkan nilai persediaan ke nilai realisasi netonya.Nilai realisasi neto adalah taksiran harga jual dalam kegiatan usaha normal setelah dikurangi dengan taksiran biaya penyelesaian dan taksiran biaya yang diperlukan untuk melaksanakan penjualan.Grup menetapkan penyisihan untuk nilai realisasi neto persediaan berdasarkan hasil penelaahan berkala atas kondisi fisik dan nilai realisasi neto persediaan.</t>
  </si>
  <si>
    <t>Inventories</t>
  </si>
  <si>
    <t>Tanaman produktif</t>
  </si>
  <si>
    <t>Bearer plants</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</si>
  <si>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terjadinya.Penyusutan dihitung dengan menggunakan metode garis lurus selama taksiran masa manfaat ekonomis aset tetap sebagai berikut:Bangunan dan prasarana 20 TahunMesin dan peralatan 10-5 TahunPerabot dan peralatan kantor 5 TahunAlat angkutan 4 TahunGrup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pengakuannya.Aset dalam penyelesaian dicatat sebesar harga perolehan, dikurangi kerugian penurunan nilai yang diakui. Biaya perolehan termasuk biaya profesional dan untuk aset kualifikasian, biaya pinjaman yang dikapitalisasi sesuai dengan kebijakan akuntansi Grup. Penyusutan aset dimulai saat aset tersebut siap untuk digunakan sesuai dengan tujuannya, yaitu pada saat aset tersebut berada pada lokasi dan kondisi yang diinginkan agar aset siap digunakan sesuai dengan keinginan dan maksud manajemen.Construction in progress are stated at cost, less any recognized impairment loss. Cost includes professional fees and, for qualifying assets, borrowing costs capitalized in accordance with the Group accounting policy. Depreciation of an asset commences when the assets are ready for their intended use, such as when it is in the location and condition necessary for it to be capable of operating in the manner intended by management.Nilai residu, estimasi masa manfaat dan metode penyusutan direview dan disesuaikan, setiap akhir tahun, bila diperlukan.</t>
  </si>
  <si>
    <t>Fixed assets</t>
  </si>
  <si>
    <t>Tanah belum dikembangkan</t>
  </si>
  <si>
    <t>Aset biologis</t>
  </si>
  <si>
    <t>Biological assets</t>
  </si>
  <si>
    <t>Penurunan nilai aset nonkeuangan</t>
  </si>
  <si>
    <t>Impairment of non-financial assets</t>
  </si>
  <si>
    <t>Utang usaha dan liabilitas lain-lain</t>
  </si>
  <si>
    <t>Utang usaha dan utang lain-lain, yang diklasifikasikan sebagai liabilitas keuangan yang diukur dengan biaya diamortisasi.</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</si>
  <si>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</si>
  <si>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</si>
  <si>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pelanggan.Pendapatan dari penjualan diakui pada saat kepemilikan barang telah diserahkan kepada pembeli. Pendapatan dari penjualan yang timbul dari pengiriman fisik produk Grup diakui pada saat pengendalian barang telah diserahkan kepada pembeli, yang umumnya bertepatan dengan pengiriman dan penerimaan barang tersebut. Pendapatan dari penjualan ekspor diakui saat barang dikapalkan (FOB shipping point).</t>
  </si>
  <si>
    <t>Revenue and expense recognition</t>
  </si>
  <si>
    <t>Penjabaran mata uang asing</t>
  </si>
  <si>
    <t>Mata uang pelaporan yang digunakan pada laporan keuangan konsolidasian adalah Rupiah. Seluruh akun Grup, yang disimpan dalam mata uang lain, telah diukur kembali ke dalam Dolar AS, sebagai mata uang fungsional, dengan menggunakan prosedur berikut secara retrospektif:a. Pos moneter mata uang asing dijabarkan menggunakan kurs penutup;b. Pendapatan dan beban dijabarkan dengan menggunakan kurs yang berlaku pada tanggal transaksi atau, bila memenuhi syarat, kurs rata-rata periode tersebutc. Dalam item nonmoneter yang diukur pada nilai wajar dalam mata uang asing dijabarkan menggunakan kurs pada tanggal ketika nilai wajar ditentukan.Pengukuran kembali akun yang disebutkan dalam paragraf sebelumnya kemudian dijabarkan ke dalamRupiah, menjadi mata uang penyajian, dengan menggunakan prosedur sebagai berikut:a. Aset dan liabilitas untuk setiap laporan posisi keuangan yang disajikan (termasuk komparatif) dijabarkan menggunakan kurs penutupan pada tanggal laporan posisi keuangan tersebut;b. Penghasilan dan beban untuk setiap laporan yang menyajikan laba atau rugi dan penghasilan komprehensif lain (termasuk komparatif) dijabarkan menggunakan kurs pada tanggal transaksi, danc. Semua hasil selisih kurs diakui dalam pendapatan komprehensif lain, dalam akun  kurs dari penjabaran mata uang asing Laporan Keuangan-transaksi selama tahun berjalan dalam mata uang selain Dolar AS dicatat dengan kurs yang berlaku pada saat terjadinya transaksi. Pada tanggal pelaporan, aset dan liabilitas moneter dalam mata uang selain Dolar AS disesuaikan untuk mencerminkan kurs yang berlaku pada tanggal tersebut.Keuntungan dan kerugian kurs yang timbul dari transaksi dalam mata uang asing dan dari penjabaran aset dan liabilitas moneter dalam mata uang asing diakui dalam laba rugi tahun berjalan, kecuali untuk keuntungan dan kerugian kurs yang timbul dari penjabaran laporan keuangan ke dalam mata uang penyajian atau penjabaran laporan keuangan kegiatan usaha luar negeri ke dalam mata uang penyajian Grup, yang diakui secara langsung dalam penghasilan komprehensif lain.</t>
  </si>
  <si>
    <t>Foreign currency translation</t>
  </si>
  <si>
    <t>Transaksi dengan pihak berelasi</t>
  </si>
  <si>
    <t>Pihak-pihak berelasi adalah orang atau entitas yang terkait dengan Grup:a. Orang atau anggota keluarga dekatnya yang mempunyai relasi dengan Perusahaan dan Entitas Anak jika orang tersebut:(i) memiliki pengendalian atau pengendalian bersama atas Perusahaan dan Entitas Anak;(ii) memiliki pengaruh signifikan atas Perusahaan dan Entitas Anak; atau(iii) personil manajemen kunci Perusahaan dan Entitas Anak atau entitas induk Grup.b. Suatu entitas berelasi dengan Perusahaan dan Entitas Anak jika memenuhi salah satu hal berikut:(i) entitas dan Grup adalah anggota dari kelompok usaha yang sama (artinya entitas induk, entitas anak, dan entitas anak berikutnya saling berelasi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Perusahaan dan Entitas Anak atau entitas yang terkait dengan Perusahaan dan Entitas Anak.(vi) 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yang mana entitas merupakan bagian dari kelompok tersebut, menyediakan jasa personil manajemen kunci kepada Grup atau kepada entitas induk dari Grup.Transaksi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</si>
  <si>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</si>
  <si>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</si>
  <si>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terdiri dari pajak kini dan tangguhan. Beban pajak diakui dalam laporan laba rugi kecuali untuk transaksi yang berhubungan dengan transaksi diakui langsung ke laba rugi, baik dalam penghasilan komprehensif lain atau langsung pada ekuitas.Pajak kiniBeban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pajak.Kekurangan atau kelebihan pembayaran pajak penghasilan badan dicatat sebagai bagian dari beban pajak kini dalam laporan laba rugi dan penghasilan komprehensif lain konsolidasian.Koreksi terhadap liabilitas perpajakan diakui pada saat surat ketetapan pajak diterima. Jika Grup mengajukan keberatan, Grup mempertimbangkan apakah besar kemungkinan otoritas pajak akan menerima keberatan tersebut dan merefleksikan dampaknya terhadap liabilitas perpajakan Grup.Pajak tangguhanPajak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dibebankan atau dikreditkan ke penghasilan komprehensif lain atau langsung ke ekuitas.Aset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</si>
  <si>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Income taxes</t>
  </si>
  <si>
    <t>Pinjaman</t>
  </si>
  <si>
    <t>Setelah pengakuan awal, pinjaman diukur pada biaya perolehan yang diamortisasi dengan menggunakan metode suku bunga efektif. Keuntungan dan kerugian diakui dalam laporan laba rugi dan penghasilan komprehensif lain konsolidasian hingga liabilitas dihentikan pengakuannya melalui proses amortisasi menggunakan metode suku bunga efektif. Biaya perolehan diamortisasi dihitung dengan mempertimbangkan setiap diskon atau premi pada perolehan awal dan biaya yang merupakan bagian integral dari suku bunga efektif. Amortisasi metode suku bunga efektif diakui sebagai biaya pendanaan pada laporan laba rugi.</t>
  </si>
  <si>
    <t>Borrowings</t>
  </si>
  <si>
    <t>Provisi</t>
  </si>
  <si>
    <t>Piutang UsahaKarena piutang usaha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ekonomi.PersediaanPenyisihan atas persediaan usang atau penurunan nilai persediaan, jika ada, ditetapkan berdasarkan hasil penelaahan secara berkala terhadap nilai pasar, kondisi fisik dan tingkat perputaran persediaan untuk menurunkan nilai persediaan ke nilai realisasi netonya.</t>
  </si>
  <si>
    <t>Provisions</t>
  </si>
  <si>
    <t>Imbalan kerja karyawan</t>
  </si>
  <si>
    <t>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rugi.Imbalan Pascakerja Program Imbalan PastiPada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19).Grup telah menerapkan materi penjelasan tersebut dan, dengan demikian, mengubah kebijakan akuntansinya mengenai atribusi imbalan pada periode jasa. Penerapan ini tidak berdampak material terhadap jumlah yang dilaporkan pada periode keuangan sebelumnya dan berjalan. Grup telah mencerminkan dalam dalam periode berjalan efek kumulatif dari penyesuaian periode sebelumnya yang dianggap tidak material.Grup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tahunan.Pengukuran kembali, terdiri dari keuntungan dan kerugian aktuarial, perubahan dampak batas atas aset (jika ada) dan dari imbal hasil atas aset program (tidak termasuk bunga), yang tercermin langsung dalam laporan posisi keuangan konsolidasian yang dibebankan atau dikreditkan kepenghasilan komprehensif lain periode terjadinya untuk mencerminkan nilai penuh dari defisit dan surplus program. Pengukuran kembali diakui dalam penghasilan komprehensif lain tercermin segera dalam saldo laba sebagai pos terpisah pada penghasilan komprehensif lain di ekuitas dan tidak akan direklasifikasi ke laba rugi</t>
  </si>
  <si>
    <t>Employee benefits</t>
  </si>
  <si>
    <t>Laba per saham</t>
  </si>
  <si>
    <t>Laba per saham dihitung dengan membagi laba tahun berjalan dengan jumlah rata-rata tertimbang saham yang dapat diatribusikan kepada pemilik entitas induk yang beredar dalam tahun yang bersangkutan</t>
  </si>
  <si>
    <t>Earnings per share</t>
  </si>
  <si>
    <t>Dividen</t>
  </si>
  <si>
    <t>Pembagian dividen kepada para pemegang saham Perusahaan diakui sebagai liabilitas dalam laporan keuangan konsolidasian pada periode ketika dividen tersebut disetujui oleh para pemegang saham Perusahaan.</t>
  </si>
  <si>
    <t>Dividends</t>
  </si>
  <si>
    <t>Pelaporan segmen</t>
  </si>
  <si>
    <t>Segmen operasi diidentifikasi berdasarkan laporan internal mengenai komponen dari Grup yang secara regular ditinjau oleh  keputusan operasional dalam rangka mengalokasikan sumber daya dan menilai kinerja segmen operasi.Informasi yang digunakan oleh pengambil keputusan operasional dalam rangka alokasi sumber daya dan penillaian kinerja mereka terfokus pada kategori dari setiap produk.Pendapatan,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</si>
  <si>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Segment reporting</t>
  </si>
  <si>
    <t>Instrumen keuangan derivatif</t>
  </si>
  <si>
    <t>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 mana saat pengakuan di laba rugi bergantung pada sifat dari hubungan lindung nilai.Derivatif dengan nilai wajar positif diakui sebagai aset keuangan sedangkan derivatif dengan nilai wajar negatif diakui sebagai liabilitas keuangan. Derivatif tidak saling hapus dalam laporan keuangan kecuali Grup memiliki hak yang memiliki kekuatan hukum dan intensi untuk saling hapus. Dampak Perjanjian Induk Saling-Hapus terhadap posisi keuangan GrupSuatu derivatif disajikan sebagai aset tidak lancar atau liabilitas jangka panjang jika sisa jatuh tempo dari instrumen lebih dari 12 bulan dan tidak diharapkan akan direalisasi atau diselesaikan dalam jangka waktu 12 bulan. Derivatif lainnya disajikan sebagai aset lancar atau liabilitas jangka pendek.</t>
  </si>
  <si>
    <t>Derivative financial instruments</t>
  </si>
  <si>
    <t>Penerapan standar akutansi baru</t>
  </si>
  <si>
    <t>PSAK 22 (Amendemen),  Bisnis: Referensi ke Kerangka KonseptualPSAK 71 (Penyesuaian Tahunan 2020),  Keuangan 73 (Penyesuaian Tahunan 2020),</t>
  </si>
  <si>
    <t>The implementation of new statements of accounting standards</t>
  </si>
  <si>
    <t>Kombinasi bisnis</t>
  </si>
  <si>
    <t>Business combination</t>
  </si>
  <si>
    <t>Penentuan nilai wajar</t>
  </si>
  <si>
    <t>Pengukuran nilai wajar didasarkan pada asumsi bahwa transaksi untuk menjual aset atau mengalihkan liabilitas terjadi:a) di pasar utama untuk aset atau liabilitas tersebut; ataub) jika tidak terdapat pasar utama, di pasar yang paling menguntungkan untuk aset atau liabilitas tersebut.Nilai wajar aset atau liabilitas diukur menggunakan asumsi yang akan digunakan pelaku pasar ketika menentukan harga aset atau liabilitas tersebut, dengan asumsi bahwa pelaku pasar bertindak dalam kepentingan ekonomi terbaiknya.Pengukuran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terbaiknya.Grup menggunakan teknik penilaian yang sesuai dalam keadaan dan dimana data yang memadai tersedia untuk mengukur nilai wajar, memaksimalkan penggunaan input yang dapat diobservasi yang relevan dan meminimalkan penggunaan input yang tidak dapat diobservasi.</t>
  </si>
  <si>
    <t>Determination of fair value</t>
  </si>
  <si>
    <t>Transaksi dan saldo dalam mata uang asing</t>
  </si>
  <si>
    <t>Transaksi-transaksi selama tahun berjalan dalam mata uang selain Dolar AS dicatat dengan kurs yang berlaku pada saat terjadinya transaksi. Pada tanggal pelaporan, aset dan liabilitas moneter dalam mata uang selain Dolar AS disesuaikan untuk mencerminkan kurs yang berlaku pada tanggal tersebut.Keuntungan dan kerugian kurs yang timbul dari transaksi dalam mata uang asing dan dari penjabaran aset dan liabilitas moneter dalam mata uang asing diakui dalam laba rugi tahun berjalan, kecuali untuk keuntungan dan kerugian kurs yang timbul dari penjabaran laporan keuangan ke dalam mata uang penyajian atau penjabaran laporan keuangan kegiatan usaha luar negeri ke dalam mata uang penyajian Grup, yang diakui secara langsung dalam penghasilan komprehensif lain.Kurs yang digunakan untuk menjabarkan ke mata uang Rupiah, mata uang penyajian Perusahaan, pada tanggal 31 Desember 2022 dan 2021, dihitung dengan mengambil rata-rata kurs beli dan jual uang kertas dan/atau kurs transaksi yang terakhir dikutip oleh Bank Indonesia pada akhir tahun.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</si>
  <si>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</si>
  <si>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</si>
  <si>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</si>
  <si>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</si>
  <si>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</si>
  <si>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</si>
  <si>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</si>
  <si>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</si>
  <si>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</si>
  <si>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</si>
  <si>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</si>
  <si>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</si>
  <si>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</si>
  <si>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</si>
  <si>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</si>
  <si>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</si>
  <si>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</si>
  <si>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</si>
  <si>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</si>
  <si>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</si>
  <si>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</si>
  <si>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</si>
  <si>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</si>
  <si>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</si>
  <si>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</si>
  <si>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</si>
  <si>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</si>
  <si>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</si>
  <si>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</si>
  <si>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</si>
  <si>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</si>
  <si>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</si>
  <si>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</si>
  <si>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</si>
  <si>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</si>
  <si>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</si>
  <si>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</si>
  <si>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</si>
  <si>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mengklasifikasikan instrument keuangan menjadi aset keuangan dan liabilitas keuangan. Instrumen keuangan adalah setiap kontrak yang menimbulkan aset keuangan pada satu entitas dan liabilitas keuangan atau instrumen ekuitas pada entitas lain.Aset KeuanganAset keuangan diklasifikasikan pada saat pengakuan awal dan selanjutnya diukur pada (i) biaya perolehan diamortisasi, (ii) nilai wajar melalui laba rugi (), dan (iii) nilai wajar melalui PKL ().Liabilitas KeuanganGrup mengklasifikasikan liabilitas keuangannya pada pengakuan awal sebagai (i) liabilitas keuangan diukur pada FVTPL atau (ii) liabilitas keuangan diukur pada biaya perolehan diamortisasi.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</si>
  <si>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</si>
  <si>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</si>
  <si>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</si>
  <si>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</si>
  <si>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</si>
  <si>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</si>
  <si>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</si>
  <si>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</si>
  <si>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</si>
  <si>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PSAK 1 (Amendemen),  Laporan Keuangan: Klasifikasi Liabilitas sebagai Jangka Pendek atau Jangka PanjangPSAK 1 (Amendemen),  Laporan Keuangan: Pengungkapan Kebijakan AkuntansiPSAK 16 (Amendemen),  Tetap: Hasil Sebelum Penggunaan yang DiintensikanPSAK 25 (Amendemen),  Akuntansi, Perubahan Estimasi Akuntansi, dan Kesalahan: Definisi Estimasi AkuntansiPSAK 46 (Amendemen),  Penghasilan: Pajak Tangguhan terkait Aset dan Liabilitas yang Timbul dari Transaksi Tunggal</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</si>
  <si>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</si>
  <si>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</si>
  <si>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</si>
  <si>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</si>
  <si>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</si>
  <si>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</si>
  <si>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</si>
  <si>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</si>
  <si>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</si>
  <si>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</si>
  <si>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</si>
  <si>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</si>
  <si>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</si>
  <si>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</si>
  <si>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</si>
  <si>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</si>
  <si>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</si>
  <si>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</si>
  <si>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</si>
  <si>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</si>
  <si>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</si>
  <si>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</si>
  <si>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</si>
  <si>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</si>
  <si>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</si>
  <si>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</si>
  <si>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</si>
  <si>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</si>
  <si>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</si>
  <si>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</si>
  <si>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</si>
  <si>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</si>
  <si>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</si>
  <si>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</si>
  <si>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</si>
  <si>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</si>
  <si>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</si>
  <si>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</si>
  <si>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</si>
  <si>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</si>
  <si>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</si>
  <si>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</si>
  <si>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</si>
  <si>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</si>
  <si>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</si>
  <si>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</si>
  <si>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</si>
  <si>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</si>
  <si>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</si>
  <si>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</si>
  <si>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</si>
  <si>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</si>
  <si>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</si>
  <si>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</si>
  <si>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</si>
  <si>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</si>
  <si>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</si>
  <si>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</si>
  <si>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</si>
  <si>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</si>
  <si>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</si>
  <si>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</si>
  <si>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</si>
  <si>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</si>
  <si>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</si>
  <si>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</si>
  <si>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</si>
  <si>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</si>
  <si>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</si>
  <si>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</si>
  <si>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</si>
  <si>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</si>
  <si>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</si>
  <si>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</si>
  <si>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</si>
  <si>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</si>
  <si>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</si>
  <si>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</si>
  <si>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</si>
  <si>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</si>
  <si>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</si>
  <si>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</si>
  <si>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</si>
  <si>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</si>
  <si>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</si>
  <si>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</si>
  <si>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</si>
  <si>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</si>
  <si>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</si>
  <si>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</si>
  <si>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</si>
  <si>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</si>
  <si>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</si>
  <si>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</si>
  <si>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</si>
  <si>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Berdasarkan evaluasi yang dilakukan, manajemen berpendapat bahwa tidak terdapat peristiwa atau perubahan keadaan yang menunjukkan adanya penurunan nilai aset tetap Grup pada tanggal 
30 Juni 2024 dan 31 Desember 2023.
Pada tanggal 30 Juni 2024 dan 31 Desember 2023, nilai perolehan aset tetap Grup yang telah disusutkan penuh namun masih digunakan masing-masing sebesar Rp2.169.531 dan Rp2.002.745, yang terutama terdiri atas bangunan dan prasarana, mesin dan peralatan, perabot dan peralatan kantor dan alat angkutan.
Aset tetap, kecuali tanah, diasuransikan terhadap risiko kerugian kebakaran dan risiko lain dengan nilai pertanggungan masing-masing sebesar USD258.000.000 (dalam angka penuh) pada 30 Juni 2024 dan 31 Desember 2023, di mana manajemen berpendapat bahwa nilai pertanggungan tersebut cukup untuk menutup kemungkinan kerugian atas risiko-risiko tersebut.</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</si>
  <si>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</si>
  <si>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</si>
  <si>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</si>
  <si>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</si>
  <si>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</si>
  <si>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</si>
  <si>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</si>
  <si>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</si>
  <si>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</si>
  <si>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</si>
  <si>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</si>
  <si>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</si>
  <si>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</si>
  <si>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</si>
  <si>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</si>
  <si>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</si>
  <si>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</si>
  <si>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</si>
  <si>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</si>
  <si>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</si>
  <si>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</si>
  <si>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</si>
  <si>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</si>
  <si>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</si>
  <si>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</si>
  <si>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</si>
  <si>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</si>
  <si>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</si>
  <si>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</si>
  <si>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</si>
  <si>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</si>
  <si>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</si>
  <si>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</si>
  <si>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</si>
  <si>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</si>
  <si>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</si>
  <si>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</si>
  <si>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</si>
  <si>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</si>
  <si>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</si>
  <si>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</si>
  <si>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</si>
  <si>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</si>
  <si>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</si>
  <si>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</si>
  <si>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</si>
  <si>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</si>
  <si>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</si>
  <si>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</si>
  <si>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</si>
  <si>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</si>
  <si>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</si>
  <si>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</si>
  <si>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</si>
  <si>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</si>
  <si>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</si>
  <si>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</si>
  <si>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</si>
  <si>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</si>
  <si>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</si>
  <si>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</si>
  <si>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</si>
  <si>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</si>
  <si>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</si>
  <si>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</si>
  <si>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</si>
  <si>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</si>
  <si>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</si>
  <si>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</si>
  <si>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</si>
  <si>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</si>
  <si>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</si>
  <si>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</si>
  <si>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</si>
  <si>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</si>
  <si>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</si>
  <si>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</si>
  <si>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</si>
  <si>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</si>
  <si>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</si>
  <si>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</si>
  <si>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</si>
  <si>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</si>
  <si>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</si>
  <si>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</si>
  <si>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</si>
  <si>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</si>
  <si>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</si>
  <si>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</si>
  <si>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</si>
  <si>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</si>
  <si>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</si>
  <si>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</si>
  <si>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</si>
  <si>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</si>
  <si>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</si>
  <si>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</si>
  <si>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</si>
  <si>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</si>
  <si>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</si>
  <si>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</si>
  <si>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</si>
  <si>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</si>
  <si>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</si>
  <si>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</si>
  <si>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</si>
  <si>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</si>
  <si>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</si>
  <si>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</si>
  <si>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</si>
  <si>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</si>
  <si>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</si>
  <si>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</si>
  <si>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</si>
  <si>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</si>
  <si>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</si>
  <si>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</si>
  <si>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</si>
  <si>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</si>
  <si>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</si>
  <si>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</si>
  <si>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</si>
  <si>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</si>
  <si>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</si>
  <si>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</si>
  <si>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</si>
  <si>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</si>
  <si>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</si>
  <si>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</si>
  <si>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</si>
  <si>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</si>
  <si>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</si>
  <si>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</si>
  <si>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</si>
  <si>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</si>
  <si>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</si>
  <si>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</si>
  <si>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</si>
  <si>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</si>
  <si>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</si>
  <si>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</si>
  <si>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</si>
  <si>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</si>
  <si>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</si>
  <si>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</si>
  <si>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</si>
  <si>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</si>
  <si>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</si>
  <si>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</si>
  <si>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</si>
  <si>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</si>
  <si>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</si>
  <si>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</si>
  <si>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</si>
  <si>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</si>
  <si>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</si>
  <si>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</si>
  <si>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</si>
  <si>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</si>
  <si>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</si>
  <si>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</si>
  <si>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</si>
  <si>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</si>
  <si>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</si>
  <si>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</si>
  <si>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</si>
  <si>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</si>
  <si>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</si>
  <si>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</si>
  <si>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</si>
  <si>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</si>
  <si>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</si>
  <si>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</si>
  <si>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</si>
  <si>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</si>
  <si>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</si>
  <si>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</si>
  <si>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</si>
  <si>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</si>
  <si>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</si>
  <si>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</si>
  <si>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</si>
  <si>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</si>
  <si>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</si>
  <si>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</si>
  <si>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</si>
  <si>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</si>
  <si>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</si>
  <si>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</si>
  <si>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</si>
  <si>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</si>
  <si>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</si>
  <si>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</si>
  <si>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</si>
  <si>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</si>
  <si>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</si>
  <si>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</si>
  <si>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</si>
  <si>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</si>
  <si>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</si>
  <si>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</si>
  <si>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</si>
  <si>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</si>
  <si>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</si>
  <si>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</si>
  <si>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</si>
  <si>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</si>
  <si>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</si>
  <si>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</si>
  <si>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</si>
  <si>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</si>
  <si>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</si>
  <si>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</si>
  <si>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</si>
  <si>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</si>
  <si>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</si>
  <si>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</si>
  <si>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</si>
  <si>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</si>
  <si>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</si>
  <si>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</si>
  <si>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</si>
  <si>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</si>
  <si>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</si>
  <si>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</si>
  <si>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</si>
  <si>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</si>
  <si>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</si>
  <si>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</si>
  <si>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</si>
  <si>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</si>
  <si>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</si>
  <si>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</si>
  <si>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</si>
  <si>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</si>
  <si>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</si>
  <si>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</si>
  <si>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</si>
  <si>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</si>
  <si>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</si>
  <si>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</si>
  <si>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</si>
  <si>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</si>
  <si>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</si>
  <si>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</si>
  <si>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</si>
  <si>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</si>
  <si>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</si>
  <si>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</si>
  <si>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</si>
  <si>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</si>
  <si>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</si>
  <si>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</si>
  <si>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</si>
  <si>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</si>
  <si>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</si>
  <si>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</si>
  <si>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</si>
  <si>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</si>
  <si>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</si>
  <si>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</si>
  <si>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</si>
  <si>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</si>
  <si>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</si>
  <si>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</si>
  <si>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</si>
  <si>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</si>
  <si>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</si>
  <si>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</si>
  <si>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</si>
  <si>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</si>
  <si>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</si>
  <si>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</si>
  <si>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</si>
  <si>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</si>
  <si>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</si>
  <si>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</si>
  <si>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</si>
  <si>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</si>
  <si>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</si>
  <si>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</si>
  <si>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penelaahan atas nilai realisasi bersih, kondisi fisik dan tingkat perputaran persediaan, manajemen Grup berkeyakinan bahwa penyisihan penurunan nilai persediaan untuk periode yang berakhir pada tanggal 30 Juni 2024 dan 31 Desember 2023 cukup untuk menutupi kemungkinan kerugian penurunan nilai persediaan.
Persediaan diasuransikan terhadap risiko kerugian kebakaran atau pencurian dan risiko lainnya dengan nilai pertanggungan pada tanggal 
30 Juni 2024 dan 31 Desember 2023 sebesar USD35.500.000 (dalam angka penuh), yang menurut pendapat manajemen, nilai pertanggungan tersebut cukup untuk menutup kemungkinan kerugian atas risiko-risiko tersebut.
Pada tanggal 30 Juni 2024 dan 31 Desember 2023, persediaan tidak dijaminkan atas pinjaman bank.</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</si>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</sst>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6">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wrapText="1"/>
    </xf>
    <xf numFmtId="0" fontId="31" fillId="4"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wrapText="1"/>
    </xf>
    <xf numFmtId="0" fontId="31" fillId="4"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wrapText="1"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4" fillId="6"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3" fillId="0" borderId="3" xfId="14" applyFont="1" applyBorder="1" applyAlignment="1">
      <alignment horizontal="left" vertical="top" wrapText="1" indent="4"/>
    </xf>
    <xf numFmtId="166" fontId="34" fillId="5" borderId="4" xfId="14" applyNumberFormat="1" applyFont="1" applyFill="1" applyBorder="1" applyAlignment="1" applyProtection="1">
      <alignment horizontal="center" vertical="top" wrapText="1"/>
      <protection locked="0"/>
    </xf>
    <xf numFmtId="167" fontId="34" fillId="6" borderId="4" xfId="14" applyNumberFormat="1" applyFont="1" applyFill="1" applyBorder="1" applyAlignment="1" applyProtection="1">
      <alignment horizontal="center" vertical="top" wrapText="1"/>
      <protection locked="0"/>
    </xf>
    <xf numFmtId="0" fontId="11" fillId="0" borderId="0" xfId="15"/>
    <xf numFmtId="0" fontId="30" fillId="0" borderId="0" xfId="15" applyFont="1" applyAlignment="1">
      <alignment horizontal="left" vertical="top" wrapText="1"/>
    </xf>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4" fillId="5" borderId="4" xfId="15" applyFont="1" applyFill="1" applyBorder="1" applyAlignment="1" applyProtection="1">
      <alignment horizontal="right" vertical="top" wrapText="1"/>
      <protection locked="0"/>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wrapText="1"/>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1" fillId="0" borderId="0" xfId="20" applyFont="1" applyAlignment="1">
      <alignment wrapText="1"/>
    </xf>
    <xf numFmtId="0" fontId="31" fillId="4" borderId="4" xfId="20" applyFont="1" applyFill="1" applyBorder="1" applyAlignment="1">
      <alignment horizontal="center"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0" xfId="13" applyFont="1" applyAlignment="1">
      <alignment horizontal="right" vertical="top" wrapText="1"/>
    </xf>
    <xf numFmtId="0" fontId="33" fillId="0" borderId="3" xfId="13" applyFont="1" applyBorder="1" applyAlignment="1">
      <alignment horizontal="right" vertical="top" wrapText="1"/>
    </xf>
    <xf numFmtId="0" fontId="32" fillId="3" borderId="0" xfId="13" applyFont="1" applyFill="1" applyAlignment="1">
      <alignment horizontal="center"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11" fillId="0" borderId="0" xfId="15"/>
    <xf numFmtId="0" fontId="30" fillId="0" borderId="0" xfId="15" applyFont="1" applyAlignment="1">
      <alignment horizontal="right" vertical="top" wrapText="1"/>
    </xf>
    <xf numFmtId="0" fontId="33" fillId="0" borderId="5" xfId="16" applyFont="1" applyBorder="1" applyAlignment="1">
      <alignment horizontal="left" vertical="top" wrapText="1"/>
    </xf>
    <xf numFmtId="0" fontId="33" fillId="0" borderId="0" xfId="16" applyFont="1" applyAlignment="1">
      <alignment horizontal="left" vertical="top" wrapText="1"/>
    </xf>
    <xf numFmtId="0" fontId="33" fillId="0" borderId="3"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6" applyFont="1" applyAlignment="1">
      <alignment horizontal="right" vertical="top" wrapText="1"/>
    </xf>
    <xf numFmtId="0" fontId="33" fillId="0" borderId="3" xfId="16" applyFont="1" applyBorder="1" applyAlignment="1">
      <alignment horizontal="right" vertical="top" wrapText="1"/>
    </xf>
    <xf numFmtId="0" fontId="31" fillId="0" borderId="0" xfId="16" applyFont="1" applyAlignment="1">
      <alignment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00000000-0005-0000-0000-000001000000}"/>
    <cellStyle name="Normal 2 10" xfId="10" xr:uid="{5E87A1A3-96BD-4BEE-9C55-F49F1A4D7D4A}"/>
    <cellStyle name="Normal 2 11" xfId="11" xr:uid="{F1A055B2-ED61-4C98-9D0B-7170C3EA86FA}"/>
    <cellStyle name="Normal 2 12" xfId="12" xr:uid="{0B041003-86C4-4203-82AA-4BE15D01C3A1}"/>
    <cellStyle name="Normal 2 13" xfId="13" xr:uid="{CD37546B-59A5-4AD8-A685-8779D68B89C9}"/>
    <cellStyle name="Normal 2 14" xfId="14" xr:uid="{9DE15920-D6E2-4818-8E8B-E7207F70F849}"/>
    <cellStyle name="Normal 2 15" xfId="15" xr:uid="{A6B0F2AB-61BF-42B0-A931-8296605E856A}"/>
    <cellStyle name="Normal 2 16" xfId="16" xr:uid="{C9EAFF9A-1E6E-4D96-8EC5-064792D74FB6}"/>
    <cellStyle name="Normal 2 17" xfId="17" xr:uid="{121D35CB-3DFE-4C2B-834A-FB2839A251FA}"/>
    <cellStyle name="Normal 2 18" xfId="18" xr:uid="{5F8F012B-CFB4-432F-994E-DDA1E0F75911}"/>
    <cellStyle name="Normal 2 19" xfId="19" xr:uid="{78D73DFA-C45F-4419-A3FE-B6CDB92EE1AA}"/>
    <cellStyle name="Normal 2 2" xfId="2" xr:uid="{2AEC387C-5ECB-4E97-9DAA-D9C2F0FC818F}"/>
    <cellStyle name="Normal 2 20" xfId="20" xr:uid="{75CE0678-A0B0-41F5-9312-C1B2EDE604EB}"/>
    <cellStyle name="Normal 2 21" xfId="21" xr:uid="{CB2C7F97-3C83-49F0-8551-FCBBE5C7E8B4}"/>
    <cellStyle name="Normal 2 22" xfId="22" xr:uid="{BA5E5D8B-74BF-4B36-AD60-9D5544BF7570}"/>
    <cellStyle name="Normal 2 23" xfId="23" xr:uid="{8A9908DB-E5F7-45A2-B928-B597203E40B8}"/>
    <cellStyle name="Normal 2 24" xfId="24" xr:uid="{25F27261-FD4B-4D15-9198-A8C146D83A9F}"/>
    <cellStyle name="Normal 2 25" xfId="25" xr:uid="{4A13E34A-ACAF-43C7-A37F-04A730546ABC}"/>
    <cellStyle name="Normal 2 3" xfId="3" xr:uid="{83256A80-2D5B-42BF-BCFE-82CDE1E03AB0}"/>
    <cellStyle name="Normal 2 4" xfId="4" xr:uid="{F1175377-ED3E-41FE-BFF3-8B3027F2E573}"/>
    <cellStyle name="Normal 2 5" xfId="5" xr:uid="{8ACFED6D-C408-45FC-8545-752A2CC6CC2D}"/>
    <cellStyle name="Normal 2 6" xfId="6" xr:uid="{C1294632-CD64-469F-B750-7C772126ED56}"/>
    <cellStyle name="Normal 2 7" xfId="7" xr:uid="{FAD71510-D552-4D1B-8057-DAC8B889E8DD}"/>
    <cellStyle name="Normal 2 8" xfId="8" xr:uid="{0BC63EDA-658B-4003-8E3F-C9C425F8159A}"/>
    <cellStyle name="Normal 2 9" xfId="9" xr:uid="{E5982A34-6521-4BF0-BE8C-D87CBB9D10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rst_maker_0112_2024_0_153_172221685384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rst_maker_0112_2024_0_153_172221685384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rst_maker_0112_2024_0_153_172221685384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rst_maker_0112_2024_0_153_172221685384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rst_maker_0112_2024_0_153_172221685384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rst_maker_0112_2024_0_153_172221685384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rst_maker_0112_2024_0_153_172221685384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rst_maker_0112_2024_0_153_172221685384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rst_maker_0112_2024_0_153_172221685384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rst_maker_0112_2024_0_153_1722216853842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rst_maker_0112_2024_0_153_1722216853842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rst_maker_0112_2024_0_153_1722216853842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rst_maker_0112_2024_0_153_1722216853842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rst_maker_0112_2024_0_153_1722216853842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rst_maker_0112_2024_0_153_1722216853842_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rst_maker_0112_2024_0_153_1722216853842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rst_maker_0112_2024_0_153_1722216853842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rst_maker_0112_2024_0_153_1722216853842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rst_maker_0112_2024_0_153_1722216853842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rst_maker_0112_2024_0_153_1722216853842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rst_maker_0112_2024_0_153_1722216853842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rst_maker_0112_2024_0_153_1722216853842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rst_maker_0112_2024_0_153_1722216853842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rst_maker_0112_2024_0_153_172221685384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102</v>
      </c>
    </row>
    <row r="5" spans="1:2" ht="12.75" thickBot="1">
      <c r="A5" s="8" t="s">
        <v>3</v>
      </c>
      <c r="B5" s="7" t="s">
        <v>103</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104</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10</v>
      </c>
      <c r="B25" s="10">
        <f>rap.date.2</f>
        <v>40816</v>
      </c>
    </row>
    <row r="26" spans="1:2">
      <c r="B26" s="11"/>
    </row>
    <row r="27" spans="1:2" ht="12.75" thickBot="1">
      <c r="A27" s="4" t="s">
        <v>19</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11</v>
      </c>
      <c r="B32" s="10">
        <f>rap.date.3</f>
        <v>40816</v>
      </c>
    </row>
    <row r="34" spans="1:2" ht="12.75" thickBot="1">
      <c r="A34" s="4" t="s">
        <v>105</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10</v>
      </c>
      <c r="B40" s="10">
        <f>rap.date.5</f>
        <v>40543</v>
      </c>
    </row>
    <row r="41" spans="1:2">
      <c r="B41" s="11"/>
    </row>
    <row r="42" spans="1:2" ht="12.75" thickBot="1">
      <c r="A42" s="4" t="s">
        <v>106</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11</v>
      </c>
      <c r="B47" s="10">
        <f>rap.date.6</f>
        <v>40543</v>
      </c>
    </row>
    <row r="49" spans="1:2" ht="12.75" thickBot="1">
      <c r="A49" s="4" t="s">
        <v>107</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10</v>
      </c>
      <c r="B55" s="10">
        <f>rap.date.8</f>
        <v>40451</v>
      </c>
    </row>
    <row r="56" spans="1:2">
      <c r="B56" s="11"/>
    </row>
    <row r="57" spans="1:2" ht="12.75" thickBot="1">
      <c r="A57" s="4" t="s">
        <v>108</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11</v>
      </c>
      <c r="B62" s="10">
        <f>rap.date.9</f>
        <v>40451</v>
      </c>
    </row>
    <row r="64" spans="1:2" ht="12.75" thickBot="1">
      <c r="A64" s="4" t="s">
        <v>109</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11</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12</v>
      </c>
      <c r="B1" s="13" t="s">
        <v>13</v>
      </c>
    </row>
    <row r="2" spans="1:2">
      <c r="A2" s="15" t="s">
        <v>14</v>
      </c>
      <c r="B2" s="15" t="s">
        <v>15</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16</v>
      </c>
    </row>
    <row r="3" spans="1:3" ht="17.25" customHeight="1">
      <c r="A3" s="19" t="s">
        <v>17</v>
      </c>
      <c r="B3" s="238" t="s">
        <v>18</v>
      </c>
      <c r="C3" s="238"/>
    </row>
    <row r="4" spans="1:3">
      <c r="A4" s="20"/>
      <c r="B4" s="21" t="s">
        <v>19</v>
      </c>
    </row>
    <row r="5" spans="1:3" ht="15.75" thickBot="1">
      <c r="A5" s="22" t="s">
        <v>17</v>
      </c>
      <c r="B5" s="23"/>
      <c r="C5" s="24" t="s">
        <v>18</v>
      </c>
    </row>
    <row r="6" spans="1:3" ht="15.75" thickBot="1">
      <c r="A6" s="25" t="s">
        <v>20</v>
      </c>
      <c r="B6" s="26" t="s">
        <v>424</v>
      </c>
      <c r="C6" s="24" t="s">
        <v>21</v>
      </c>
    </row>
    <row r="7" spans="1:3" ht="26.25" thickBot="1">
      <c r="A7" s="25" t="s">
        <v>22</v>
      </c>
      <c r="B7" s="26"/>
      <c r="C7" s="24" t="s">
        <v>23</v>
      </c>
    </row>
    <row r="8" spans="1:3" ht="15.75" thickBot="1">
      <c r="A8" s="25" t="s">
        <v>24</v>
      </c>
      <c r="B8" s="26" t="s">
        <v>420</v>
      </c>
      <c r="C8" s="24" t="s">
        <v>25</v>
      </c>
    </row>
    <row r="9" spans="1:3" ht="15.75" thickBot="1">
      <c r="A9" s="25" t="s">
        <v>26</v>
      </c>
      <c r="B9" s="26" t="s">
        <v>423</v>
      </c>
      <c r="C9" s="24" t="s">
        <v>27</v>
      </c>
    </row>
    <row r="10" spans="1:3" ht="15.75" thickBot="1">
      <c r="A10" s="25" t="s">
        <v>28</v>
      </c>
      <c r="B10" s="26" t="s">
        <v>404</v>
      </c>
      <c r="C10" s="24" t="s">
        <v>29</v>
      </c>
    </row>
    <row r="11" spans="1:3" ht="15.75" thickBot="1">
      <c r="A11" s="25" t="s">
        <v>30</v>
      </c>
      <c r="B11" s="26" t="s">
        <v>137</v>
      </c>
      <c r="C11" s="24" t="s">
        <v>31</v>
      </c>
    </row>
    <row r="12" spans="1:3" ht="15.75" thickBot="1">
      <c r="A12" s="25" t="s">
        <v>32</v>
      </c>
      <c r="B12" s="26" t="s">
        <v>378</v>
      </c>
      <c r="C12" s="24" t="s">
        <v>33</v>
      </c>
    </row>
    <row r="13" spans="1:3" ht="15.75" thickBot="1">
      <c r="A13" s="25" t="s">
        <v>34</v>
      </c>
      <c r="B13" s="26" t="s">
        <v>344</v>
      </c>
      <c r="C13" s="24" t="s">
        <v>35</v>
      </c>
    </row>
    <row r="14" spans="1:3" ht="15.75" thickBot="1">
      <c r="A14" s="25" t="s">
        <v>36</v>
      </c>
      <c r="B14" s="26" t="s">
        <v>280</v>
      </c>
      <c r="C14" s="24" t="s">
        <v>37</v>
      </c>
    </row>
    <row r="15" spans="1:3" ht="15.75" thickBot="1">
      <c r="A15" s="25" t="s">
        <v>38</v>
      </c>
      <c r="B15" s="26" t="s">
        <v>156</v>
      </c>
      <c r="C15" s="24" t="s">
        <v>39</v>
      </c>
    </row>
    <row r="16" spans="1:3" ht="15.75" thickBot="1">
      <c r="A16" s="25" t="s">
        <v>40</v>
      </c>
      <c r="B16" s="26" t="s">
        <v>411</v>
      </c>
      <c r="C16" s="24" t="s">
        <v>41</v>
      </c>
    </row>
    <row r="17" spans="1:3" ht="24.75" thickBot="1">
      <c r="A17" s="25" t="s">
        <v>42</v>
      </c>
      <c r="B17" s="26" t="s">
        <v>123</v>
      </c>
      <c r="C17" s="24" t="s">
        <v>43</v>
      </c>
    </row>
    <row r="18" spans="1:3" ht="15.75" thickBot="1">
      <c r="A18" s="25" t="s">
        <v>44</v>
      </c>
      <c r="B18" s="26" t="s">
        <v>117</v>
      </c>
      <c r="C18" s="24" t="s">
        <v>45</v>
      </c>
    </row>
    <row r="19" spans="1:3" ht="26.25" thickBot="1">
      <c r="A19" s="25" t="s">
        <v>46</v>
      </c>
      <c r="B19" s="26" t="s">
        <v>128</v>
      </c>
      <c r="C19" s="24" t="s">
        <v>47</v>
      </c>
    </row>
    <row r="20" spans="1:3" ht="39" thickBot="1">
      <c r="A20" s="25" t="s">
        <v>48</v>
      </c>
      <c r="B20" s="26" t="s">
        <v>111</v>
      </c>
      <c r="C20" s="24" t="s">
        <v>49</v>
      </c>
    </row>
    <row r="21" spans="1:3" ht="26.25" thickBot="1">
      <c r="A21" s="25" t="s">
        <v>50</v>
      </c>
      <c r="B21" s="26" t="s">
        <v>390</v>
      </c>
      <c r="C21" s="24" t="s">
        <v>51</v>
      </c>
    </row>
    <row r="22" spans="1:3" ht="26.25" thickBot="1">
      <c r="A22" s="25" t="s">
        <v>52</v>
      </c>
      <c r="B22" s="26" t="s">
        <v>417</v>
      </c>
      <c r="C22" s="24" t="s">
        <v>53</v>
      </c>
    </row>
    <row r="23" spans="1:3" ht="15.75" thickBot="1">
      <c r="A23" s="25" t="s">
        <v>54</v>
      </c>
      <c r="B23" s="26" t="s">
        <v>422</v>
      </c>
      <c r="C23" s="24" t="s">
        <v>55</v>
      </c>
    </row>
    <row r="24" spans="1:3" ht="15.75" thickBot="1">
      <c r="A24" s="25" t="s">
        <v>56</v>
      </c>
      <c r="B24" s="26" t="s">
        <v>421</v>
      </c>
      <c r="C24" s="24" t="s">
        <v>57</v>
      </c>
    </row>
    <row r="25" spans="1:3" ht="15.75" thickBot="1">
      <c r="A25" s="25" t="s">
        <v>58</v>
      </c>
      <c r="B25" s="26" t="s">
        <v>419</v>
      </c>
      <c r="C25" s="24" t="s">
        <v>59</v>
      </c>
    </row>
    <row r="26" spans="1:3" ht="15.75" thickBot="1">
      <c r="A26" s="25" t="s">
        <v>60</v>
      </c>
      <c r="B26" s="26" t="s">
        <v>416</v>
      </c>
      <c r="C26" s="24" t="s">
        <v>61</v>
      </c>
    </row>
    <row r="27" spans="1:3" ht="15.75" thickBot="1">
      <c r="A27" s="25" t="s">
        <v>62</v>
      </c>
      <c r="B27" s="26" t="s">
        <v>425</v>
      </c>
      <c r="C27" s="24" t="s">
        <v>63</v>
      </c>
    </row>
    <row r="28" spans="1:3" ht="15.75" thickBot="1">
      <c r="A28" s="25" t="s">
        <v>64</v>
      </c>
      <c r="B28" s="26" t="s">
        <v>418</v>
      </c>
      <c r="C28" s="24" t="s">
        <v>65</v>
      </c>
    </row>
    <row r="29" spans="1:3" ht="15.75" thickBot="1">
      <c r="A29" s="25" t="s">
        <v>66</v>
      </c>
      <c r="B29" s="26" t="s">
        <v>405</v>
      </c>
      <c r="C29" s="24" t="s">
        <v>67</v>
      </c>
    </row>
    <row r="30" spans="1:3" ht="26.25" thickBot="1">
      <c r="A30" s="25" t="s">
        <v>68</v>
      </c>
      <c r="B30" s="27"/>
      <c r="C30" s="24" t="s">
        <v>69</v>
      </c>
    </row>
    <row r="31" spans="1:3" ht="39" thickBot="1">
      <c r="A31" s="25" t="s">
        <v>70</v>
      </c>
      <c r="B31" s="26" t="s">
        <v>395</v>
      </c>
      <c r="C31" s="24" t="s">
        <v>71</v>
      </c>
    </row>
    <row r="32" spans="1:3" ht="15.75" thickBot="1">
      <c r="A32" s="25" t="s">
        <v>72</v>
      </c>
      <c r="B32" s="26" t="s">
        <v>114</v>
      </c>
      <c r="C32" s="24" t="s">
        <v>73</v>
      </c>
    </row>
    <row r="33" spans="1:3" ht="15.75" thickBot="1">
      <c r="A33" s="25" t="s">
        <v>74</v>
      </c>
      <c r="B33" s="26"/>
      <c r="C33" s="24" t="s">
        <v>75</v>
      </c>
    </row>
    <row r="34" spans="1:3" ht="51.75" thickBot="1">
      <c r="A34" s="25" t="s">
        <v>76</v>
      </c>
      <c r="B34" s="26"/>
      <c r="C34" s="24" t="s">
        <v>77</v>
      </c>
    </row>
    <row r="35" spans="1:3" ht="15.75" thickBot="1">
      <c r="A35" s="25" t="s">
        <v>78</v>
      </c>
      <c r="B35" s="26"/>
      <c r="C35" s="24" t="s">
        <v>79</v>
      </c>
    </row>
    <row r="36" spans="1:3" ht="15.75" thickBot="1">
      <c r="A36" s="25" t="s">
        <v>80</v>
      </c>
      <c r="B36" s="26"/>
      <c r="C36" s="24" t="s">
        <v>81</v>
      </c>
    </row>
    <row r="37" spans="1:3" ht="15.75" thickBot="1">
      <c r="A37" s="25" t="s">
        <v>82</v>
      </c>
      <c r="B37" s="26"/>
      <c r="C37" s="24" t="s">
        <v>83</v>
      </c>
    </row>
    <row r="38" spans="1:3" ht="15.75" thickBot="1">
      <c r="A38" s="25" t="s">
        <v>84</v>
      </c>
      <c r="B38" s="26"/>
      <c r="C38" s="24" t="s">
        <v>85</v>
      </c>
    </row>
    <row r="39" spans="1:3" ht="26.25" thickBot="1">
      <c r="A39" s="25" t="s">
        <v>86</v>
      </c>
      <c r="B39" s="26"/>
      <c r="C39" s="24" t="s">
        <v>87</v>
      </c>
    </row>
    <row r="40" spans="1:3" ht="15.75" thickBot="1">
      <c r="A40" s="25" t="s">
        <v>88</v>
      </c>
      <c r="B40" s="26"/>
      <c r="C40" s="24" t="s">
        <v>89</v>
      </c>
    </row>
    <row r="41" spans="1:3" ht="26.25" thickBot="1">
      <c r="A41" s="25" t="s">
        <v>90</v>
      </c>
      <c r="B41" s="26"/>
      <c r="C41" s="24" t="s">
        <v>91</v>
      </c>
    </row>
    <row r="42" spans="1:3" ht="26.25" thickBot="1">
      <c r="A42" s="25" t="s">
        <v>92</v>
      </c>
      <c r="B42" s="26"/>
      <c r="C42" s="24" t="s">
        <v>93</v>
      </c>
    </row>
    <row r="43" spans="1:3" ht="15.75" thickBot="1">
      <c r="A43" s="25" t="s">
        <v>94</v>
      </c>
      <c r="B43" s="26"/>
      <c r="C43" s="24" t="s">
        <v>95</v>
      </c>
    </row>
    <row r="44" spans="1:3" ht="15.75" thickBot="1">
      <c r="A44" s="25" t="s">
        <v>96</v>
      </c>
      <c r="B44" s="26"/>
      <c r="C44" s="24" t="s">
        <v>97</v>
      </c>
    </row>
    <row r="45" spans="1:3" ht="51.75" thickBot="1">
      <c r="A45" s="25" t="s">
        <v>98</v>
      </c>
      <c r="B45" s="26" t="s">
        <v>112</v>
      </c>
      <c r="C45" s="24" t="s">
        <v>99</v>
      </c>
    </row>
    <row r="46" spans="1:3" ht="77.25" thickBot="1">
      <c r="A46" s="25" t="s">
        <v>100</v>
      </c>
      <c r="B46" s="26"/>
      <c r="C46" s="24" t="s">
        <v>101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0E544-7529-4B04-A78F-D8A1867E00A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39" t="s">
        <v>427</v>
      </c>
      <c r="B3" s="239"/>
      <c r="C3" s="240" t="s">
        <v>428</v>
      </c>
      <c r="D3" s="240"/>
    </row>
    <row r="4" spans="1:4">
      <c r="A4" s="30"/>
      <c r="B4" s="31" t="s">
        <v>19</v>
      </c>
      <c r="C4" s="31" t="s">
        <v>106</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30441</v>
      </c>
      <c r="C8" s="38">
        <v>45888</v>
      </c>
      <c r="D8" s="34" t="s">
        <v>434</v>
      </c>
    </row>
    <row r="9" spans="1:4" ht="15.75" thickBot="1">
      <c r="A9" s="37" t="s">
        <v>435</v>
      </c>
      <c r="B9" s="38"/>
      <c r="C9" s="38"/>
      <c r="D9" s="34" t="s">
        <v>436</v>
      </c>
    </row>
    <row r="10" spans="1:4" ht="15.75" thickBot="1">
      <c r="A10" s="37" t="s">
        <v>437</v>
      </c>
      <c r="B10" s="38"/>
      <c r="C10" s="38"/>
      <c r="D10" s="34" t="s">
        <v>438</v>
      </c>
    </row>
    <row r="11" spans="1:4" ht="26.25" thickBot="1">
      <c r="A11" s="37" t="s">
        <v>439</v>
      </c>
      <c r="B11" s="38"/>
      <c r="C11" s="38"/>
      <c r="D11" s="34" t="s">
        <v>440</v>
      </c>
    </row>
    <row r="12" spans="1:4" ht="15.75" thickBot="1">
      <c r="A12" s="37" t="s">
        <v>441</v>
      </c>
      <c r="B12" s="33"/>
      <c r="C12" s="33"/>
      <c r="D12" s="34" t="s">
        <v>442</v>
      </c>
    </row>
    <row r="13" spans="1:4" ht="39" thickBot="1">
      <c r="A13" s="39" t="s">
        <v>443</v>
      </c>
      <c r="B13" s="38"/>
      <c r="C13" s="38"/>
      <c r="D13" s="34" t="s">
        <v>444</v>
      </c>
    </row>
    <row r="14" spans="1:4" ht="39" thickBot="1">
      <c r="A14" s="39" t="s">
        <v>445</v>
      </c>
      <c r="B14" s="38"/>
      <c r="C14" s="38"/>
      <c r="D14" s="34" t="s">
        <v>446</v>
      </c>
    </row>
    <row r="15" spans="1:4" ht="26.2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688331</v>
      </c>
      <c r="C19" s="38">
        <v>534059</v>
      </c>
      <c r="D19" s="34" t="s">
        <v>456</v>
      </c>
    </row>
    <row r="20" spans="1:4" ht="15.75" thickBot="1">
      <c r="A20" s="39" t="s">
        <v>457</v>
      </c>
      <c r="B20" s="38">
        <v>20935</v>
      </c>
      <c r="C20" s="38">
        <v>19319</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26.25" thickBot="1">
      <c r="A26" s="39" t="s">
        <v>469</v>
      </c>
      <c r="B26" s="38"/>
      <c r="C26" s="38"/>
      <c r="D26" s="34" t="s">
        <v>470</v>
      </c>
    </row>
    <row r="27" spans="1:4" ht="26.2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26.25" thickBot="1">
      <c r="A30" s="39" t="s">
        <v>477</v>
      </c>
      <c r="B30" s="38"/>
      <c r="C30" s="38"/>
      <c r="D30" s="34" t="s">
        <v>478</v>
      </c>
    </row>
    <row r="31" spans="1:4" ht="26.25" thickBot="1">
      <c r="A31" s="39" t="s">
        <v>479</v>
      </c>
      <c r="B31" s="38"/>
      <c r="C31" s="38"/>
      <c r="D31" s="34" t="s">
        <v>480</v>
      </c>
    </row>
    <row r="32" spans="1:4" ht="15.75" thickBot="1">
      <c r="A32" s="37" t="s">
        <v>481</v>
      </c>
      <c r="B32" s="38"/>
      <c r="C32" s="38"/>
      <c r="D32" s="34" t="s">
        <v>482</v>
      </c>
    </row>
    <row r="33" spans="1:4" ht="26.2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8669</v>
      </c>
      <c r="C37" s="38">
        <v>168</v>
      </c>
      <c r="D37" s="34" t="s">
        <v>492</v>
      </c>
    </row>
    <row r="38" spans="1:4" ht="15.75" thickBot="1">
      <c r="A38" s="39" t="s">
        <v>493</v>
      </c>
      <c r="B38" s="38">
        <v>10963</v>
      </c>
      <c r="C38" s="38">
        <v>2435</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780921</v>
      </c>
      <c r="C42" s="38">
        <v>789886</v>
      </c>
      <c r="D42" s="34" t="s">
        <v>496</v>
      </c>
    </row>
    <row r="43" spans="1:4" ht="15.75" thickBot="1">
      <c r="A43" s="37" t="s">
        <v>501</v>
      </c>
      <c r="B43" s="38"/>
      <c r="C43" s="38"/>
      <c r="D43" s="34" t="s">
        <v>502</v>
      </c>
    </row>
    <row r="44" spans="1:4" ht="15.75" thickBot="1">
      <c r="A44" s="37" t="s">
        <v>503</v>
      </c>
      <c r="B44" s="38"/>
      <c r="C44" s="38"/>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26.25" thickBot="1">
      <c r="A48" s="39" t="s">
        <v>511</v>
      </c>
      <c r="B48" s="38"/>
      <c r="C48" s="38"/>
      <c r="D48" s="34" t="s">
        <v>512</v>
      </c>
    </row>
    <row r="49" spans="1:4" ht="15.75" thickBot="1">
      <c r="A49" s="39" t="s">
        <v>513</v>
      </c>
      <c r="B49" s="38">
        <v>82235</v>
      </c>
      <c r="C49" s="38">
        <v>26822</v>
      </c>
      <c r="D49" s="34" t="s">
        <v>514</v>
      </c>
    </row>
    <row r="50" spans="1:4" ht="15.75" thickBot="1">
      <c r="A50" s="37" t="s">
        <v>515</v>
      </c>
      <c r="B50" s="38">
        <v>4189</v>
      </c>
      <c r="C50" s="38">
        <v>13571</v>
      </c>
      <c r="D50" s="34" t="s">
        <v>516</v>
      </c>
    </row>
    <row r="51" spans="1:4" ht="26.25" thickBot="1">
      <c r="A51" s="37" t="s">
        <v>517</v>
      </c>
      <c r="B51" s="38"/>
      <c r="C51" s="38">
        <v>52357</v>
      </c>
      <c r="D51" s="34" t="s">
        <v>518</v>
      </c>
    </row>
    <row r="52" spans="1:4" ht="26.25" thickBot="1">
      <c r="A52" s="37" t="s">
        <v>519</v>
      </c>
      <c r="B52" s="38"/>
      <c r="C52" s="38"/>
      <c r="D52" s="34" t="s">
        <v>520</v>
      </c>
    </row>
    <row r="53" spans="1:4" ht="26.2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39" thickBot="1">
      <c r="A56" s="37" t="s">
        <v>527</v>
      </c>
      <c r="B56" s="38"/>
      <c r="C56" s="38"/>
      <c r="D56" s="34" t="s">
        <v>528</v>
      </c>
    </row>
    <row r="57" spans="1:4" ht="51.75" thickBot="1">
      <c r="A57" s="37" t="s">
        <v>529</v>
      </c>
      <c r="B57" s="38"/>
      <c r="C57" s="38"/>
      <c r="D57" s="34" t="s">
        <v>530</v>
      </c>
    </row>
    <row r="58" spans="1:4" ht="15.75" thickBot="1">
      <c r="A58" s="37" t="s">
        <v>531</v>
      </c>
      <c r="B58" s="38">
        <v>1626684</v>
      </c>
      <c r="C58" s="38">
        <v>1484505</v>
      </c>
      <c r="D58" s="34" t="s">
        <v>532</v>
      </c>
    </row>
    <row r="59" spans="1:4" ht="15.75" thickBot="1">
      <c r="A59" s="36" t="s">
        <v>533</v>
      </c>
      <c r="B59" s="33"/>
      <c r="C59" s="33"/>
      <c r="D59" s="34" t="s">
        <v>534</v>
      </c>
    </row>
    <row r="60" spans="1:4" ht="26.25" thickBot="1">
      <c r="A60" s="37" t="s">
        <v>535</v>
      </c>
      <c r="B60" s="38"/>
      <c r="C60" s="38"/>
      <c r="D60" s="34" t="s">
        <v>536</v>
      </c>
    </row>
    <row r="61" spans="1:4" ht="26.2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26.25" thickBot="1">
      <c r="A66" s="39" t="s">
        <v>547</v>
      </c>
      <c r="B66" s="38"/>
      <c r="C66" s="38"/>
      <c r="D66" s="34" t="s">
        <v>548</v>
      </c>
    </row>
    <row r="67" spans="1:4" ht="26.25" thickBot="1">
      <c r="A67" s="39" t="s">
        <v>549</v>
      </c>
      <c r="B67" s="38"/>
      <c r="C67" s="38"/>
      <c r="D67" s="34" t="s">
        <v>550</v>
      </c>
    </row>
    <row r="68" spans="1:4" ht="15.75" thickBot="1">
      <c r="A68" s="37" t="s">
        <v>551</v>
      </c>
      <c r="B68" s="33"/>
      <c r="C68" s="33"/>
      <c r="D68" s="34" t="s">
        <v>552</v>
      </c>
    </row>
    <row r="69" spans="1:4" ht="26.25" thickBot="1">
      <c r="A69" s="39" t="s">
        <v>553</v>
      </c>
      <c r="B69" s="38"/>
      <c r="C69" s="38"/>
      <c r="D69" s="34" t="s">
        <v>554</v>
      </c>
    </row>
    <row r="70" spans="1:4" ht="26.25" thickBot="1">
      <c r="A70" s="39" t="s">
        <v>555</v>
      </c>
      <c r="B70" s="38"/>
      <c r="C70" s="38"/>
      <c r="D70" s="34" t="s">
        <v>556</v>
      </c>
    </row>
    <row r="71" spans="1:4" ht="26.25" thickBot="1">
      <c r="A71" s="37" t="s">
        <v>557</v>
      </c>
      <c r="B71" s="38"/>
      <c r="C71" s="38"/>
      <c r="D71" s="34" t="s">
        <v>558</v>
      </c>
    </row>
    <row r="72" spans="1:4" ht="26.25" thickBot="1">
      <c r="A72" s="37" t="s">
        <v>559</v>
      </c>
      <c r="B72" s="33"/>
      <c r="C72" s="33"/>
      <c r="D72" s="34" t="s">
        <v>560</v>
      </c>
    </row>
    <row r="73" spans="1:4" ht="26.25" thickBot="1">
      <c r="A73" s="39" t="s">
        <v>561</v>
      </c>
      <c r="B73" s="38"/>
      <c r="C73" s="38"/>
      <c r="D73" s="34" t="s">
        <v>562</v>
      </c>
    </row>
    <row r="74" spans="1:4" ht="15.75" thickBot="1">
      <c r="A74" s="39" t="s">
        <v>563</v>
      </c>
      <c r="B74" s="38">
        <v>147490</v>
      </c>
      <c r="C74" s="38">
        <v>129043</v>
      </c>
      <c r="D74" s="34" t="s">
        <v>564</v>
      </c>
    </row>
    <row r="75" spans="1:4" ht="15.75" thickBot="1">
      <c r="A75" s="37" t="s">
        <v>565</v>
      </c>
      <c r="B75" s="38"/>
      <c r="C75" s="38"/>
      <c r="D75" s="34" t="s">
        <v>566</v>
      </c>
    </row>
    <row r="76" spans="1:4" ht="15.75" thickBot="1">
      <c r="A76" s="37" t="s">
        <v>567</v>
      </c>
      <c r="B76" s="33"/>
      <c r="C76" s="33"/>
      <c r="D76" s="34" t="s">
        <v>568</v>
      </c>
    </row>
    <row r="77" spans="1:4" ht="26.25" thickBot="1">
      <c r="A77" s="39" t="s">
        <v>569</v>
      </c>
      <c r="B77" s="38"/>
      <c r="C77" s="38"/>
      <c r="D77" s="34" t="s">
        <v>570</v>
      </c>
    </row>
    <row r="78" spans="1:4" ht="26.25" thickBot="1">
      <c r="A78" s="39" t="s">
        <v>571</v>
      </c>
      <c r="B78" s="38">
        <v>92661</v>
      </c>
      <c r="C78" s="38">
        <v>86676</v>
      </c>
      <c r="D78" s="34" t="s">
        <v>572</v>
      </c>
    </row>
    <row r="79" spans="1:4" ht="15.75" thickBot="1">
      <c r="A79" s="39" t="s">
        <v>573</v>
      </c>
      <c r="B79" s="38"/>
      <c r="C79" s="38"/>
      <c r="D79" s="34" t="s">
        <v>574</v>
      </c>
    </row>
    <row r="80" spans="1:4" ht="15.75" thickBot="1">
      <c r="A80" s="37" t="s">
        <v>575</v>
      </c>
      <c r="B80" s="33"/>
      <c r="C80" s="33"/>
      <c r="D80" s="34" t="s">
        <v>576</v>
      </c>
    </row>
    <row r="81" spans="1:4" ht="39" thickBot="1">
      <c r="A81" s="39" t="s">
        <v>577</v>
      </c>
      <c r="B81" s="38"/>
      <c r="C81" s="38"/>
      <c r="D81" s="34" t="s">
        <v>578</v>
      </c>
    </row>
    <row r="82" spans="1:4" ht="39" thickBot="1">
      <c r="A82" s="39" t="s">
        <v>579</v>
      </c>
      <c r="B82" s="38"/>
      <c r="C82" s="38"/>
      <c r="D82" s="34" t="s">
        <v>580</v>
      </c>
    </row>
    <row r="83" spans="1:4" ht="26.25" thickBot="1">
      <c r="A83" s="39" t="s">
        <v>581</v>
      </c>
      <c r="B83" s="38"/>
      <c r="C83" s="38"/>
      <c r="D83" s="34" t="s">
        <v>582</v>
      </c>
    </row>
    <row r="84" spans="1:4" ht="26.25" thickBot="1">
      <c r="A84" s="39" t="s">
        <v>583</v>
      </c>
      <c r="B84" s="38">
        <v>2656</v>
      </c>
      <c r="C84" s="38">
        <v>4654</v>
      </c>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c r="C88" s="38"/>
      <c r="D88" s="34" t="s">
        <v>592</v>
      </c>
    </row>
    <row r="89" spans="1:4" ht="15.75" thickBot="1">
      <c r="A89" s="37" t="s">
        <v>593</v>
      </c>
      <c r="B89" s="33"/>
      <c r="C89" s="33"/>
      <c r="D89" s="34" t="s">
        <v>594</v>
      </c>
    </row>
    <row r="90" spans="1:4" ht="26.2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26.25" thickBot="1">
      <c r="A95" s="39" t="s">
        <v>604</v>
      </c>
      <c r="B95" s="38"/>
      <c r="C95" s="38"/>
      <c r="D95" s="34" t="s">
        <v>605</v>
      </c>
    </row>
    <row r="96" spans="1:4" ht="26.25" thickBot="1">
      <c r="A96" s="39" t="s">
        <v>606</v>
      </c>
      <c r="B96" s="38"/>
      <c r="C96" s="38"/>
      <c r="D96" s="34" t="s">
        <v>607</v>
      </c>
    </row>
    <row r="97" spans="1:4" ht="15.75" thickBot="1">
      <c r="A97" s="37" t="s">
        <v>608</v>
      </c>
      <c r="B97" s="33"/>
      <c r="C97" s="33"/>
      <c r="D97" s="34" t="s">
        <v>609</v>
      </c>
    </row>
    <row r="98" spans="1:4" ht="26.25" thickBot="1">
      <c r="A98" s="39" t="s">
        <v>610</v>
      </c>
      <c r="B98" s="38"/>
      <c r="C98" s="38"/>
      <c r="D98" s="34" t="s">
        <v>611</v>
      </c>
    </row>
    <row r="99" spans="1:4" ht="26.2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3418558</v>
      </c>
      <c r="C105" s="38">
        <v>3315916</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26.25" thickBot="1">
      <c r="A113" s="37" t="s">
        <v>640</v>
      </c>
      <c r="B113" s="38"/>
      <c r="C113" s="38"/>
      <c r="D113" s="34" t="s">
        <v>641</v>
      </c>
    </row>
    <row r="114" spans="1:4" ht="26.25" thickBot="1">
      <c r="A114" s="37" t="s">
        <v>642</v>
      </c>
      <c r="B114" s="38"/>
      <c r="C114" s="38"/>
      <c r="D114" s="34" t="s">
        <v>643</v>
      </c>
    </row>
    <row r="115" spans="1:4" ht="15.75" thickBot="1">
      <c r="A115" s="37" t="s">
        <v>644</v>
      </c>
      <c r="B115" s="33"/>
      <c r="C115" s="33"/>
      <c r="D115" s="34" t="s">
        <v>645</v>
      </c>
    </row>
    <row r="116" spans="1:4" ht="26.25" thickBot="1">
      <c r="A116" s="39" t="s">
        <v>646</v>
      </c>
      <c r="B116" s="38"/>
      <c r="C116" s="38"/>
      <c r="D116" s="34" t="s">
        <v>647</v>
      </c>
    </row>
    <row r="117" spans="1:4" ht="26.25" thickBot="1">
      <c r="A117" s="39" t="s">
        <v>648</v>
      </c>
      <c r="B117" s="38"/>
      <c r="C117" s="38"/>
      <c r="D117" s="34" t="s">
        <v>649</v>
      </c>
    </row>
    <row r="118" spans="1:4" ht="39" thickBot="1">
      <c r="A118" s="39" t="s">
        <v>650</v>
      </c>
      <c r="B118" s="38"/>
      <c r="C118" s="38"/>
      <c r="D118" s="34" t="s">
        <v>651</v>
      </c>
    </row>
    <row r="119" spans="1:4" ht="39" thickBot="1">
      <c r="A119" s="39" t="s">
        <v>652</v>
      </c>
      <c r="B119" s="38"/>
      <c r="C119" s="38"/>
      <c r="D119" s="34" t="s">
        <v>653</v>
      </c>
    </row>
    <row r="120" spans="1:4" ht="15.75" thickBot="1">
      <c r="A120" s="39" t="s">
        <v>654</v>
      </c>
      <c r="B120" s="38"/>
      <c r="C120" s="38"/>
      <c r="D120" s="34" t="s">
        <v>655</v>
      </c>
    </row>
    <row r="121" spans="1:4" ht="26.25" thickBot="1">
      <c r="A121" s="37" t="s">
        <v>656</v>
      </c>
      <c r="B121" s="38">
        <v>38201</v>
      </c>
      <c r="C121" s="38">
        <v>24062</v>
      </c>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26.25" thickBot="1">
      <c r="A125" s="37" t="s">
        <v>663</v>
      </c>
      <c r="B125" s="38"/>
      <c r="C125" s="38"/>
      <c r="D125" s="34" t="s">
        <v>664</v>
      </c>
    </row>
    <row r="126" spans="1:4" ht="26.25" thickBot="1">
      <c r="A126" s="37" t="s">
        <v>665</v>
      </c>
      <c r="B126" s="38"/>
      <c r="C126" s="38"/>
      <c r="D126" s="34" t="s">
        <v>666</v>
      </c>
    </row>
    <row r="127" spans="1:4" ht="15.75" thickBot="1">
      <c r="A127" s="37" t="s">
        <v>667</v>
      </c>
      <c r="B127" s="38">
        <v>3699566</v>
      </c>
      <c r="C127" s="38">
        <v>3560351</v>
      </c>
      <c r="D127" s="34" t="s">
        <v>668</v>
      </c>
    </row>
    <row r="128" spans="1:4" ht="15.75" thickBot="1">
      <c r="A128" s="36" t="s">
        <v>669</v>
      </c>
      <c r="B128" s="38">
        <v>5326250</v>
      </c>
      <c r="C128" s="38">
        <v>5044856</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1113297</v>
      </c>
      <c r="C132" s="38">
        <v>972035</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343648</v>
      </c>
      <c r="C135" s="38">
        <v>325756</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8916</v>
      </c>
      <c r="C138" s="38">
        <v>11714</v>
      </c>
      <c r="D138" s="34" t="s">
        <v>690</v>
      </c>
    </row>
    <row r="139" spans="1:4" ht="15.75" thickBot="1">
      <c r="A139" s="40" t="s">
        <v>691</v>
      </c>
      <c r="B139" s="38"/>
      <c r="C139" s="38"/>
      <c r="D139" s="34" t="s">
        <v>692</v>
      </c>
    </row>
    <row r="140" spans="1:4" ht="26.25" thickBot="1">
      <c r="A140" s="39" t="s">
        <v>693</v>
      </c>
      <c r="B140" s="33"/>
      <c r="C140" s="33"/>
      <c r="D140" s="34" t="s">
        <v>694</v>
      </c>
    </row>
    <row r="141" spans="1:4" ht="26.25" thickBot="1">
      <c r="A141" s="40" t="s">
        <v>695</v>
      </c>
      <c r="B141" s="38">
        <v>1396</v>
      </c>
      <c r="C141" s="38">
        <v>1199</v>
      </c>
      <c r="D141" s="34" t="s">
        <v>696</v>
      </c>
    </row>
    <row r="142" spans="1:4" ht="26.25" thickBot="1">
      <c r="A142" s="40" t="s">
        <v>697</v>
      </c>
      <c r="B142" s="38"/>
      <c r="C142" s="38"/>
      <c r="D142" s="34" t="s">
        <v>698</v>
      </c>
    </row>
    <row r="143" spans="1:4" ht="15.75" thickBot="1">
      <c r="A143" s="39" t="s">
        <v>699</v>
      </c>
      <c r="B143" s="38"/>
      <c r="C143" s="38"/>
      <c r="D143" s="34" t="s">
        <v>700</v>
      </c>
    </row>
    <row r="144" spans="1:4" ht="26.25" thickBot="1">
      <c r="A144" s="39" t="s">
        <v>701</v>
      </c>
      <c r="B144" s="38"/>
      <c r="C144" s="38"/>
      <c r="D144" s="34" t="s">
        <v>702</v>
      </c>
    </row>
    <row r="145" spans="1:4" ht="15.75" thickBot="1">
      <c r="A145" s="39" t="s">
        <v>703</v>
      </c>
      <c r="B145" s="38">
        <v>59731</v>
      </c>
      <c r="C145" s="38">
        <v>41209</v>
      </c>
      <c r="D145" s="34" t="s">
        <v>704</v>
      </c>
    </row>
    <row r="146" spans="1:4" ht="26.25" thickBot="1">
      <c r="A146" s="39" t="s">
        <v>705</v>
      </c>
      <c r="B146" s="38"/>
      <c r="C146" s="38"/>
      <c r="D146" s="34" t="s">
        <v>706</v>
      </c>
    </row>
    <row r="147" spans="1:4" ht="15.75" thickBot="1">
      <c r="A147" s="39" t="s">
        <v>707</v>
      </c>
      <c r="B147" s="38">
        <v>5562</v>
      </c>
      <c r="C147" s="38">
        <v>24839</v>
      </c>
      <c r="D147" s="34" t="s">
        <v>708</v>
      </c>
    </row>
    <row r="148" spans="1:4" ht="15.75" thickBot="1">
      <c r="A148" s="39" t="s">
        <v>709</v>
      </c>
      <c r="B148" s="38"/>
      <c r="C148" s="38"/>
      <c r="D148" s="34" t="s">
        <v>710</v>
      </c>
    </row>
    <row r="149" spans="1:4" ht="15.75" thickBot="1">
      <c r="A149" s="39" t="s">
        <v>711</v>
      </c>
      <c r="B149" s="38"/>
      <c r="C149" s="38"/>
      <c r="D149" s="34" t="s">
        <v>712</v>
      </c>
    </row>
    <row r="150" spans="1:4" ht="26.2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26.25" thickBot="1">
      <c r="A158" s="39" t="s">
        <v>729</v>
      </c>
      <c r="B158" s="38"/>
      <c r="C158" s="38"/>
      <c r="D158" s="34" t="s">
        <v>730</v>
      </c>
    </row>
    <row r="159" spans="1:4" ht="26.25" thickBot="1">
      <c r="A159" s="39" t="s">
        <v>731</v>
      </c>
      <c r="B159" s="33"/>
      <c r="C159" s="33"/>
      <c r="D159" s="34" t="s">
        <v>732</v>
      </c>
    </row>
    <row r="160" spans="1:4" ht="26.25" thickBot="1">
      <c r="A160" s="40" t="s">
        <v>733</v>
      </c>
      <c r="B160" s="38"/>
      <c r="C160" s="38"/>
      <c r="D160" s="34" t="s">
        <v>734</v>
      </c>
    </row>
    <row r="161" spans="1:4" ht="26.25" thickBot="1">
      <c r="A161" s="40" t="s">
        <v>735</v>
      </c>
      <c r="B161" s="38"/>
      <c r="C161" s="38"/>
      <c r="D161" s="34" t="s">
        <v>736</v>
      </c>
    </row>
    <row r="162" spans="1:4" ht="26.25" thickBot="1">
      <c r="A162" s="39" t="s">
        <v>737</v>
      </c>
      <c r="B162" s="38"/>
      <c r="C162" s="38"/>
      <c r="D162" s="34" t="s">
        <v>738</v>
      </c>
    </row>
    <row r="163" spans="1:4" ht="15.75" thickBot="1">
      <c r="A163" s="39" t="s">
        <v>739</v>
      </c>
      <c r="B163" s="33"/>
      <c r="C163" s="33"/>
      <c r="D163" s="34" t="s">
        <v>740</v>
      </c>
    </row>
    <row r="164" spans="1:4" ht="26.25" thickBot="1">
      <c r="A164" s="40" t="s">
        <v>741</v>
      </c>
      <c r="B164" s="38"/>
      <c r="C164" s="38"/>
      <c r="D164" s="34" t="s">
        <v>742</v>
      </c>
    </row>
    <row r="165" spans="1:4" ht="39" thickBot="1">
      <c r="A165" s="40" t="s">
        <v>743</v>
      </c>
      <c r="B165" s="38"/>
      <c r="C165" s="38"/>
      <c r="D165" s="34" t="s">
        <v>744</v>
      </c>
    </row>
    <row r="166" spans="1:4" ht="39" thickBot="1">
      <c r="A166" s="40" t="s">
        <v>745</v>
      </c>
      <c r="B166" s="38"/>
      <c r="C166" s="38"/>
      <c r="D166" s="34" t="s">
        <v>746</v>
      </c>
    </row>
    <row r="167" spans="1:4" ht="26.25" thickBot="1">
      <c r="A167" s="40" t="s">
        <v>747</v>
      </c>
      <c r="B167" s="38"/>
      <c r="C167" s="38"/>
      <c r="D167" s="34" t="s">
        <v>748</v>
      </c>
    </row>
    <row r="168" spans="1:4" ht="26.25" thickBot="1">
      <c r="A168" s="40" t="s">
        <v>749</v>
      </c>
      <c r="B168" s="38"/>
      <c r="C168" s="38"/>
      <c r="D168" s="34" t="s">
        <v>750</v>
      </c>
    </row>
    <row r="169" spans="1:4" ht="15.75" thickBot="1">
      <c r="A169" s="40" t="s">
        <v>751</v>
      </c>
      <c r="B169" s="38"/>
      <c r="C169" s="38"/>
      <c r="D169" s="34" t="s">
        <v>752</v>
      </c>
    </row>
    <row r="170" spans="1:4" ht="26.25" thickBot="1">
      <c r="A170" s="39" t="s">
        <v>753</v>
      </c>
      <c r="B170" s="38"/>
      <c r="C170" s="38"/>
      <c r="D170" s="34" t="s">
        <v>754</v>
      </c>
    </row>
    <row r="171" spans="1:4" ht="15.75" thickBot="1">
      <c r="A171" s="39" t="s">
        <v>755</v>
      </c>
      <c r="B171" s="38"/>
      <c r="C171" s="38"/>
      <c r="D171" s="34" t="s">
        <v>756</v>
      </c>
    </row>
    <row r="172" spans="1:4" ht="90" thickBot="1">
      <c r="A172" s="39" t="s">
        <v>757</v>
      </c>
      <c r="B172" s="38"/>
      <c r="C172" s="38"/>
      <c r="D172" s="34" t="s">
        <v>758</v>
      </c>
    </row>
    <row r="173" spans="1:4" ht="26.25" thickBot="1">
      <c r="A173" s="39" t="s">
        <v>759</v>
      </c>
      <c r="B173" s="33"/>
      <c r="C173" s="33"/>
      <c r="D173" s="34" t="s">
        <v>760</v>
      </c>
    </row>
    <row r="174" spans="1:4" ht="39" thickBot="1">
      <c r="A174" s="40" t="s">
        <v>761</v>
      </c>
      <c r="B174" s="38">
        <v>164013</v>
      </c>
      <c r="C174" s="38">
        <v>161076</v>
      </c>
      <c r="D174" s="34" t="s">
        <v>762</v>
      </c>
    </row>
    <row r="175" spans="1:4" ht="51.75" thickBot="1">
      <c r="A175" s="40" t="s">
        <v>763</v>
      </c>
      <c r="B175" s="38"/>
      <c r="C175" s="38"/>
      <c r="D175" s="34" t="s">
        <v>764</v>
      </c>
    </row>
    <row r="176" spans="1:4" ht="39" thickBot="1">
      <c r="A176" s="40" t="s">
        <v>765</v>
      </c>
      <c r="B176" s="38"/>
      <c r="C176" s="38"/>
      <c r="D176" s="34" t="s">
        <v>766</v>
      </c>
    </row>
    <row r="177" spans="1:4" ht="39" thickBot="1">
      <c r="A177" s="40" t="s">
        <v>767</v>
      </c>
      <c r="B177" s="38"/>
      <c r="C177" s="38"/>
      <c r="D177" s="34" t="s">
        <v>768</v>
      </c>
    </row>
    <row r="178" spans="1:4" ht="39" thickBot="1">
      <c r="A178" s="40" t="s">
        <v>769</v>
      </c>
      <c r="B178" s="38"/>
      <c r="C178" s="38"/>
      <c r="D178" s="34" t="s">
        <v>770</v>
      </c>
    </row>
    <row r="179" spans="1:4" ht="51.75" thickBot="1">
      <c r="A179" s="40" t="s">
        <v>771</v>
      </c>
      <c r="B179" s="38"/>
      <c r="C179" s="38"/>
      <c r="D179" s="34" t="s">
        <v>772</v>
      </c>
    </row>
    <row r="180" spans="1:4" ht="39" thickBot="1">
      <c r="A180" s="40" t="s">
        <v>773</v>
      </c>
      <c r="B180" s="38"/>
      <c r="C180" s="38"/>
      <c r="D180" s="34" t="s">
        <v>774</v>
      </c>
    </row>
    <row r="181" spans="1:4" ht="51.75" thickBot="1">
      <c r="A181" s="40" t="s">
        <v>775</v>
      </c>
      <c r="B181" s="38"/>
      <c r="C181" s="38"/>
      <c r="D181" s="34" t="s">
        <v>776</v>
      </c>
    </row>
    <row r="182" spans="1:4" ht="51.75" thickBot="1">
      <c r="A182" s="40" t="s">
        <v>777</v>
      </c>
      <c r="B182" s="38"/>
      <c r="C182" s="38"/>
      <c r="D182" s="34" t="s">
        <v>778</v>
      </c>
    </row>
    <row r="183" spans="1:4" ht="51.75" thickBot="1">
      <c r="A183" s="40" t="s">
        <v>779</v>
      </c>
      <c r="B183" s="38"/>
      <c r="C183" s="38"/>
      <c r="D183" s="34" t="s">
        <v>780</v>
      </c>
    </row>
    <row r="184" spans="1:4" ht="51.75" thickBot="1">
      <c r="A184" s="40" t="s">
        <v>781</v>
      </c>
      <c r="B184" s="38"/>
      <c r="C184" s="38"/>
      <c r="D184" s="34" t="s">
        <v>782</v>
      </c>
    </row>
    <row r="185" spans="1:4" ht="39" thickBot="1">
      <c r="A185" s="40" t="s">
        <v>783</v>
      </c>
      <c r="B185" s="38"/>
      <c r="C185" s="38"/>
      <c r="D185" s="34" t="s">
        <v>784</v>
      </c>
    </row>
    <row r="186" spans="1:4" ht="39" thickBot="1">
      <c r="A186" s="40" t="s">
        <v>785</v>
      </c>
      <c r="B186" s="38"/>
      <c r="C186" s="38"/>
      <c r="D186" s="34" t="s">
        <v>786</v>
      </c>
    </row>
    <row r="187" spans="1:4" ht="39" thickBot="1">
      <c r="A187" s="40" t="s">
        <v>787</v>
      </c>
      <c r="B187" s="38"/>
      <c r="C187" s="38"/>
      <c r="D187" s="34" t="s">
        <v>788</v>
      </c>
    </row>
    <row r="188" spans="1:4" ht="51.75" thickBot="1">
      <c r="A188" s="40" t="s">
        <v>789</v>
      </c>
      <c r="B188" s="38"/>
      <c r="C188" s="38"/>
      <c r="D188" s="34" t="s">
        <v>790</v>
      </c>
    </row>
    <row r="189" spans="1:4" ht="39" thickBot="1">
      <c r="A189" s="40" t="s">
        <v>791</v>
      </c>
      <c r="B189" s="38"/>
      <c r="C189" s="38"/>
      <c r="D189" s="34" t="s">
        <v>792</v>
      </c>
    </row>
    <row r="190" spans="1:4" ht="39" thickBot="1">
      <c r="A190" s="40" t="s">
        <v>793</v>
      </c>
      <c r="B190" s="38"/>
      <c r="C190" s="38"/>
      <c r="D190" s="34" t="s">
        <v>794</v>
      </c>
    </row>
    <row r="191" spans="1:4" ht="39" thickBot="1">
      <c r="A191" s="40" t="s">
        <v>795</v>
      </c>
      <c r="B191" s="38"/>
      <c r="C191" s="38"/>
      <c r="D191" s="34" t="s">
        <v>796</v>
      </c>
    </row>
    <row r="192" spans="1:4" ht="39" thickBot="1">
      <c r="A192" s="40" t="s">
        <v>797</v>
      </c>
      <c r="B192" s="38">
        <v>10389</v>
      </c>
      <c r="C192" s="38">
        <v>21261</v>
      </c>
      <c r="D192" s="34" t="s">
        <v>798</v>
      </c>
    </row>
    <row r="193" spans="1:4" ht="26.25" thickBot="1">
      <c r="A193" s="39" t="s">
        <v>799</v>
      </c>
      <c r="B193" s="38"/>
      <c r="C193" s="38"/>
      <c r="D193" s="34" t="s">
        <v>800</v>
      </c>
    </row>
    <row r="194" spans="1:4" ht="26.25" thickBot="1">
      <c r="A194" s="39" t="s">
        <v>801</v>
      </c>
      <c r="B194" s="38"/>
      <c r="C194" s="38"/>
      <c r="D194" s="34" t="s">
        <v>802</v>
      </c>
    </row>
    <row r="195" spans="1:4" ht="26.25" thickBot="1">
      <c r="A195" s="39" t="s">
        <v>803</v>
      </c>
      <c r="B195" s="38"/>
      <c r="C195" s="38"/>
      <c r="D195" s="34" t="s">
        <v>804</v>
      </c>
    </row>
    <row r="196" spans="1:4" ht="26.25" thickBot="1">
      <c r="A196" s="39" t="s">
        <v>805</v>
      </c>
      <c r="B196" s="38"/>
      <c r="C196" s="38"/>
      <c r="D196" s="34" t="s">
        <v>806</v>
      </c>
    </row>
    <row r="197" spans="1:4" ht="26.25" thickBot="1">
      <c r="A197" s="39" t="s">
        <v>807</v>
      </c>
      <c r="B197" s="38"/>
      <c r="C197" s="38"/>
      <c r="D197" s="34" t="s">
        <v>808</v>
      </c>
    </row>
    <row r="198" spans="1:4" ht="15.75" thickBot="1">
      <c r="A198" s="39" t="s">
        <v>809</v>
      </c>
      <c r="B198" s="38">
        <v>1706952</v>
      </c>
      <c r="C198" s="38">
        <v>1559089</v>
      </c>
      <c r="D198" s="34" t="s">
        <v>810</v>
      </c>
    </row>
    <row r="199" spans="1:4" ht="15.75" thickBot="1">
      <c r="A199" s="37" t="s">
        <v>811</v>
      </c>
      <c r="B199" s="33"/>
      <c r="C199" s="33"/>
      <c r="D199" s="34" t="s">
        <v>812</v>
      </c>
    </row>
    <row r="200" spans="1:4" ht="26.25" thickBot="1">
      <c r="A200" s="39" t="s">
        <v>813</v>
      </c>
      <c r="B200" s="38"/>
      <c r="C200" s="38"/>
      <c r="D200" s="34" t="s">
        <v>814</v>
      </c>
    </row>
    <row r="201" spans="1:4" ht="15.75" thickBot="1">
      <c r="A201" s="39" t="s">
        <v>815</v>
      </c>
      <c r="B201" s="38">
        <v>188474</v>
      </c>
      <c r="C201" s="38">
        <v>165704</v>
      </c>
      <c r="D201" s="34" t="s">
        <v>816</v>
      </c>
    </row>
    <row r="202" spans="1:4" ht="26.25" thickBot="1">
      <c r="A202" s="39" t="s">
        <v>817</v>
      </c>
      <c r="B202" s="38"/>
      <c r="C202" s="38"/>
      <c r="D202" s="34" t="s">
        <v>818</v>
      </c>
    </row>
    <row r="203" spans="1:4" ht="26.25" thickBot="1">
      <c r="A203" s="39" t="s">
        <v>819</v>
      </c>
      <c r="B203" s="38"/>
      <c r="C203" s="38"/>
      <c r="D203" s="34" t="s">
        <v>820</v>
      </c>
    </row>
    <row r="204" spans="1:4" ht="15.75" thickBot="1">
      <c r="A204" s="39" t="s">
        <v>821</v>
      </c>
      <c r="B204" s="38"/>
      <c r="C204" s="38"/>
      <c r="D204" s="34" t="s">
        <v>822</v>
      </c>
    </row>
    <row r="205" spans="1:4" ht="39" thickBot="1">
      <c r="A205" s="39" t="s">
        <v>823</v>
      </c>
      <c r="B205" s="33"/>
      <c r="C205" s="33"/>
      <c r="D205" s="34" t="s">
        <v>824</v>
      </c>
    </row>
    <row r="206" spans="1:4" ht="26.25" thickBot="1">
      <c r="A206" s="40" t="s">
        <v>825</v>
      </c>
      <c r="B206" s="38">
        <v>685620</v>
      </c>
      <c r="C206" s="38">
        <v>735935</v>
      </c>
      <c r="D206" s="34" t="s">
        <v>826</v>
      </c>
    </row>
    <row r="207" spans="1:4" ht="26.25" thickBot="1">
      <c r="A207" s="40" t="s">
        <v>827</v>
      </c>
      <c r="B207" s="38"/>
      <c r="C207" s="38"/>
      <c r="D207" s="34" t="s">
        <v>828</v>
      </c>
    </row>
    <row r="208" spans="1:4" ht="26.25" thickBot="1">
      <c r="A208" s="40" t="s">
        <v>829</v>
      </c>
      <c r="B208" s="38"/>
      <c r="C208" s="38"/>
      <c r="D208" s="34" t="s">
        <v>830</v>
      </c>
    </row>
    <row r="209" spans="1:4" ht="26.25" thickBot="1">
      <c r="A209" s="40" t="s">
        <v>831</v>
      </c>
      <c r="B209" s="38"/>
      <c r="C209" s="38"/>
      <c r="D209" s="34" t="s">
        <v>832</v>
      </c>
    </row>
    <row r="210" spans="1:4" ht="26.25" thickBot="1">
      <c r="A210" s="40" t="s">
        <v>833</v>
      </c>
      <c r="B210" s="38"/>
      <c r="C210" s="38"/>
      <c r="D210" s="34" t="s">
        <v>834</v>
      </c>
    </row>
    <row r="211" spans="1:4" ht="39" thickBot="1">
      <c r="A211" s="40" t="s">
        <v>835</v>
      </c>
      <c r="B211" s="38"/>
      <c r="C211" s="38"/>
      <c r="D211" s="34" t="s">
        <v>836</v>
      </c>
    </row>
    <row r="212" spans="1:4" ht="26.2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26.25" thickBot="1">
      <c r="A216" s="40" t="s">
        <v>845</v>
      </c>
      <c r="B216" s="38"/>
      <c r="C216" s="38"/>
      <c r="D216" s="34" t="s">
        <v>846</v>
      </c>
    </row>
    <row r="217" spans="1:4" ht="26.25" thickBot="1">
      <c r="A217" s="40" t="s">
        <v>847</v>
      </c>
      <c r="B217" s="38"/>
      <c r="C217" s="38"/>
      <c r="D217" s="34" t="s">
        <v>848</v>
      </c>
    </row>
    <row r="218" spans="1:4" ht="26.25" thickBot="1">
      <c r="A218" s="40" t="s">
        <v>849</v>
      </c>
      <c r="B218" s="38"/>
      <c r="C218" s="38"/>
      <c r="D218" s="34" t="s">
        <v>850</v>
      </c>
    </row>
    <row r="219" spans="1:4" ht="26.25" thickBot="1">
      <c r="A219" s="40" t="s">
        <v>851</v>
      </c>
      <c r="B219" s="38"/>
      <c r="C219" s="38"/>
      <c r="D219" s="34" t="s">
        <v>852</v>
      </c>
    </row>
    <row r="220" spans="1:4" ht="26.25" thickBot="1">
      <c r="A220" s="40" t="s">
        <v>853</v>
      </c>
      <c r="B220" s="38"/>
      <c r="C220" s="38"/>
      <c r="D220" s="34" t="s">
        <v>854</v>
      </c>
    </row>
    <row r="221" spans="1:4" ht="26.25" thickBot="1">
      <c r="A221" s="40" t="s">
        <v>855</v>
      </c>
      <c r="B221" s="38"/>
      <c r="C221" s="38"/>
      <c r="D221" s="34" t="s">
        <v>856</v>
      </c>
    </row>
    <row r="222" spans="1:4" ht="26.25" thickBot="1">
      <c r="A222" s="40" t="s">
        <v>857</v>
      </c>
      <c r="B222" s="38"/>
      <c r="C222" s="38"/>
      <c r="D222" s="34" t="s">
        <v>858</v>
      </c>
    </row>
    <row r="223" spans="1:4" ht="26.25" thickBot="1">
      <c r="A223" s="40" t="s">
        <v>859</v>
      </c>
      <c r="B223" s="38"/>
      <c r="C223" s="38"/>
      <c r="D223" s="34" t="s">
        <v>860</v>
      </c>
    </row>
    <row r="224" spans="1:4" ht="26.25" thickBot="1">
      <c r="A224" s="40" t="s">
        <v>861</v>
      </c>
      <c r="B224" s="38">
        <v>4280</v>
      </c>
      <c r="C224" s="38">
        <v>6140</v>
      </c>
      <c r="D224" s="34" t="s">
        <v>862</v>
      </c>
    </row>
    <row r="225" spans="1:4" ht="15.75" thickBot="1">
      <c r="A225" s="39" t="s">
        <v>863</v>
      </c>
      <c r="B225" s="38"/>
      <c r="C225" s="38"/>
      <c r="D225" s="34" t="s">
        <v>864</v>
      </c>
    </row>
    <row r="226" spans="1:4" ht="26.25" thickBot="1">
      <c r="A226" s="39" t="s">
        <v>865</v>
      </c>
      <c r="B226" s="38"/>
      <c r="C226" s="38"/>
      <c r="D226" s="34" t="s">
        <v>866</v>
      </c>
    </row>
    <row r="227" spans="1:4" ht="15.75" thickBot="1">
      <c r="A227" s="39" t="s">
        <v>867</v>
      </c>
      <c r="B227" s="38"/>
      <c r="C227" s="38"/>
      <c r="D227" s="34" t="s">
        <v>868</v>
      </c>
    </row>
    <row r="228" spans="1:4" ht="26.25" thickBot="1">
      <c r="A228" s="39" t="s">
        <v>869</v>
      </c>
      <c r="B228" s="33"/>
      <c r="C228" s="33"/>
      <c r="D228" s="34" t="s">
        <v>870</v>
      </c>
    </row>
    <row r="229" spans="1:4" ht="26.25" thickBot="1">
      <c r="A229" s="40" t="s">
        <v>871</v>
      </c>
      <c r="B229" s="38"/>
      <c r="C229" s="38"/>
      <c r="D229" s="34" t="s">
        <v>872</v>
      </c>
    </row>
    <row r="230" spans="1:4" ht="26.25" thickBot="1">
      <c r="A230" s="40" t="s">
        <v>873</v>
      </c>
      <c r="B230" s="38"/>
      <c r="C230" s="38"/>
      <c r="D230" s="34" t="s">
        <v>874</v>
      </c>
    </row>
    <row r="231" spans="1:4" ht="26.2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26.25" thickBot="1">
      <c r="A234" s="40" t="s">
        <v>881</v>
      </c>
      <c r="B234" s="38"/>
      <c r="C234" s="38"/>
      <c r="D234" s="34" t="s">
        <v>882</v>
      </c>
    </row>
    <row r="235" spans="1:4" ht="39" thickBot="1">
      <c r="A235" s="40" t="s">
        <v>883</v>
      </c>
      <c r="B235" s="38"/>
      <c r="C235" s="38"/>
      <c r="D235" s="34" t="s">
        <v>884</v>
      </c>
    </row>
    <row r="236" spans="1:4" ht="39" thickBot="1">
      <c r="A236" s="40" t="s">
        <v>885</v>
      </c>
      <c r="B236" s="38"/>
      <c r="C236" s="38"/>
      <c r="D236" s="34" t="s">
        <v>886</v>
      </c>
    </row>
    <row r="237" spans="1:4" ht="26.25" thickBot="1">
      <c r="A237" s="40" t="s">
        <v>887</v>
      </c>
      <c r="B237" s="38"/>
      <c r="C237" s="38"/>
      <c r="D237" s="34" t="s">
        <v>888</v>
      </c>
    </row>
    <row r="238" spans="1:4" ht="26.25" thickBot="1">
      <c r="A238" s="40" t="s">
        <v>889</v>
      </c>
      <c r="B238" s="38"/>
      <c r="C238" s="38"/>
      <c r="D238" s="34" t="s">
        <v>890</v>
      </c>
    </row>
    <row r="239" spans="1:4" ht="15.75" thickBot="1">
      <c r="A239" s="40" t="s">
        <v>891</v>
      </c>
      <c r="B239" s="38"/>
      <c r="C239" s="38"/>
      <c r="D239" s="34" t="s">
        <v>892</v>
      </c>
    </row>
    <row r="240" spans="1:4" ht="26.25" thickBot="1">
      <c r="A240" s="39" t="s">
        <v>893</v>
      </c>
      <c r="B240" s="38"/>
      <c r="C240" s="38"/>
      <c r="D240" s="34" t="s">
        <v>894</v>
      </c>
    </row>
    <row r="241" spans="1:4" ht="26.25" thickBot="1">
      <c r="A241" s="39" t="s">
        <v>895</v>
      </c>
      <c r="B241" s="38"/>
      <c r="C241" s="38"/>
      <c r="D241" s="34" t="s">
        <v>896</v>
      </c>
    </row>
    <row r="242" spans="1:4" ht="26.25" thickBot="1">
      <c r="A242" s="39" t="s">
        <v>897</v>
      </c>
      <c r="B242" s="38">
        <v>54241</v>
      </c>
      <c r="C242" s="38">
        <v>53571</v>
      </c>
      <c r="D242" s="34" t="s">
        <v>898</v>
      </c>
    </row>
    <row r="243" spans="1:4" ht="26.25" thickBot="1">
      <c r="A243" s="39" t="s">
        <v>899</v>
      </c>
      <c r="B243" s="38"/>
      <c r="C243" s="38"/>
      <c r="D243" s="34" t="s">
        <v>900</v>
      </c>
    </row>
    <row r="244" spans="1:4" ht="26.25" thickBot="1">
      <c r="A244" s="39" t="s">
        <v>901</v>
      </c>
      <c r="B244" s="38"/>
      <c r="C244" s="38"/>
      <c r="D244" s="34" t="s">
        <v>902</v>
      </c>
    </row>
    <row r="245" spans="1:4" ht="26.25" thickBot="1">
      <c r="A245" s="39" t="s">
        <v>903</v>
      </c>
      <c r="B245" s="38"/>
      <c r="C245" s="38"/>
      <c r="D245" s="34" t="s">
        <v>904</v>
      </c>
    </row>
    <row r="246" spans="1:4" ht="15.75" thickBot="1">
      <c r="A246" s="39" t="s">
        <v>905</v>
      </c>
      <c r="B246" s="38">
        <v>932615</v>
      </c>
      <c r="C246" s="38">
        <v>961350</v>
      </c>
      <c r="D246" s="34" t="s">
        <v>906</v>
      </c>
    </row>
    <row r="247" spans="1:4" ht="15.75" thickBot="1">
      <c r="A247" s="37" t="s">
        <v>907</v>
      </c>
      <c r="B247" s="38">
        <v>2639567</v>
      </c>
      <c r="C247" s="38">
        <v>2520439</v>
      </c>
      <c r="D247" s="34" t="s">
        <v>908</v>
      </c>
    </row>
    <row r="248" spans="1:4" ht="15.75" thickBot="1">
      <c r="A248" s="36" t="s">
        <v>909</v>
      </c>
      <c r="B248" s="33"/>
      <c r="C248" s="33"/>
      <c r="D248" s="34" t="s">
        <v>910</v>
      </c>
    </row>
    <row r="249" spans="1:4" ht="26.25" thickBot="1">
      <c r="A249" s="37" t="s">
        <v>911</v>
      </c>
      <c r="B249" s="33"/>
      <c r="C249" s="33"/>
      <c r="D249" s="34" t="s">
        <v>912</v>
      </c>
    </row>
    <row r="250" spans="1:4" ht="15.75" thickBot="1">
      <c r="A250" s="39" t="s">
        <v>913</v>
      </c>
      <c r="B250" s="38">
        <v>280800</v>
      </c>
      <c r="C250" s="38">
        <v>280800</v>
      </c>
      <c r="D250" s="34" t="s">
        <v>914</v>
      </c>
    </row>
    <row r="251" spans="1:4" ht="15.75" thickBot="1">
      <c r="A251" s="39" t="s">
        <v>915</v>
      </c>
      <c r="B251" s="38"/>
      <c r="C251" s="38"/>
      <c r="D251" s="34" t="s">
        <v>916</v>
      </c>
    </row>
    <row r="252" spans="1:4" ht="15.75" thickBot="1">
      <c r="A252" s="39" t="s">
        <v>917</v>
      </c>
      <c r="B252" s="38">
        <v>79882</v>
      </c>
      <c r="C252" s="38">
        <v>79882</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26.25" thickBot="1">
      <c r="A257" s="39" t="s">
        <v>927</v>
      </c>
      <c r="B257" s="38">
        <v>1031461</v>
      </c>
      <c r="C257" s="38">
        <v>871393</v>
      </c>
      <c r="D257" s="34" t="s">
        <v>928</v>
      </c>
    </row>
    <row r="258" spans="1:4" ht="51.75" thickBot="1">
      <c r="A258" s="39" t="s">
        <v>929</v>
      </c>
      <c r="B258" s="38"/>
      <c r="C258" s="38"/>
      <c r="D258" s="34" t="s">
        <v>930</v>
      </c>
    </row>
    <row r="259" spans="1:4" ht="26.25" thickBot="1">
      <c r="A259" s="39" t="s">
        <v>931</v>
      </c>
      <c r="B259" s="38"/>
      <c r="C259" s="38"/>
      <c r="D259" s="34" t="s">
        <v>932</v>
      </c>
    </row>
    <row r="260" spans="1:4" ht="26.25" thickBot="1">
      <c r="A260" s="39" t="s">
        <v>933</v>
      </c>
      <c r="B260" s="38"/>
      <c r="C260" s="38"/>
      <c r="D260" s="34" t="s">
        <v>934</v>
      </c>
    </row>
    <row r="261" spans="1:4" ht="15.75" thickBot="1">
      <c r="A261" s="39" t="s">
        <v>935</v>
      </c>
      <c r="B261" s="38"/>
      <c r="C261" s="38"/>
      <c r="D261" s="34" t="s">
        <v>936</v>
      </c>
    </row>
    <row r="262" spans="1:4" ht="26.25" thickBot="1">
      <c r="A262" s="39" t="s">
        <v>937</v>
      </c>
      <c r="B262" s="38"/>
      <c r="C262" s="38">
        <v>5860</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26.25" thickBot="1">
      <c r="A267" s="40" t="s">
        <v>947</v>
      </c>
      <c r="B267" s="38">
        <v>13000</v>
      </c>
      <c r="C267" s="38">
        <v>13000</v>
      </c>
      <c r="D267" s="34" t="s">
        <v>948</v>
      </c>
    </row>
    <row r="268" spans="1:4" ht="26.25" thickBot="1">
      <c r="A268" s="40" t="s">
        <v>949</v>
      </c>
      <c r="B268" s="38">
        <v>1104544</v>
      </c>
      <c r="C268" s="38">
        <v>1111975</v>
      </c>
      <c r="D268" s="34" t="s">
        <v>950</v>
      </c>
    </row>
    <row r="269" spans="1:4" ht="39" thickBot="1">
      <c r="A269" s="39" t="s">
        <v>951</v>
      </c>
      <c r="B269" s="38">
        <v>2509687</v>
      </c>
      <c r="C269" s="38">
        <v>2362910</v>
      </c>
      <c r="D269" s="34" t="s">
        <v>952</v>
      </c>
    </row>
    <row r="270" spans="1:4" ht="15.75" thickBot="1">
      <c r="A270" s="37" t="s">
        <v>953</v>
      </c>
      <c r="B270" s="38"/>
      <c r="C270" s="38"/>
      <c r="D270" s="34" t="s">
        <v>954</v>
      </c>
    </row>
    <row r="271" spans="1:4" ht="15.75" thickBot="1">
      <c r="A271" s="37" t="s">
        <v>955</v>
      </c>
      <c r="B271" s="38">
        <v>176996</v>
      </c>
      <c r="C271" s="38">
        <v>161507</v>
      </c>
      <c r="D271" s="34" t="s">
        <v>956</v>
      </c>
    </row>
    <row r="272" spans="1:4" ht="15.75" thickBot="1">
      <c r="A272" s="37" t="s">
        <v>957</v>
      </c>
      <c r="B272" s="38">
        <v>2686683</v>
      </c>
      <c r="C272" s="38">
        <v>2524417</v>
      </c>
      <c r="D272" s="34" t="s">
        <v>958</v>
      </c>
    </row>
    <row r="273" spans="1:4" ht="15.75" thickBot="1">
      <c r="A273" s="36" t="s">
        <v>959</v>
      </c>
      <c r="B273" s="38">
        <v>5326250</v>
      </c>
      <c r="C273" s="38">
        <v>5044856</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62DEB78-053F-4E25-91DA-FD4DDD8A389D}">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C43BC-32AC-4858-BB9F-53CF8C7D54E2}">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41" t="s">
        <v>961</v>
      </c>
      <c r="B1" s="242"/>
      <c r="C1" s="242"/>
      <c r="D1" s="242"/>
    </row>
    <row r="3" spans="1:4" ht="34.5" customHeight="1">
      <c r="A3" s="241" t="s">
        <v>962</v>
      </c>
      <c r="B3" s="241"/>
      <c r="C3" s="243" t="s">
        <v>963</v>
      </c>
      <c r="D3" s="243"/>
    </row>
    <row r="4" spans="1:4">
      <c r="A4" s="43"/>
      <c r="B4" s="44" t="s">
        <v>104</v>
      </c>
      <c r="C4" s="44" t="s">
        <v>107</v>
      </c>
    </row>
    <row r="5" spans="1:4" ht="26.25" thickBot="1">
      <c r="A5" s="45" t="s">
        <v>962</v>
      </c>
      <c r="B5" s="46"/>
      <c r="C5" s="46"/>
      <c r="D5" s="47" t="s">
        <v>963</v>
      </c>
    </row>
    <row r="6" spans="1:4" ht="15.75" thickBot="1">
      <c r="A6" s="48" t="s">
        <v>964</v>
      </c>
      <c r="B6" s="49">
        <v>1701254</v>
      </c>
      <c r="C6" s="49">
        <v>1385493</v>
      </c>
      <c r="D6" s="47" t="s">
        <v>965</v>
      </c>
    </row>
    <row r="7" spans="1:4" ht="15.75" thickBot="1">
      <c r="A7" s="48" t="s">
        <v>966</v>
      </c>
      <c r="B7" s="50">
        <v>1555539</v>
      </c>
      <c r="C7" s="50">
        <v>1307668</v>
      </c>
      <c r="D7" s="47" t="s">
        <v>967</v>
      </c>
    </row>
    <row r="8" spans="1:4" ht="15.75" thickBot="1">
      <c r="A8" s="48" t="s">
        <v>968</v>
      </c>
      <c r="B8" s="49">
        <v>145715</v>
      </c>
      <c r="C8" s="49">
        <v>77825</v>
      </c>
      <c r="D8" s="47" t="s">
        <v>969</v>
      </c>
    </row>
    <row r="9" spans="1:4" ht="15.75" thickBot="1">
      <c r="A9" s="48" t="s">
        <v>970</v>
      </c>
      <c r="B9" s="50">
        <v>72818</v>
      </c>
      <c r="C9" s="50">
        <v>45092</v>
      </c>
      <c r="D9" s="47" t="s">
        <v>971</v>
      </c>
    </row>
    <row r="10" spans="1:4" ht="15.75" thickBot="1">
      <c r="A10" s="48" t="s">
        <v>972</v>
      </c>
      <c r="B10" s="50">
        <v>35253</v>
      </c>
      <c r="C10" s="50">
        <v>42764</v>
      </c>
      <c r="D10" s="47" t="s">
        <v>973</v>
      </c>
    </row>
    <row r="11" spans="1:4" ht="15.75" thickBot="1">
      <c r="A11" s="48" t="s">
        <v>974</v>
      </c>
      <c r="B11" s="49">
        <v>4</v>
      </c>
      <c r="C11" s="49">
        <v>4</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63260</v>
      </c>
      <c r="C15" s="50">
        <v>48458</v>
      </c>
      <c r="D15" s="47" t="s">
        <v>983</v>
      </c>
    </row>
    <row r="16" spans="1:4" ht="26.25" thickBot="1">
      <c r="A16" s="48" t="s">
        <v>984</v>
      </c>
      <c r="B16" s="49">
        <v>16809</v>
      </c>
      <c r="C16" s="49">
        <v>-9971</v>
      </c>
      <c r="D16" s="47" t="s">
        <v>985</v>
      </c>
    </row>
    <row r="17" spans="1:4" ht="39" thickBot="1">
      <c r="A17" s="48" t="s">
        <v>986</v>
      </c>
      <c r="B17" s="49">
        <v>9740</v>
      </c>
      <c r="C17" s="49">
        <v>35</v>
      </c>
      <c r="D17" s="47" t="s">
        <v>987</v>
      </c>
    </row>
    <row r="18" spans="1:4" ht="39" thickBot="1">
      <c r="A18" s="48" t="s">
        <v>988</v>
      </c>
      <c r="B18" s="49"/>
      <c r="C18" s="49"/>
      <c r="D18" s="47" t="s">
        <v>989</v>
      </c>
    </row>
    <row r="19" spans="1:4" ht="26.25" thickBot="1">
      <c r="A19" s="48" t="s">
        <v>990</v>
      </c>
      <c r="B19" s="49"/>
      <c r="C19" s="49"/>
      <c r="D19" s="47" t="s">
        <v>991</v>
      </c>
    </row>
    <row r="20" spans="1:4" ht="26.25" thickBot="1">
      <c r="A20" s="48" t="s">
        <v>992</v>
      </c>
      <c r="B20" s="49"/>
      <c r="C20" s="49"/>
      <c r="D20" s="47" t="s">
        <v>993</v>
      </c>
    </row>
    <row r="21" spans="1:4" ht="26.25" thickBot="1">
      <c r="A21" s="48" t="s">
        <v>994</v>
      </c>
      <c r="B21" s="49"/>
      <c r="C21" s="49"/>
      <c r="D21" s="47" t="s">
        <v>995</v>
      </c>
    </row>
    <row r="22" spans="1:4" ht="15.75" thickBot="1">
      <c r="A22" s="48" t="s">
        <v>996</v>
      </c>
      <c r="B22" s="50"/>
      <c r="C22" s="50"/>
      <c r="D22" s="47" t="s">
        <v>997</v>
      </c>
    </row>
    <row r="23" spans="1:4" ht="15.75" thickBot="1">
      <c r="A23" s="48" t="s">
        <v>998</v>
      </c>
      <c r="B23" s="49">
        <v>28173</v>
      </c>
      <c r="C23" s="49"/>
      <c r="D23" s="47" t="s">
        <v>999</v>
      </c>
    </row>
    <row r="24" spans="1:4" ht="15.75" thickBot="1">
      <c r="A24" s="48" t="s">
        <v>1000</v>
      </c>
      <c r="B24" s="50"/>
      <c r="C24" s="50">
        <v>1111</v>
      </c>
      <c r="D24" s="47" t="s">
        <v>1001</v>
      </c>
    </row>
    <row r="25" spans="1:4" ht="15.75" thickBot="1">
      <c r="A25" s="48" t="s">
        <v>1002</v>
      </c>
      <c r="B25" s="49"/>
      <c r="C25" s="49"/>
      <c r="D25" s="47" t="s">
        <v>1003</v>
      </c>
    </row>
    <row r="26" spans="1:4" ht="26.25" thickBot="1">
      <c r="A26" s="48" t="s">
        <v>1004</v>
      </c>
      <c r="B26" s="49">
        <v>29110</v>
      </c>
      <c r="C26" s="49">
        <v>-69532</v>
      </c>
      <c r="D26" s="47" t="s">
        <v>1005</v>
      </c>
    </row>
    <row r="27" spans="1:4" ht="15.75" thickBot="1">
      <c r="A27" s="48" t="s">
        <v>1006</v>
      </c>
      <c r="B27" s="49">
        <v>-21052</v>
      </c>
      <c r="C27" s="49">
        <v>1514</v>
      </c>
      <c r="D27" s="47" t="s">
        <v>1007</v>
      </c>
    </row>
    <row r="28" spans="1:4" ht="26.25" thickBot="1">
      <c r="A28" s="48" t="s">
        <v>1008</v>
      </c>
      <c r="B28" s="49">
        <v>8058</v>
      </c>
      <c r="C28" s="49">
        <v>-68018</v>
      </c>
      <c r="D28" s="47" t="s">
        <v>1009</v>
      </c>
    </row>
    <row r="29" spans="1:4" ht="15.75" thickBot="1">
      <c r="A29" s="48" t="s">
        <v>1010</v>
      </c>
      <c r="B29" s="49"/>
      <c r="C29" s="49"/>
      <c r="D29" s="47" t="s">
        <v>1011</v>
      </c>
    </row>
    <row r="30" spans="1:4" ht="15.75" thickBot="1">
      <c r="A30" s="48" t="s">
        <v>1012</v>
      </c>
      <c r="B30" s="49">
        <v>8058</v>
      </c>
      <c r="C30" s="49">
        <v>-68018</v>
      </c>
      <c r="D30" s="47" t="s">
        <v>1013</v>
      </c>
    </row>
    <row r="31" spans="1:4" ht="26.25" thickBot="1">
      <c r="A31" s="48" t="s">
        <v>1014</v>
      </c>
      <c r="B31" s="46"/>
      <c r="C31" s="46"/>
      <c r="D31" s="47" t="s">
        <v>1015</v>
      </c>
    </row>
    <row r="32" spans="1:4" ht="39" thickBot="1">
      <c r="A32" s="51" t="s">
        <v>1016</v>
      </c>
      <c r="B32" s="46"/>
      <c r="C32" s="46"/>
      <c r="D32" s="47" t="s">
        <v>1017</v>
      </c>
    </row>
    <row r="33" spans="1:4" ht="39" thickBot="1">
      <c r="A33" s="52" t="s">
        <v>1018</v>
      </c>
      <c r="B33" s="49"/>
      <c r="C33" s="49"/>
      <c r="D33" s="47" t="s">
        <v>1019</v>
      </c>
    </row>
    <row r="34" spans="1:4" ht="39" thickBot="1">
      <c r="A34" s="52" t="s">
        <v>1020</v>
      </c>
      <c r="B34" s="49"/>
      <c r="C34" s="49"/>
      <c r="D34" s="47" t="s">
        <v>1021</v>
      </c>
    </row>
    <row r="35" spans="1:4" ht="51.75" thickBot="1">
      <c r="A35" s="52" t="s">
        <v>1022</v>
      </c>
      <c r="B35" s="49"/>
      <c r="C35" s="49"/>
      <c r="D35" s="47" t="s">
        <v>1023</v>
      </c>
    </row>
    <row r="36" spans="1:4" ht="51.75" thickBot="1">
      <c r="A36" s="52" t="s">
        <v>1024</v>
      </c>
      <c r="B36" s="49"/>
      <c r="C36" s="49"/>
      <c r="D36" s="47" t="s">
        <v>1025</v>
      </c>
    </row>
    <row r="37" spans="1:4" ht="39" thickBot="1">
      <c r="A37" s="51" t="s">
        <v>1026</v>
      </c>
      <c r="B37" s="46"/>
      <c r="C37" s="46"/>
      <c r="D37" s="47" t="s">
        <v>1027</v>
      </c>
    </row>
    <row r="38" spans="1:4" ht="26.25" thickBot="1">
      <c r="A38" s="52" t="s">
        <v>1028</v>
      </c>
      <c r="B38" s="49">
        <v>154208</v>
      </c>
      <c r="C38" s="49">
        <v>-122432</v>
      </c>
      <c r="D38" s="47" t="s">
        <v>1029</v>
      </c>
    </row>
    <row r="39" spans="1:4" ht="39" thickBot="1">
      <c r="A39" s="52" t="s">
        <v>1030</v>
      </c>
      <c r="B39" s="50"/>
      <c r="C39" s="50"/>
      <c r="D39" s="47" t="s">
        <v>1031</v>
      </c>
    </row>
    <row r="40" spans="1:4" ht="64.5" thickBot="1">
      <c r="A40" s="52" t="s">
        <v>1032</v>
      </c>
      <c r="B40" s="49"/>
      <c r="C40" s="49"/>
      <c r="D40" s="47" t="s">
        <v>1033</v>
      </c>
    </row>
    <row r="41" spans="1:4" ht="51.75" thickBot="1">
      <c r="A41" s="52" t="s">
        <v>1034</v>
      </c>
      <c r="B41" s="50"/>
      <c r="C41" s="50"/>
      <c r="D41" s="47" t="s">
        <v>1035</v>
      </c>
    </row>
    <row r="42" spans="1:4" ht="26.25" thickBot="1">
      <c r="A42" s="52" t="s">
        <v>1036</v>
      </c>
      <c r="B42" s="49"/>
      <c r="C42" s="49"/>
      <c r="D42" s="47" t="s">
        <v>1037</v>
      </c>
    </row>
    <row r="43" spans="1:4" ht="26.25" thickBot="1">
      <c r="A43" s="52" t="s">
        <v>1038</v>
      </c>
      <c r="B43" s="50"/>
      <c r="C43" s="50"/>
      <c r="D43" s="47" t="s">
        <v>1039</v>
      </c>
    </row>
    <row r="44" spans="1:4" ht="77.25" thickBot="1">
      <c r="A44" s="52" t="s">
        <v>1040</v>
      </c>
      <c r="B44" s="49"/>
      <c r="C44" s="49"/>
      <c r="D44" s="47" t="s">
        <v>1041</v>
      </c>
    </row>
    <row r="45" spans="1:4" ht="39" thickBot="1">
      <c r="A45" s="52" t="s">
        <v>1042</v>
      </c>
      <c r="B45" s="49"/>
      <c r="C45" s="49"/>
      <c r="D45" s="47" t="s">
        <v>1043</v>
      </c>
    </row>
    <row r="46" spans="1:4" ht="51.75" thickBot="1">
      <c r="A46" s="52" t="s">
        <v>1044</v>
      </c>
      <c r="B46" s="50"/>
      <c r="C46" s="50"/>
      <c r="D46" s="47" t="s">
        <v>1045</v>
      </c>
    </row>
    <row r="47" spans="1:4" ht="51.75" thickBot="1">
      <c r="A47" s="52" t="s">
        <v>1046</v>
      </c>
      <c r="B47" s="49"/>
      <c r="C47" s="49"/>
      <c r="D47" s="47" t="s">
        <v>1047</v>
      </c>
    </row>
    <row r="48" spans="1:4" ht="64.5" thickBot="1">
      <c r="A48" s="52" t="s">
        <v>1048</v>
      </c>
      <c r="B48" s="49"/>
      <c r="C48" s="49"/>
      <c r="D48" s="47" t="s">
        <v>1049</v>
      </c>
    </row>
    <row r="49" spans="1:4" ht="51.75" thickBot="1">
      <c r="A49" s="52" t="s">
        <v>1050</v>
      </c>
      <c r="B49" s="49"/>
      <c r="C49" s="49"/>
      <c r="D49" s="47" t="s">
        <v>1051</v>
      </c>
    </row>
    <row r="50" spans="1:4" ht="39" thickBot="1">
      <c r="A50" s="52" t="s">
        <v>1052</v>
      </c>
      <c r="B50" s="49">
        <v>154208</v>
      </c>
      <c r="C50" s="49">
        <v>-122432</v>
      </c>
      <c r="D50" s="47" t="s">
        <v>1053</v>
      </c>
    </row>
    <row r="51" spans="1:4" ht="26.25" thickBot="1">
      <c r="A51" s="51" t="s">
        <v>1054</v>
      </c>
      <c r="B51" s="49">
        <v>154208</v>
      </c>
      <c r="C51" s="49">
        <v>-122432</v>
      </c>
      <c r="D51" s="47" t="s">
        <v>1055</v>
      </c>
    </row>
    <row r="52" spans="1:4" ht="15.75" thickBot="1">
      <c r="A52" s="48" t="s">
        <v>1056</v>
      </c>
      <c r="B52" s="49">
        <v>162266</v>
      </c>
      <c r="C52" s="49">
        <v>-190450</v>
      </c>
      <c r="D52" s="47" t="s">
        <v>1057</v>
      </c>
    </row>
    <row r="53" spans="1:4" ht="15.75" thickBot="1">
      <c r="A53" s="48" t="s">
        <v>1058</v>
      </c>
      <c r="B53" s="46"/>
      <c r="C53" s="46"/>
      <c r="D53" s="47" t="s">
        <v>1059</v>
      </c>
    </row>
    <row r="54" spans="1:4" ht="26.25" thickBot="1">
      <c r="A54" s="51" t="s">
        <v>1060</v>
      </c>
      <c r="B54" s="49">
        <v>-7431</v>
      </c>
      <c r="C54" s="49">
        <v>-70945</v>
      </c>
      <c r="D54" s="47" t="s">
        <v>1061</v>
      </c>
    </row>
    <row r="55" spans="1:4" ht="26.25" thickBot="1">
      <c r="A55" s="51" t="s">
        <v>1062</v>
      </c>
      <c r="B55" s="49">
        <v>15489</v>
      </c>
      <c r="C55" s="49">
        <v>2927</v>
      </c>
      <c r="D55" s="47" t="s">
        <v>1063</v>
      </c>
    </row>
    <row r="56" spans="1:4" ht="26.25" thickBot="1">
      <c r="A56" s="48" t="s">
        <v>1064</v>
      </c>
      <c r="B56" s="46"/>
      <c r="C56" s="46"/>
      <c r="D56" s="47" t="s">
        <v>1065</v>
      </c>
    </row>
    <row r="57" spans="1:4" ht="26.25" thickBot="1">
      <c r="A57" s="51" t="s">
        <v>1066</v>
      </c>
      <c r="B57" s="49">
        <v>146777</v>
      </c>
      <c r="C57" s="49">
        <v>-193377</v>
      </c>
      <c r="D57" s="47" t="s">
        <v>1067</v>
      </c>
    </row>
    <row r="58" spans="1:4" ht="39" thickBot="1">
      <c r="A58" s="51" t="s">
        <v>1068</v>
      </c>
      <c r="B58" s="49">
        <v>15489</v>
      </c>
      <c r="C58" s="49">
        <v>2927</v>
      </c>
      <c r="D58" s="47" t="s">
        <v>1069</v>
      </c>
    </row>
    <row r="59" spans="1:4" ht="15.75" thickBot="1">
      <c r="A59" s="48" t="s">
        <v>1070</v>
      </c>
      <c r="B59" s="46"/>
      <c r="C59" s="46"/>
      <c r="D59" s="47" t="s">
        <v>1071</v>
      </c>
    </row>
    <row r="60" spans="1:4" ht="26.25" thickBot="1">
      <c r="A60" s="51" t="s">
        <v>1072</v>
      </c>
      <c r="B60" s="46"/>
      <c r="C60" s="46"/>
      <c r="D60" s="47" t="s">
        <v>1073</v>
      </c>
    </row>
    <row r="61" spans="1:4" ht="26.25" thickBot="1">
      <c r="A61" s="52" t="s">
        <v>1074</v>
      </c>
      <c r="B61" s="53">
        <v>2.8696581196581197E-6</v>
      </c>
      <c r="C61" s="53">
        <v>-2.4199999999999999E-5</v>
      </c>
      <c r="D61" s="47" t="s">
        <v>1075</v>
      </c>
    </row>
    <row r="62" spans="1:4" ht="26.25" thickBot="1">
      <c r="A62" s="52" t="s">
        <v>1076</v>
      </c>
      <c r="B62" s="53"/>
      <c r="C62" s="53"/>
      <c r="D62" s="47" t="s">
        <v>1077</v>
      </c>
    </row>
    <row r="63" spans="1:4" ht="15.75" thickBot="1">
      <c r="A63" s="51" t="s">
        <v>1078</v>
      </c>
      <c r="B63" s="46"/>
      <c r="C63" s="46"/>
      <c r="D63" s="47" t="s">
        <v>1079</v>
      </c>
    </row>
    <row r="64" spans="1:4" ht="26.25" thickBot="1">
      <c r="A64" s="52" t="s">
        <v>1080</v>
      </c>
      <c r="B64" s="53"/>
      <c r="C64" s="53"/>
      <c r="D64" s="47" t="s">
        <v>1081</v>
      </c>
    </row>
    <row r="65" spans="1:4" ht="26.2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EA0364D-A52E-4B4C-9460-DAFE1F837344}">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A6A4-A504-4C60-82A1-755E1188669F}">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1084</v>
      </c>
    </row>
    <row r="3" spans="1:28" ht="17.25" customHeight="1">
      <c r="A3" s="244" t="s">
        <v>1085</v>
      </c>
      <c r="B3" s="244"/>
      <c r="C3" s="244"/>
      <c r="D3" s="244"/>
      <c r="E3" s="244"/>
      <c r="F3" s="244"/>
      <c r="G3" s="244"/>
      <c r="H3" s="244"/>
      <c r="I3" s="244"/>
      <c r="J3" s="244"/>
      <c r="K3" s="244"/>
      <c r="L3" s="244"/>
      <c r="M3" s="244"/>
      <c r="N3" s="244"/>
      <c r="O3" s="245" t="s">
        <v>1086</v>
      </c>
      <c r="P3" s="245"/>
      <c r="Q3" s="245"/>
      <c r="R3" s="245"/>
      <c r="S3" s="245"/>
      <c r="T3" s="245"/>
      <c r="U3" s="245"/>
      <c r="V3" s="245"/>
      <c r="W3" s="245"/>
      <c r="X3" s="245"/>
      <c r="Y3" s="245"/>
      <c r="Z3" s="245"/>
      <c r="AA3" s="245"/>
      <c r="AB3" s="245"/>
    </row>
    <row r="4" spans="1:28" ht="51.75">
      <c r="A4" s="246"/>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46"/>
    </row>
    <row r="5" spans="1:28" ht="34.5">
      <c r="A5" s="246"/>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46"/>
    </row>
    <row r="6" spans="1:28" ht="26.2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26.25" thickBot="1">
      <c r="A8" s="62" t="s">
        <v>1103</v>
      </c>
      <c r="B8" s="63">
        <v>280800</v>
      </c>
      <c r="C8" s="63">
        <v>0</v>
      </c>
      <c r="D8" s="63">
        <v>79882</v>
      </c>
      <c r="E8" s="63">
        <v>0</v>
      </c>
      <c r="F8" s="63">
        <v>0</v>
      </c>
      <c r="G8" s="63">
        <v>0</v>
      </c>
      <c r="H8" s="63">
        <v>0</v>
      </c>
      <c r="I8" s="63">
        <v>0</v>
      </c>
      <c r="J8" s="63">
        <v>877253</v>
      </c>
      <c r="K8" s="63">
        <v>0</v>
      </c>
      <c r="L8" s="63">
        <v>0</v>
      </c>
      <c r="M8" s="63">
        <v>0</v>
      </c>
      <c r="N8" s="63">
        <v>0</v>
      </c>
      <c r="O8" s="63">
        <v>0</v>
      </c>
      <c r="P8" s="63">
        <v>0</v>
      </c>
      <c r="Q8" s="63">
        <v>0</v>
      </c>
      <c r="R8" s="63">
        <v>0</v>
      </c>
      <c r="S8" s="63">
        <v>0</v>
      </c>
      <c r="T8" s="63">
        <v>0</v>
      </c>
      <c r="U8" s="63">
        <v>0</v>
      </c>
      <c r="V8" s="63">
        <v>13000</v>
      </c>
      <c r="W8" s="63">
        <v>1111975</v>
      </c>
      <c r="X8" s="63">
        <v>2362910</v>
      </c>
      <c r="Y8" s="63">
        <v>0</v>
      </c>
      <c r="Z8" s="63">
        <v>161507</v>
      </c>
      <c r="AA8" s="63">
        <v>2524417</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26.2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26.2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280800</v>
      </c>
      <c r="C14" s="63">
        <v>0</v>
      </c>
      <c r="D14" s="63">
        <v>79882</v>
      </c>
      <c r="E14" s="63">
        <v>0</v>
      </c>
      <c r="F14" s="63">
        <v>0</v>
      </c>
      <c r="G14" s="63">
        <v>0</v>
      </c>
      <c r="H14" s="63">
        <v>0</v>
      </c>
      <c r="I14" s="63">
        <v>0</v>
      </c>
      <c r="J14" s="63">
        <v>877253</v>
      </c>
      <c r="K14" s="63">
        <v>0</v>
      </c>
      <c r="L14" s="63">
        <v>0</v>
      </c>
      <c r="M14" s="63">
        <v>0</v>
      </c>
      <c r="N14" s="63">
        <v>0</v>
      </c>
      <c r="O14" s="63">
        <v>0</v>
      </c>
      <c r="P14" s="63">
        <v>0</v>
      </c>
      <c r="Q14" s="63">
        <v>0</v>
      </c>
      <c r="R14" s="63">
        <v>0</v>
      </c>
      <c r="S14" s="63">
        <v>0</v>
      </c>
      <c r="T14" s="63">
        <v>0</v>
      </c>
      <c r="U14" s="63">
        <v>0</v>
      </c>
      <c r="V14" s="63">
        <v>13000</v>
      </c>
      <c r="W14" s="63">
        <v>1111975</v>
      </c>
      <c r="X14" s="63">
        <v>2362910</v>
      </c>
      <c r="Y14" s="63">
        <v>0</v>
      </c>
      <c r="Z14" s="63">
        <v>161507</v>
      </c>
      <c r="AA14" s="63">
        <v>2524417</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-7431</v>
      </c>
      <c r="X15" s="63">
        <v>-7431</v>
      </c>
      <c r="Y15" s="63"/>
      <c r="Z15" s="63">
        <v>15489</v>
      </c>
      <c r="AA15" s="63">
        <v>8058</v>
      </c>
      <c r="AB15" s="60" t="s">
        <v>1118</v>
      </c>
    </row>
    <row r="16" spans="1:28" ht="15.75" thickBot="1">
      <c r="A16" s="62" t="s">
        <v>1119</v>
      </c>
      <c r="B16" s="63"/>
      <c r="C16" s="63"/>
      <c r="D16" s="63"/>
      <c r="E16" s="63"/>
      <c r="F16" s="63"/>
      <c r="G16" s="63"/>
      <c r="H16" s="63"/>
      <c r="I16" s="63"/>
      <c r="J16" s="63">
        <v>154208</v>
      </c>
      <c r="K16" s="63"/>
      <c r="L16" s="63"/>
      <c r="M16" s="63"/>
      <c r="N16" s="63"/>
      <c r="O16" s="63"/>
      <c r="P16" s="63"/>
      <c r="Q16" s="63"/>
      <c r="R16" s="63"/>
      <c r="S16" s="63"/>
      <c r="T16" s="63"/>
      <c r="U16" s="63"/>
      <c r="V16" s="63"/>
      <c r="W16" s="63"/>
      <c r="X16" s="63">
        <v>154208</v>
      </c>
      <c r="Y16" s="63"/>
      <c r="Z16" s="63"/>
      <c r="AA16" s="63">
        <v>154208</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v>0</v>
      </c>
      <c r="Y17" s="63"/>
      <c r="Z17" s="63"/>
      <c r="AA17" s="63">
        <v>0</v>
      </c>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v>0</v>
      </c>
      <c r="Y18" s="63"/>
      <c r="Z18" s="63"/>
      <c r="AA18" s="63">
        <v>0</v>
      </c>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v>0</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26.2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26.2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39"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26.2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39"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26.2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26.2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39"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39"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39"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64.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39"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26.2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26.2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26.2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280800</v>
      </c>
      <c r="C42" s="63">
        <v>0</v>
      </c>
      <c r="D42" s="63">
        <v>79882</v>
      </c>
      <c r="E42" s="63">
        <v>0</v>
      </c>
      <c r="F42" s="63">
        <v>0</v>
      </c>
      <c r="G42" s="63">
        <v>0</v>
      </c>
      <c r="H42" s="63">
        <v>0</v>
      </c>
      <c r="I42" s="63">
        <v>0</v>
      </c>
      <c r="J42" s="63">
        <v>1031461</v>
      </c>
      <c r="K42" s="63">
        <v>0</v>
      </c>
      <c r="L42" s="63">
        <v>0</v>
      </c>
      <c r="M42" s="63">
        <v>0</v>
      </c>
      <c r="N42" s="63">
        <v>0</v>
      </c>
      <c r="O42" s="63">
        <v>0</v>
      </c>
      <c r="P42" s="63">
        <v>0</v>
      </c>
      <c r="Q42" s="63">
        <v>0</v>
      </c>
      <c r="R42" s="63">
        <v>0</v>
      </c>
      <c r="S42" s="63">
        <v>0</v>
      </c>
      <c r="T42" s="63">
        <v>0</v>
      </c>
      <c r="U42" s="63">
        <v>0</v>
      </c>
      <c r="V42" s="63">
        <v>13000</v>
      </c>
      <c r="W42" s="63">
        <v>1104544</v>
      </c>
      <c r="X42" s="63">
        <v>2509687</v>
      </c>
      <c r="Y42" s="63">
        <v>0</v>
      </c>
      <c r="Z42" s="63">
        <v>176996</v>
      </c>
      <c r="AA42" s="63">
        <v>2686683</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8DFAE6B-A877-4362-8B51-BEC7188CE7C9}">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17D6A-CC80-4E2E-A6A0-397D07D15FF0}">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1171</v>
      </c>
    </row>
    <row r="3" spans="1:28" ht="17.25" customHeight="1">
      <c r="A3" s="247" t="s">
        <v>1085</v>
      </c>
      <c r="B3" s="247"/>
      <c r="C3" s="247"/>
      <c r="D3" s="247"/>
      <c r="E3" s="247"/>
      <c r="F3" s="247"/>
      <c r="G3" s="247"/>
      <c r="H3" s="247"/>
      <c r="I3" s="247"/>
      <c r="J3" s="247"/>
      <c r="K3" s="247"/>
      <c r="L3" s="247"/>
      <c r="M3" s="247"/>
      <c r="N3" s="247"/>
      <c r="O3" s="248" t="s">
        <v>1086</v>
      </c>
      <c r="P3" s="248"/>
      <c r="Q3" s="248"/>
      <c r="R3" s="248"/>
      <c r="S3" s="248"/>
      <c r="T3" s="248"/>
      <c r="U3" s="248"/>
      <c r="V3" s="248"/>
      <c r="W3" s="248"/>
      <c r="X3" s="248"/>
      <c r="Y3" s="248"/>
      <c r="Z3" s="248"/>
      <c r="AA3" s="248"/>
      <c r="AB3" s="248"/>
    </row>
    <row r="4" spans="1:28" ht="51.75">
      <c r="A4" s="249"/>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49"/>
    </row>
    <row r="5" spans="1:28" ht="34.5">
      <c r="A5" s="249"/>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49"/>
    </row>
    <row r="6" spans="1:28" ht="26.2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26.25" thickBot="1">
      <c r="A8" s="74" t="s">
        <v>1103</v>
      </c>
      <c r="B8" s="75">
        <v>280800</v>
      </c>
      <c r="C8" s="75"/>
      <c r="D8" s="75">
        <v>79882</v>
      </c>
      <c r="E8" s="75"/>
      <c r="F8" s="75"/>
      <c r="G8" s="75"/>
      <c r="H8" s="75"/>
      <c r="I8" s="75"/>
      <c r="J8" s="75">
        <v>945560</v>
      </c>
      <c r="K8" s="75"/>
      <c r="L8" s="75"/>
      <c r="M8" s="75"/>
      <c r="N8" s="75"/>
      <c r="O8" s="75"/>
      <c r="P8" s="75"/>
      <c r="Q8" s="75"/>
      <c r="R8" s="75"/>
      <c r="S8" s="75"/>
      <c r="T8" s="75"/>
      <c r="U8" s="75"/>
      <c r="V8" s="75">
        <v>12000</v>
      </c>
      <c r="W8" s="75">
        <v>1370564</v>
      </c>
      <c r="X8" s="75">
        <v>2688806</v>
      </c>
      <c r="Y8" s="75"/>
      <c r="Z8" s="75">
        <v>159752</v>
      </c>
      <c r="AA8" s="75">
        <v>2848558</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26.2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26.2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280800</v>
      </c>
      <c r="C14" s="75"/>
      <c r="D14" s="75">
        <v>79882</v>
      </c>
      <c r="E14" s="75"/>
      <c r="F14" s="75"/>
      <c r="G14" s="75"/>
      <c r="H14" s="75"/>
      <c r="I14" s="75"/>
      <c r="J14" s="75">
        <v>945560</v>
      </c>
      <c r="K14" s="75"/>
      <c r="L14" s="75"/>
      <c r="M14" s="75"/>
      <c r="N14" s="75"/>
      <c r="O14" s="75"/>
      <c r="P14" s="75"/>
      <c r="Q14" s="75"/>
      <c r="R14" s="75"/>
      <c r="S14" s="75"/>
      <c r="T14" s="75"/>
      <c r="U14" s="75"/>
      <c r="V14" s="75">
        <v>12000</v>
      </c>
      <c r="W14" s="75">
        <v>1370564</v>
      </c>
      <c r="X14" s="75">
        <v>2688806</v>
      </c>
      <c r="Y14" s="75"/>
      <c r="Z14" s="75">
        <v>159752</v>
      </c>
      <c r="AA14" s="75">
        <v>2848558</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-70945</v>
      </c>
      <c r="X15" s="75">
        <v>-70945</v>
      </c>
      <c r="Y15" s="75"/>
      <c r="Z15" s="75">
        <v>2927</v>
      </c>
      <c r="AA15" s="75">
        <v>-68018</v>
      </c>
      <c r="AB15" s="72" t="s">
        <v>1118</v>
      </c>
    </row>
    <row r="16" spans="1:28" ht="15.75" thickBot="1">
      <c r="A16" s="74" t="s">
        <v>1119</v>
      </c>
      <c r="B16" s="75"/>
      <c r="C16" s="75"/>
      <c r="D16" s="75"/>
      <c r="E16" s="75"/>
      <c r="F16" s="75"/>
      <c r="G16" s="75"/>
      <c r="H16" s="75"/>
      <c r="I16" s="75"/>
      <c r="J16" s="75">
        <v>-122432</v>
      </c>
      <c r="K16" s="75"/>
      <c r="L16" s="75"/>
      <c r="M16" s="75"/>
      <c r="N16" s="75"/>
      <c r="O16" s="75"/>
      <c r="P16" s="75"/>
      <c r="Q16" s="75"/>
      <c r="R16" s="75"/>
      <c r="S16" s="75"/>
      <c r="T16" s="75"/>
      <c r="U16" s="75"/>
      <c r="V16" s="75"/>
      <c r="W16" s="75"/>
      <c r="X16" s="75">
        <v>-122432</v>
      </c>
      <c r="Y16" s="75"/>
      <c r="Z16" s="75"/>
      <c r="AA16" s="75">
        <v>-122432</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v>0</v>
      </c>
      <c r="Y17" s="75"/>
      <c r="Z17" s="75"/>
      <c r="AA17" s="75">
        <v>0</v>
      </c>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v>1000</v>
      </c>
      <c r="W18" s="75">
        <v>-1000</v>
      </c>
      <c r="X18" s="75">
        <v>0</v>
      </c>
      <c r="Y18" s="75"/>
      <c r="Z18" s="75"/>
      <c r="AA18" s="75">
        <v>0</v>
      </c>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v>14040</v>
      </c>
      <c r="X19" s="77">
        <v>14040</v>
      </c>
      <c r="Y19" s="77"/>
      <c r="Z19" s="77"/>
      <c r="AA19" s="77">
        <v>14040</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v>0</v>
      </c>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26.2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26.2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39"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26.2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39"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26.2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26.2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39"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39"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39"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64.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39"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26.2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26.2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26.2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280800</v>
      </c>
      <c r="C42" s="75">
        <v>0</v>
      </c>
      <c r="D42" s="75">
        <v>79882</v>
      </c>
      <c r="E42" s="75">
        <v>0</v>
      </c>
      <c r="F42" s="75">
        <v>0</v>
      </c>
      <c r="G42" s="75">
        <v>0</v>
      </c>
      <c r="H42" s="75">
        <v>0</v>
      </c>
      <c r="I42" s="75">
        <v>0</v>
      </c>
      <c r="J42" s="75">
        <v>823128</v>
      </c>
      <c r="K42" s="75">
        <v>0</v>
      </c>
      <c r="L42" s="75">
        <v>0</v>
      </c>
      <c r="M42" s="75">
        <v>0</v>
      </c>
      <c r="N42" s="75">
        <v>0</v>
      </c>
      <c r="O42" s="75">
        <v>0</v>
      </c>
      <c r="P42" s="75">
        <v>0</v>
      </c>
      <c r="Q42" s="75">
        <v>0</v>
      </c>
      <c r="R42" s="75">
        <v>0</v>
      </c>
      <c r="S42" s="75">
        <v>0</v>
      </c>
      <c r="T42" s="75">
        <v>0</v>
      </c>
      <c r="U42" s="75">
        <v>0</v>
      </c>
      <c r="V42" s="75">
        <v>13000</v>
      </c>
      <c r="W42" s="75">
        <v>1284579</v>
      </c>
      <c r="X42" s="75">
        <v>2481389</v>
      </c>
      <c r="Y42" s="75">
        <v>0</v>
      </c>
      <c r="Z42" s="75">
        <v>162679</v>
      </c>
      <c r="AA42" s="75">
        <v>2644068</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2213A0E-A7B8-4157-9E81-29F4246B58D0}">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F5C1B-4EE0-4566-BD62-DF13E2B6F11D}">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1172</v>
      </c>
    </row>
    <row r="3" spans="1:4" ht="17.25" customHeight="1">
      <c r="A3" s="250" t="s">
        <v>1173</v>
      </c>
      <c r="B3" s="250"/>
      <c r="C3" s="251" t="s">
        <v>1174</v>
      </c>
      <c r="D3" s="251"/>
    </row>
    <row r="4" spans="1:4">
      <c r="A4" s="80"/>
      <c r="B4" s="81" t="s">
        <v>104</v>
      </c>
      <c r="C4" s="81" t="s">
        <v>108</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1585352</v>
      </c>
      <c r="C8" s="88">
        <v>1427175</v>
      </c>
      <c r="D8" s="84" t="s">
        <v>1180</v>
      </c>
    </row>
    <row r="9" spans="1:4" ht="51.75" thickBot="1">
      <c r="A9" s="87" t="s">
        <v>1181</v>
      </c>
      <c r="B9" s="88"/>
      <c r="C9" s="88"/>
      <c r="D9" s="84" t="s">
        <v>1182</v>
      </c>
    </row>
    <row r="10" spans="1:4" ht="15.75" thickBot="1">
      <c r="A10" s="87" t="s">
        <v>1183</v>
      </c>
      <c r="B10" s="88"/>
      <c r="C10" s="88"/>
      <c r="D10" s="84" t="s">
        <v>1184</v>
      </c>
    </row>
    <row r="11" spans="1:4" ht="26.25" thickBot="1">
      <c r="A11" s="87" t="s">
        <v>1185</v>
      </c>
      <c r="B11" s="88"/>
      <c r="C11" s="88"/>
      <c r="D11" s="84" t="s">
        <v>1186</v>
      </c>
    </row>
    <row r="12" spans="1:4" ht="51.75" thickBot="1">
      <c r="A12" s="87" t="s">
        <v>1187</v>
      </c>
      <c r="B12" s="88"/>
      <c r="C12" s="88"/>
      <c r="D12" s="84" t="s">
        <v>1188</v>
      </c>
    </row>
    <row r="13" spans="1:4" ht="15.75" thickBot="1">
      <c r="A13" s="87" t="s">
        <v>1189</v>
      </c>
      <c r="B13" s="88"/>
      <c r="C13" s="88"/>
      <c r="D13" s="84" t="s">
        <v>1190</v>
      </c>
    </row>
    <row r="14" spans="1:4" ht="26.25" thickBot="1">
      <c r="A14" s="87" t="s">
        <v>1191</v>
      </c>
      <c r="B14" s="88"/>
      <c r="C14" s="88">
        <v>0</v>
      </c>
      <c r="D14" s="84" t="s">
        <v>1192</v>
      </c>
    </row>
    <row r="15" spans="1:4" ht="26.25" thickBot="1">
      <c r="A15" s="86" t="s">
        <v>1193</v>
      </c>
      <c r="B15" s="83"/>
      <c r="C15" s="83"/>
      <c r="D15" s="84" t="s">
        <v>1194</v>
      </c>
    </row>
    <row r="16" spans="1:4" ht="26.25" thickBot="1">
      <c r="A16" s="87" t="s">
        <v>1195</v>
      </c>
      <c r="B16" s="89">
        <v>1461952</v>
      </c>
      <c r="C16" s="89">
        <v>1118633</v>
      </c>
      <c r="D16" s="84" t="s">
        <v>1196</v>
      </c>
    </row>
    <row r="17" spans="1:4" ht="15.75" thickBot="1">
      <c r="A17" s="87" t="s">
        <v>1197</v>
      </c>
      <c r="B17" s="89">
        <v>111201</v>
      </c>
      <c r="C17" s="89">
        <v>110740</v>
      </c>
      <c r="D17" s="84" t="s">
        <v>1198</v>
      </c>
    </row>
    <row r="18" spans="1:4" ht="26.25" thickBot="1">
      <c r="A18" s="87" t="s">
        <v>1199</v>
      </c>
      <c r="B18" s="89"/>
      <c r="C18" s="89"/>
      <c r="D18" s="84" t="s">
        <v>1200</v>
      </c>
    </row>
    <row r="19" spans="1:4" ht="26.2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26.25" thickBot="1">
      <c r="A22" s="87" t="s">
        <v>1207</v>
      </c>
      <c r="B22" s="89"/>
      <c r="C22" s="89"/>
      <c r="D22" s="84" t="s">
        <v>1208</v>
      </c>
    </row>
    <row r="23" spans="1:4" ht="51.75" thickBot="1">
      <c r="A23" s="87" t="s">
        <v>1209</v>
      </c>
      <c r="B23" s="89"/>
      <c r="C23" s="89"/>
      <c r="D23" s="84" t="s">
        <v>1210</v>
      </c>
    </row>
    <row r="24" spans="1:4" ht="26.25" thickBot="1">
      <c r="A24" s="86" t="s">
        <v>1211</v>
      </c>
      <c r="B24" s="88">
        <v>12199</v>
      </c>
      <c r="C24" s="88">
        <v>197802</v>
      </c>
      <c r="D24" s="84" t="s">
        <v>1212</v>
      </c>
    </row>
    <row r="25" spans="1:4" ht="26.25" thickBot="1">
      <c r="A25" s="86" t="s">
        <v>1213</v>
      </c>
      <c r="B25" s="88">
        <v>6</v>
      </c>
      <c r="C25" s="88">
        <v>4</v>
      </c>
      <c r="D25" s="84" t="s">
        <v>1214</v>
      </c>
    </row>
    <row r="26" spans="1:4" ht="26.25" thickBot="1">
      <c r="A26" s="86" t="s">
        <v>1215</v>
      </c>
      <c r="B26" s="89"/>
      <c r="C26" s="89"/>
      <c r="D26" s="84" t="s">
        <v>1216</v>
      </c>
    </row>
    <row r="27" spans="1:4" ht="51.75" thickBot="1">
      <c r="A27" s="86" t="s">
        <v>1217</v>
      </c>
      <c r="B27" s="88"/>
      <c r="C27" s="88"/>
      <c r="D27" s="84" t="s">
        <v>1218</v>
      </c>
    </row>
    <row r="28" spans="1:4" ht="26.25" thickBot="1">
      <c r="A28" s="86" t="s">
        <v>1219</v>
      </c>
      <c r="B28" s="88"/>
      <c r="C28" s="88"/>
      <c r="D28" s="84" t="s">
        <v>1220</v>
      </c>
    </row>
    <row r="29" spans="1:4" ht="15.75" thickBot="1">
      <c r="A29" s="86" t="s">
        <v>1221</v>
      </c>
      <c r="B29" s="89"/>
      <c r="C29" s="89"/>
      <c r="D29" s="84" t="s">
        <v>1222</v>
      </c>
    </row>
    <row r="30" spans="1:4" ht="26.25" thickBot="1">
      <c r="A30" s="86" t="s">
        <v>1223</v>
      </c>
      <c r="B30" s="88"/>
      <c r="C30" s="88"/>
      <c r="D30" s="84" t="s">
        <v>1224</v>
      </c>
    </row>
    <row r="31" spans="1:4" ht="26.25" thickBot="1">
      <c r="A31" s="86" t="s">
        <v>1225</v>
      </c>
      <c r="B31" s="89"/>
      <c r="C31" s="89"/>
      <c r="D31" s="84" t="s">
        <v>1226</v>
      </c>
    </row>
    <row r="32" spans="1:4" ht="26.25" thickBot="1">
      <c r="A32" s="86" t="s">
        <v>1227</v>
      </c>
      <c r="B32" s="88"/>
      <c r="C32" s="88"/>
      <c r="D32" s="84" t="s">
        <v>1228</v>
      </c>
    </row>
    <row r="33" spans="1:4" ht="26.25" thickBot="1">
      <c r="A33" s="86" t="s">
        <v>1229</v>
      </c>
      <c r="B33" s="89">
        <v>62090</v>
      </c>
      <c r="C33" s="89">
        <v>42325</v>
      </c>
      <c r="D33" s="84" t="s">
        <v>1230</v>
      </c>
    </row>
    <row r="34" spans="1:4" ht="39" thickBot="1">
      <c r="A34" s="86" t="s">
        <v>1231</v>
      </c>
      <c r="B34" s="88">
        <v>82015</v>
      </c>
      <c r="C34" s="88">
        <v>52400</v>
      </c>
      <c r="D34" s="84" t="s">
        <v>1232</v>
      </c>
    </row>
    <row r="35" spans="1:4" ht="15.75" thickBot="1">
      <c r="A35" s="86" t="s">
        <v>1233</v>
      </c>
      <c r="B35" s="89"/>
      <c r="C35" s="89"/>
      <c r="D35" s="84" t="s">
        <v>1234</v>
      </c>
    </row>
    <row r="36" spans="1:4" ht="26.25" thickBot="1">
      <c r="A36" s="86" t="s">
        <v>1235</v>
      </c>
      <c r="B36" s="88"/>
      <c r="C36" s="88"/>
      <c r="D36" s="84" t="s">
        <v>1236</v>
      </c>
    </row>
    <row r="37" spans="1:4" ht="26.25" thickBot="1">
      <c r="A37" s="86" t="s">
        <v>1237</v>
      </c>
      <c r="B37" s="89">
        <v>18065</v>
      </c>
      <c r="C37" s="89">
        <v>13261</v>
      </c>
      <c r="D37" s="84" t="s">
        <v>1238</v>
      </c>
    </row>
    <row r="38" spans="1:4" ht="26.25" thickBot="1">
      <c r="A38" s="86" t="s">
        <v>1239</v>
      </c>
      <c r="B38" s="88"/>
      <c r="C38" s="88"/>
      <c r="D38" s="84" t="s">
        <v>1240</v>
      </c>
    </row>
    <row r="39" spans="1:4" ht="39" thickBot="1">
      <c r="A39" s="86" t="s">
        <v>1241</v>
      </c>
      <c r="B39" s="88">
        <v>14065</v>
      </c>
      <c r="C39" s="88">
        <v>194620</v>
      </c>
      <c r="D39" s="84" t="s">
        <v>1242</v>
      </c>
    </row>
    <row r="40" spans="1:4" ht="26.2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26.25" thickBot="1">
      <c r="A45" s="87" t="s">
        <v>1253</v>
      </c>
      <c r="B45" s="88"/>
      <c r="C45" s="88"/>
      <c r="D45" s="84" t="s">
        <v>1254</v>
      </c>
    </row>
    <row r="46" spans="1:4" ht="26.25" thickBot="1">
      <c r="A46" s="87" t="s">
        <v>1255</v>
      </c>
      <c r="B46" s="88"/>
      <c r="C46" s="88"/>
      <c r="D46" s="84" t="s">
        <v>1256</v>
      </c>
    </row>
    <row r="47" spans="1:4" ht="39" thickBot="1">
      <c r="A47" s="86" t="s">
        <v>1257</v>
      </c>
      <c r="B47" s="88">
        <v>14065</v>
      </c>
      <c r="C47" s="88">
        <v>194620</v>
      </c>
      <c r="D47" s="84" t="s">
        <v>1258</v>
      </c>
    </row>
    <row r="48" spans="1:4" ht="15.75" thickBot="1">
      <c r="A48" s="85" t="s">
        <v>1259</v>
      </c>
      <c r="B48" s="83"/>
      <c r="C48" s="83"/>
      <c r="D48" s="84" t="s">
        <v>1260</v>
      </c>
    </row>
    <row r="49" spans="1:4" ht="26.25" thickBot="1">
      <c r="A49" s="86" t="s">
        <v>1261</v>
      </c>
      <c r="B49" s="89"/>
      <c r="C49" s="89"/>
      <c r="D49" s="84" t="s">
        <v>1262</v>
      </c>
    </row>
    <row r="50" spans="1:4" ht="26.2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26.25" thickBot="1">
      <c r="A54" s="86" t="s">
        <v>1271</v>
      </c>
      <c r="B54" s="88"/>
      <c r="C54" s="88"/>
      <c r="D54" s="84" t="s">
        <v>1272</v>
      </c>
    </row>
    <row r="55" spans="1:4" ht="26.25" thickBot="1">
      <c r="A55" s="86" t="s">
        <v>1273</v>
      </c>
      <c r="B55" s="89"/>
      <c r="C55" s="89"/>
      <c r="D55" s="84" t="s">
        <v>1274</v>
      </c>
    </row>
    <row r="56" spans="1:4" ht="26.25" thickBot="1">
      <c r="A56" s="86" t="s">
        <v>1275</v>
      </c>
      <c r="B56" s="88"/>
      <c r="C56" s="88"/>
      <c r="D56" s="84" t="s">
        <v>1276</v>
      </c>
    </row>
    <row r="57" spans="1:4" ht="26.25" thickBot="1">
      <c r="A57" s="86" t="s">
        <v>1277</v>
      </c>
      <c r="B57" s="89"/>
      <c r="C57" s="89"/>
      <c r="D57" s="84" t="s">
        <v>1278</v>
      </c>
    </row>
    <row r="58" spans="1:4" ht="26.25" thickBot="1">
      <c r="A58" s="86" t="s">
        <v>1279</v>
      </c>
      <c r="B58" s="88"/>
      <c r="C58" s="88"/>
      <c r="D58" s="84" t="s">
        <v>1280</v>
      </c>
    </row>
    <row r="59" spans="1:4" ht="26.25" thickBot="1">
      <c r="A59" s="86" t="s">
        <v>1281</v>
      </c>
      <c r="B59" s="89"/>
      <c r="C59" s="89"/>
      <c r="D59" s="84" t="s">
        <v>1282</v>
      </c>
    </row>
    <row r="60" spans="1:4" ht="26.25" thickBot="1">
      <c r="A60" s="86" t="s">
        <v>1283</v>
      </c>
      <c r="B60" s="88"/>
      <c r="C60" s="88"/>
      <c r="D60" s="84" t="s">
        <v>1284</v>
      </c>
    </row>
    <row r="61" spans="1:4" ht="26.25" thickBot="1">
      <c r="A61" s="86" t="s">
        <v>1285</v>
      </c>
      <c r="B61" s="89"/>
      <c r="C61" s="89"/>
      <c r="D61" s="84" t="s">
        <v>1286</v>
      </c>
    </row>
    <row r="62" spans="1:4" ht="26.25" thickBot="1">
      <c r="A62" s="86" t="s">
        <v>1287</v>
      </c>
      <c r="B62" s="88"/>
      <c r="C62" s="88"/>
      <c r="D62" s="84" t="s">
        <v>1288</v>
      </c>
    </row>
    <row r="63" spans="1:4" ht="26.25" thickBot="1">
      <c r="A63" s="86" t="s">
        <v>1289</v>
      </c>
      <c r="B63" s="89"/>
      <c r="C63" s="89"/>
      <c r="D63" s="84" t="s">
        <v>1290</v>
      </c>
    </row>
    <row r="64" spans="1:4" ht="26.25" thickBot="1">
      <c r="A64" s="86" t="s">
        <v>1291</v>
      </c>
      <c r="B64" s="88"/>
      <c r="C64" s="88"/>
      <c r="D64" s="84" t="s">
        <v>1292</v>
      </c>
    </row>
    <row r="65" spans="1:4" ht="26.25" thickBot="1">
      <c r="A65" s="86" t="s">
        <v>1293</v>
      </c>
      <c r="B65" s="89">
        <v>10268</v>
      </c>
      <c r="C65" s="89">
        <v>61836</v>
      </c>
      <c r="D65" s="84" t="s">
        <v>1294</v>
      </c>
    </row>
    <row r="66" spans="1:4" ht="26.25" thickBot="1">
      <c r="A66" s="86" t="s">
        <v>1295</v>
      </c>
      <c r="B66" s="88"/>
      <c r="C66" s="88"/>
      <c r="D66" s="84" t="s">
        <v>1296</v>
      </c>
    </row>
    <row r="67" spans="1:4" ht="26.25" thickBot="1">
      <c r="A67" s="86" t="s">
        <v>1297</v>
      </c>
      <c r="B67" s="88"/>
      <c r="C67" s="88"/>
      <c r="D67" s="84" t="s">
        <v>1298</v>
      </c>
    </row>
    <row r="68" spans="1:4" ht="26.25" thickBot="1">
      <c r="A68" s="86" t="s">
        <v>1299</v>
      </c>
      <c r="B68" s="89"/>
      <c r="C68" s="89"/>
      <c r="D68" s="84" t="s">
        <v>1300</v>
      </c>
    </row>
    <row r="69" spans="1:4" ht="26.25" thickBot="1">
      <c r="A69" s="86" t="s">
        <v>1301</v>
      </c>
      <c r="B69" s="88"/>
      <c r="C69" s="88"/>
      <c r="D69" s="84" t="s">
        <v>1302</v>
      </c>
    </row>
    <row r="70" spans="1:4" ht="26.25" thickBot="1">
      <c r="A70" s="86" t="s">
        <v>1303</v>
      </c>
      <c r="B70" s="89"/>
      <c r="C70" s="89"/>
      <c r="D70" s="84" t="s">
        <v>1304</v>
      </c>
    </row>
    <row r="71" spans="1:4" ht="26.25" thickBot="1">
      <c r="A71" s="86" t="s">
        <v>1305</v>
      </c>
      <c r="B71" s="88"/>
      <c r="C71" s="88"/>
      <c r="D71" s="84" t="s">
        <v>1306</v>
      </c>
    </row>
    <row r="72" spans="1:4" ht="26.25" thickBot="1">
      <c r="A72" s="86" t="s">
        <v>1307</v>
      </c>
      <c r="B72" s="89"/>
      <c r="C72" s="89"/>
      <c r="D72" s="84" t="s">
        <v>1308</v>
      </c>
    </row>
    <row r="73" spans="1:4" ht="26.25" thickBot="1">
      <c r="A73" s="86" t="s">
        <v>1309</v>
      </c>
      <c r="B73" s="88"/>
      <c r="C73" s="88"/>
      <c r="D73" s="84" t="s">
        <v>1310</v>
      </c>
    </row>
    <row r="74" spans="1:4" ht="26.25" thickBot="1">
      <c r="A74" s="86" t="s">
        <v>1311</v>
      </c>
      <c r="B74" s="89"/>
      <c r="C74" s="89"/>
      <c r="D74" s="84" t="s">
        <v>1312</v>
      </c>
    </row>
    <row r="75" spans="1:4" ht="26.25" thickBot="1">
      <c r="A75" s="86" t="s">
        <v>1313</v>
      </c>
      <c r="B75" s="88"/>
      <c r="C75" s="88"/>
      <c r="D75" s="84" t="s">
        <v>1314</v>
      </c>
    </row>
    <row r="76" spans="1:4" ht="26.25" thickBot="1">
      <c r="A76" s="86" t="s">
        <v>1315</v>
      </c>
      <c r="B76" s="89"/>
      <c r="C76" s="89"/>
      <c r="D76" s="84" t="s">
        <v>1316</v>
      </c>
    </row>
    <row r="77" spans="1:4" ht="26.25" thickBot="1">
      <c r="A77" s="86" t="s">
        <v>1317</v>
      </c>
      <c r="B77" s="88"/>
      <c r="C77" s="88"/>
      <c r="D77" s="84" t="s">
        <v>1318</v>
      </c>
    </row>
    <row r="78" spans="1:4" ht="26.25" thickBot="1">
      <c r="A78" s="86" t="s">
        <v>1319</v>
      </c>
      <c r="B78" s="89"/>
      <c r="C78" s="89"/>
      <c r="D78" s="84" t="s">
        <v>1320</v>
      </c>
    </row>
    <row r="79" spans="1:4" ht="26.25" thickBot="1">
      <c r="A79" s="86" t="s">
        <v>1321</v>
      </c>
      <c r="B79" s="88"/>
      <c r="C79" s="88"/>
      <c r="D79" s="84" t="s">
        <v>1322</v>
      </c>
    </row>
    <row r="80" spans="1:4" ht="26.25" thickBot="1">
      <c r="A80" s="86" t="s">
        <v>1323</v>
      </c>
      <c r="B80" s="89"/>
      <c r="C80" s="89"/>
      <c r="D80" s="84" t="s">
        <v>1324</v>
      </c>
    </row>
    <row r="81" spans="1:4" ht="26.25" thickBot="1">
      <c r="A81" s="86" t="s">
        <v>1325</v>
      </c>
      <c r="B81" s="88"/>
      <c r="C81" s="88"/>
      <c r="D81" s="84" t="s">
        <v>1326</v>
      </c>
    </row>
    <row r="82" spans="1:4" ht="39" thickBot="1">
      <c r="A82" s="86" t="s">
        <v>1327</v>
      </c>
      <c r="B82" s="88"/>
      <c r="C82" s="88"/>
      <c r="D82" s="84" t="s">
        <v>1328</v>
      </c>
    </row>
    <row r="83" spans="1:4" ht="39" thickBot="1">
      <c r="A83" s="86" t="s">
        <v>1329</v>
      </c>
      <c r="B83" s="88"/>
      <c r="C83" s="88"/>
      <c r="D83" s="84" t="s">
        <v>1330</v>
      </c>
    </row>
    <row r="84" spans="1:4" ht="39" thickBot="1">
      <c r="A84" s="86" t="s">
        <v>1331</v>
      </c>
      <c r="B84" s="88"/>
      <c r="C84" s="88"/>
      <c r="D84" s="84" t="s">
        <v>1332</v>
      </c>
    </row>
    <row r="85" spans="1:4" ht="26.25" thickBot="1">
      <c r="A85" s="86" t="s">
        <v>1333</v>
      </c>
      <c r="B85" s="88"/>
      <c r="C85" s="88"/>
      <c r="D85" s="84" t="s">
        <v>1334</v>
      </c>
    </row>
    <row r="86" spans="1:4" ht="26.25" thickBot="1">
      <c r="A86" s="86" t="s">
        <v>1335</v>
      </c>
      <c r="B86" s="89"/>
      <c r="C86" s="89"/>
      <c r="D86" s="84" t="s">
        <v>1336</v>
      </c>
    </row>
    <row r="87" spans="1:4" ht="26.25" thickBot="1">
      <c r="A87" s="86" t="s">
        <v>1337</v>
      </c>
      <c r="B87" s="88"/>
      <c r="C87" s="88"/>
      <c r="D87" s="84" t="s">
        <v>1338</v>
      </c>
    </row>
    <row r="88" spans="1:4" ht="26.25" thickBot="1">
      <c r="A88" s="86" t="s">
        <v>1339</v>
      </c>
      <c r="B88" s="88"/>
      <c r="C88" s="88"/>
      <c r="D88" s="84" t="s">
        <v>1340</v>
      </c>
    </row>
    <row r="89" spans="1:4" ht="26.25" thickBot="1">
      <c r="A89" s="86" t="s">
        <v>1341</v>
      </c>
      <c r="B89" s="89"/>
      <c r="C89" s="89"/>
      <c r="D89" s="84" t="s">
        <v>1342</v>
      </c>
    </row>
    <row r="90" spans="1:4" ht="39" thickBot="1">
      <c r="A90" s="86" t="s">
        <v>1343</v>
      </c>
      <c r="B90" s="88"/>
      <c r="C90" s="88"/>
      <c r="D90" s="84" t="s">
        <v>1344</v>
      </c>
    </row>
    <row r="91" spans="1:4" ht="39" thickBot="1">
      <c r="A91" s="86" t="s">
        <v>1345</v>
      </c>
      <c r="B91" s="89"/>
      <c r="C91" s="89"/>
      <c r="D91" s="84" t="s">
        <v>1346</v>
      </c>
    </row>
    <row r="92" spans="1:4" ht="15.75" thickBot="1">
      <c r="A92" s="86" t="s">
        <v>1347</v>
      </c>
      <c r="B92" s="89"/>
      <c r="C92" s="89"/>
      <c r="D92" s="84" t="s">
        <v>1348</v>
      </c>
    </row>
    <row r="93" spans="1:4" ht="26.25" thickBot="1">
      <c r="A93" s="86" t="s">
        <v>1349</v>
      </c>
      <c r="B93" s="88"/>
      <c r="C93" s="88"/>
      <c r="D93" s="84" t="s">
        <v>1350</v>
      </c>
    </row>
    <row r="94" spans="1:4" ht="26.25" thickBot="1">
      <c r="A94" s="86" t="s">
        <v>1351</v>
      </c>
      <c r="B94" s="89">
        <v>0</v>
      </c>
      <c r="C94" s="89">
        <v>2502</v>
      </c>
      <c r="D94" s="84" t="s">
        <v>1352</v>
      </c>
    </row>
    <row r="95" spans="1:4" ht="26.25" thickBot="1">
      <c r="A95" s="86" t="s">
        <v>1353</v>
      </c>
      <c r="B95" s="88"/>
      <c r="C95" s="88"/>
      <c r="D95" s="84" t="s">
        <v>1354</v>
      </c>
    </row>
    <row r="96" spans="1:4" ht="26.25" thickBot="1">
      <c r="A96" s="86" t="s">
        <v>1355</v>
      </c>
      <c r="B96" s="89"/>
      <c r="C96" s="89"/>
      <c r="D96" s="84" t="s">
        <v>1356</v>
      </c>
    </row>
    <row r="97" spans="1:4" ht="39" thickBot="1">
      <c r="A97" s="86" t="s">
        <v>1357</v>
      </c>
      <c r="B97" s="89"/>
      <c r="C97" s="89"/>
      <c r="D97" s="84" t="s">
        <v>1358</v>
      </c>
    </row>
    <row r="98" spans="1:4" ht="39" thickBot="1">
      <c r="A98" s="86" t="s">
        <v>1359</v>
      </c>
      <c r="B98" s="88"/>
      <c r="C98" s="88"/>
      <c r="D98" s="84" t="s">
        <v>1360</v>
      </c>
    </row>
    <row r="99" spans="1:4" ht="26.25" thickBot="1">
      <c r="A99" s="86" t="s">
        <v>1361</v>
      </c>
      <c r="B99" s="88"/>
      <c r="C99" s="88"/>
      <c r="D99" s="84" t="s">
        <v>1362</v>
      </c>
    </row>
    <row r="100" spans="1:4" ht="26.25" thickBot="1">
      <c r="A100" s="86" t="s">
        <v>1363</v>
      </c>
      <c r="B100" s="89"/>
      <c r="C100" s="89"/>
      <c r="D100" s="84" t="s">
        <v>1364</v>
      </c>
    </row>
    <row r="101" spans="1:4" ht="51.75" thickBot="1">
      <c r="A101" s="86" t="s">
        <v>1365</v>
      </c>
      <c r="B101" s="88"/>
      <c r="C101" s="88"/>
      <c r="D101" s="84" t="s">
        <v>1366</v>
      </c>
    </row>
    <row r="102" spans="1:4" ht="39" thickBot="1">
      <c r="A102" s="86" t="s">
        <v>1367</v>
      </c>
      <c r="B102" s="89"/>
      <c r="C102" s="89"/>
      <c r="D102" s="84" t="s">
        <v>1368</v>
      </c>
    </row>
    <row r="103" spans="1:4" ht="39" thickBot="1">
      <c r="A103" s="86" t="s">
        <v>1369</v>
      </c>
      <c r="B103" s="88"/>
      <c r="C103" s="88"/>
      <c r="D103" s="84" t="s">
        <v>1370</v>
      </c>
    </row>
    <row r="104" spans="1:4" ht="39" thickBot="1">
      <c r="A104" s="86" t="s">
        <v>1371</v>
      </c>
      <c r="B104" s="89"/>
      <c r="C104" s="89"/>
      <c r="D104" s="84" t="s">
        <v>1372</v>
      </c>
    </row>
    <row r="105" spans="1:4" ht="26.25" thickBot="1">
      <c r="A105" s="86" t="s">
        <v>1373</v>
      </c>
      <c r="B105" s="88"/>
      <c r="C105" s="88"/>
      <c r="D105" s="84" t="s">
        <v>1374</v>
      </c>
    </row>
    <row r="106" spans="1:4" ht="26.25" thickBot="1">
      <c r="A106" s="86" t="s">
        <v>1375</v>
      </c>
      <c r="B106" s="89"/>
      <c r="C106" s="89"/>
      <c r="D106" s="84" t="s">
        <v>1376</v>
      </c>
    </row>
    <row r="107" spans="1:4" ht="64.5" thickBot="1">
      <c r="A107" s="86" t="s">
        <v>1377</v>
      </c>
      <c r="B107" s="88"/>
      <c r="C107" s="88"/>
      <c r="D107" s="84" t="s">
        <v>1378</v>
      </c>
    </row>
    <row r="108" spans="1:4" ht="26.25" thickBot="1">
      <c r="A108" s="86" t="s">
        <v>1379</v>
      </c>
      <c r="B108" s="88"/>
      <c r="C108" s="88"/>
      <c r="D108" s="84" t="s">
        <v>1380</v>
      </c>
    </row>
    <row r="109" spans="1:4" ht="26.25" thickBot="1">
      <c r="A109" s="86" t="s">
        <v>1381</v>
      </c>
      <c r="B109" s="88"/>
      <c r="C109" s="88"/>
      <c r="D109" s="84" t="s">
        <v>1382</v>
      </c>
    </row>
    <row r="110" spans="1:4" ht="26.25" thickBot="1">
      <c r="A110" s="86" t="s">
        <v>1383</v>
      </c>
      <c r="B110" s="89"/>
      <c r="C110" s="89"/>
      <c r="D110" s="84" t="s">
        <v>1384</v>
      </c>
    </row>
    <row r="111" spans="1:4" ht="39" thickBot="1">
      <c r="A111" s="86" t="s">
        <v>1385</v>
      </c>
      <c r="B111" s="88"/>
      <c r="C111" s="88"/>
      <c r="D111" s="84" t="s">
        <v>1386</v>
      </c>
    </row>
    <row r="112" spans="1:4" ht="26.25" thickBot="1">
      <c r="A112" s="86" t="s">
        <v>1387</v>
      </c>
      <c r="B112" s="88"/>
      <c r="C112" s="88"/>
      <c r="D112" s="84" t="s">
        <v>1388</v>
      </c>
    </row>
    <row r="113" spans="1:4" ht="39" thickBot="1">
      <c r="A113" s="86" t="s">
        <v>1389</v>
      </c>
      <c r="B113" s="88">
        <v>-10268</v>
      </c>
      <c r="C113" s="88">
        <v>-64338</v>
      </c>
      <c r="D113" s="84" t="s">
        <v>1390</v>
      </c>
    </row>
    <row r="114" spans="1:4" ht="15.75" thickBot="1">
      <c r="A114" s="85" t="s">
        <v>1391</v>
      </c>
      <c r="B114" s="83"/>
      <c r="C114" s="83"/>
      <c r="D114" s="84" t="s">
        <v>1392</v>
      </c>
    </row>
    <row r="115" spans="1:4" ht="15.75" thickBot="1">
      <c r="A115" s="86" t="s">
        <v>1393</v>
      </c>
      <c r="B115" s="88">
        <v>75427</v>
      </c>
      <c r="C115" s="88">
        <v>182354</v>
      </c>
      <c r="D115" s="84" t="s">
        <v>1394</v>
      </c>
    </row>
    <row r="116" spans="1:4" ht="15.75" thickBot="1">
      <c r="A116" s="86" t="s">
        <v>1395</v>
      </c>
      <c r="B116" s="89">
        <v>83021</v>
      </c>
      <c r="C116" s="89">
        <v>282076</v>
      </c>
      <c r="D116" s="84" t="s">
        <v>1396</v>
      </c>
    </row>
    <row r="117" spans="1:4" ht="26.25" thickBot="1">
      <c r="A117" s="86" t="s">
        <v>1397</v>
      </c>
      <c r="B117" s="88"/>
      <c r="C117" s="88"/>
      <c r="D117" s="84" t="s">
        <v>1398</v>
      </c>
    </row>
    <row r="118" spans="1:4" ht="26.2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26.25" thickBot="1">
      <c r="A125" s="86" t="s">
        <v>1413</v>
      </c>
      <c r="B125" s="88"/>
      <c r="C125" s="88"/>
      <c r="D125" s="84" t="s">
        <v>1414</v>
      </c>
    </row>
    <row r="126" spans="1:4" ht="26.2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26.25" thickBot="1">
      <c r="A129" s="86" t="s">
        <v>1421</v>
      </c>
      <c r="B129" s="88"/>
      <c r="C129" s="88"/>
      <c r="D129" s="84" t="s">
        <v>1422</v>
      </c>
    </row>
    <row r="130" spans="1:4" ht="26.25" thickBot="1">
      <c r="A130" s="86" t="s">
        <v>1423</v>
      </c>
      <c r="B130" s="89"/>
      <c r="C130" s="89"/>
      <c r="D130" s="84" t="s">
        <v>1424</v>
      </c>
    </row>
    <row r="131" spans="1:4" ht="26.25" thickBot="1">
      <c r="A131" s="86" t="s">
        <v>1425</v>
      </c>
      <c r="B131" s="88"/>
      <c r="C131" s="88"/>
      <c r="D131" s="84" t="s">
        <v>1426</v>
      </c>
    </row>
    <row r="132" spans="1:4" ht="26.25" thickBot="1">
      <c r="A132" s="86" t="s">
        <v>1427</v>
      </c>
      <c r="B132" s="89"/>
      <c r="C132" s="89"/>
      <c r="D132" s="84" t="s">
        <v>1428</v>
      </c>
    </row>
    <row r="133" spans="1:4" ht="26.25" thickBot="1">
      <c r="A133" s="86" t="s">
        <v>1429</v>
      </c>
      <c r="B133" s="88"/>
      <c r="C133" s="88"/>
      <c r="D133" s="84" t="s">
        <v>1430</v>
      </c>
    </row>
    <row r="134" spans="1:4" ht="26.25" thickBot="1">
      <c r="A134" s="86" t="s">
        <v>1431</v>
      </c>
      <c r="B134" s="89"/>
      <c r="C134" s="89"/>
      <c r="D134" s="84" t="s">
        <v>1432</v>
      </c>
    </row>
    <row r="135" spans="1:4" ht="26.25" thickBot="1">
      <c r="A135" s="86" t="s">
        <v>1433</v>
      </c>
      <c r="B135" s="88"/>
      <c r="C135" s="88"/>
      <c r="D135" s="84" t="s">
        <v>1434</v>
      </c>
    </row>
    <row r="136" spans="1:4" ht="26.2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26.25" thickBot="1">
      <c r="A141" s="86" t="s">
        <v>1445</v>
      </c>
      <c r="B141" s="88"/>
      <c r="C141" s="88"/>
      <c r="D141" s="84" t="s">
        <v>1446</v>
      </c>
    </row>
    <row r="142" spans="1:4" ht="26.2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v>14059</v>
      </c>
      <c r="C150" s="89"/>
      <c r="D150" s="84" t="s">
        <v>1464</v>
      </c>
    </row>
    <row r="151" spans="1:4" ht="26.25" thickBot="1">
      <c r="A151" s="86" t="s">
        <v>1465</v>
      </c>
      <c r="B151" s="88"/>
      <c r="C151" s="88"/>
      <c r="D151" s="84" t="s">
        <v>1466</v>
      </c>
    </row>
    <row r="152" spans="1:4" ht="15.75" thickBot="1">
      <c r="A152" s="86" t="s">
        <v>1467</v>
      </c>
      <c r="B152" s="89"/>
      <c r="C152" s="89"/>
      <c r="D152" s="84" t="s">
        <v>1468</v>
      </c>
    </row>
    <row r="153" spans="1:4" ht="26.25" thickBot="1">
      <c r="A153" s="86" t="s">
        <v>1469</v>
      </c>
      <c r="B153" s="89"/>
      <c r="C153" s="89"/>
      <c r="D153" s="84" t="s">
        <v>1470</v>
      </c>
    </row>
    <row r="154" spans="1:4" ht="39"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26.25" thickBot="1">
      <c r="A159" s="86" t="s">
        <v>1481</v>
      </c>
      <c r="B159" s="88"/>
      <c r="C159" s="88"/>
      <c r="D159" s="84" t="s">
        <v>1482</v>
      </c>
    </row>
    <row r="160" spans="1:4" ht="26.25" thickBot="1">
      <c r="A160" s="86" t="s">
        <v>1483</v>
      </c>
      <c r="B160" s="88"/>
      <c r="C160" s="88"/>
      <c r="D160" s="84" t="s">
        <v>1484</v>
      </c>
    </row>
    <row r="161" spans="1:4" ht="26.25" thickBot="1">
      <c r="A161" s="86" t="s">
        <v>1485</v>
      </c>
      <c r="B161" s="88"/>
      <c r="C161" s="88"/>
      <c r="D161" s="84" t="s">
        <v>1486</v>
      </c>
    </row>
    <row r="162" spans="1:4" ht="15.75" thickBot="1">
      <c r="A162" s="86" t="s">
        <v>1487</v>
      </c>
      <c r="B162" s="89"/>
      <c r="C162" s="89"/>
      <c r="D162" s="84" t="s">
        <v>1488</v>
      </c>
    </row>
    <row r="163" spans="1:4" ht="26.25" thickBot="1">
      <c r="A163" s="86" t="s">
        <v>1489</v>
      </c>
      <c r="B163" s="88"/>
      <c r="C163" s="88"/>
      <c r="D163" s="84" t="s">
        <v>1490</v>
      </c>
    </row>
    <row r="164" spans="1:4" ht="26.25" thickBot="1">
      <c r="A164" s="86" t="s">
        <v>1491</v>
      </c>
      <c r="B164" s="88"/>
      <c r="C164" s="88"/>
      <c r="D164" s="84" t="s">
        <v>1492</v>
      </c>
    </row>
    <row r="165" spans="1:4" ht="26.25" thickBot="1">
      <c r="A165" s="86" t="s">
        <v>1493</v>
      </c>
      <c r="B165" s="88"/>
      <c r="C165" s="88"/>
      <c r="D165" s="84" t="s">
        <v>1494</v>
      </c>
    </row>
    <row r="166" spans="1:4" ht="51.75" thickBot="1">
      <c r="A166" s="86" t="s">
        <v>1495</v>
      </c>
      <c r="B166" s="88"/>
      <c r="C166" s="88"/>
      <c r="D166" s="84" t="s">
        <v>1496</v>
      </c>
    </row>
    <row r="167" spans="1:4" ht="26.25" thickBot="1">
      <c r="A167" s="86" t="s">
        <v>1497</v>
      </c>
      <c r="B167" s="88"/>
      <c r="C167" s="88"/>
      <c r="D167" s="84" t="s">
        <v>1498</v>
      </c>
    </row>
    <row r="168" spans="1:4" ht="39" thickBot="1">
      <c r="A168" s="86" t="s">
        <v>1499</v>
      </c>
      <c r="B168" s="89"/>
      <c r="C168" s="89"/>
      <c r="D168" s="84" t="s">
        <v>1500</v>
      </c>
    </row>
    <row r="169" spans="1:4" ht="26.25" thickBot="1">
      <c r="A169" s="86" t="s">
        <v>1501</v>
      </c>
      <c r="B169" s="89"/>
      <c r="C169" s="89"/>
      <c r="D169" s="84" t="s">
        <v>1502</v>
      </c>
    </row>
    <row r="170" spans="1:4" ht="26.25" thickBot="1">
      <c r="A170" s="86" t="s">
        <v>1503</v>
      </c>
      <c r="B170" s="88"/>
      <c r="C170" s="88"/>
      <c r="D170" s="84" t="s">
        <v>1504</v>
      </c>
    </row>
    <row r="171" spans="1:4" ht="26.25" thickBot="1">
      <c r="A171" s="86" t="s">
        <v>1505</v>
      </c>
      <c r="B171" s="89"/>
      <c r="C171" s="89"/>
      <c r="D171" s="84" t="s">
        <v>1506</v>
      </c>
    </row>
    <row r="172" spans="1:4" ht="39" thickBot="1">
      <c r="A172" s="86" t="s">
        <v>1507</v>
      </c>
      <c r="B172" s="88"/>
      <c r="C172" s="88"/>
      <c r="D172" s="84" t="s">
        <v>1508</v>
      </c>
    </row>
    <row r="173" spans="1:4" ht="26.25" thickBot="1">
      <c r="A173" s="86" t="s">
        <v>1509</v>
      </c>
      <c r="B173" s="88"/>
      <c r="C173" s="88"/>
      <c r="D173" s="84" t="s">
        <v>1510</v>
      </c>
    </row>
    <row r="174" spans="1:4" ht="39" thickBot="1">
      <c r="A174" s="86" t="s">
        <v>1511</v>
      </c>
      <c r="B174" s="88">
        <v>-21653</v>
      </c>
      <c r="C174" s="88">
        <v>-99722</v>
      </c>
      <c r="D174" s="84" t="s">
        <v>1512</v>
      </c>
    </row>
    <row r="175" spans="1:4" ht="26.25" thickBot="1">
      <c r="A175" s="85" t="s">
        <v>1513</v>
      </c>
      <c r="B175" s="88">
        <v>-17856</v>
      </c>
      <c r="C175" s="88">
        <v>30560</v>
      </c>
      <c r="D175" s="84" t="s">
        <v>1514</v>
      </c>
    </row>
    <row r="176" spans="1:4" ht="26.25" thickBot="1">
      <c r="A176" s="85" t="s">
        <v>1515</v>
      </c>
      <c r="B176" s="88">
        <v>45888</v>
      </c>
      <c r="C176" s="88">
        <v>41063</v>
      </c>
      <c r="D176" s="84" t="s">
        <v>1516</v>
      </c>
    </row>
    <row r="177" spans="1:4" ht="26.25" thickBot="1">
      <c r="A177" s="85" t="s">
        <v>1517</v>
      </c>
      <c r="B177" s="88">
        <v>2409</v>
      </c>
      <c r="C177" s="88">
        <v>-1931</v>
      </c>
      <c r="D177" s="84" t="s">
        <v>1518</v>
      </c>
    </row>
    <row r="178" spans="1:4" ht="26.25" thickBot="1">
      <c r="A178" s="85" t="s">
        <v>1519</v>
      </c>
      <c r="B178" s="88"/>
      <c r="C178" s="88"/>
      <c r="D178" s="84" t="s">
        <v>1520</v>
      </c>
    </row>
    <row r="179" spans="1:4" ht="26.25" thickBot="1">
      <c r="A179" s="85" t="s">
        <v>1521</v>
      </c>
      <c r="B179" s="88"/>
      <c r="C179" s="88"/>
      <c r="D179" s="84" t="s">
        <v>1522</v>
      </c>
    </row>
    <row r="180" spans="1:4" ht="26.25" thickBot="1">
      <c r="A180" s="85" t="s">
        <v>1523</v>
      </c>
      <c r="B180" s="88">
        <v>30441</v>
      </c>
      <c r="C180" s="88">
        <v>69692</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011D679-CF9F-44DC-939A-FC10EA896FD6}">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E6CE9-4879-4E68-B8FF-A91FAEBF6D40}">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1525</v>
      </c>
    </row>
    <row r="3" spans="1:3" ht="34.5">
      <c r="A3" s="92" t="s">
        <v>1526</v>
      </c>
      <c r="B3" s="252" t="s">
        <v>1527</v>
      </c>
      <c r="C3" s="252"/>
    </row>
    <row r="4" spans="1:3">
      <c r="A4" s="93"/>
      <c r="B4" s="94" t="s">
        <v>104</v>
      </c>
    </row>
    <row r="5" spans="1:3" ht="15.75" thickBot="1">
      <c r="A5" s="95" t="s">
        <v>1526</v>
      </c>
      <c r="B5" s="96"/>
      <c r="C5" s="97" t="s">
        <v>1527</v>
      </c>
    </row>
    <row r="6" spans="1:3" ht="75" customHeight="1" thickBot="1">
      <c r="A6" s="98" t="s">
        <v>1528</v>
      </c>
      <c r="B6" s="99" t="s">
        <v>1529</v>
      </c>
      <c r="C6" s="97" t="s">
        <v>1530</v>
      </c>
    </row>
    <row r="7" spans="1:3" ht="75" customHeight="1" thickBot="1">
      <c r="A7" s="98" t="s">
        <v>1531</v>
      </c>
      <c r="B7" s="99" t="s">
        <v>1532</v>
      </c>
      <c r="C7" s="97" t="s">
        <v>1533</v>
      </c>
    </row>
    <row r="8" spans="1:3" ht="75" customHeight="1" thickBot="1">
      <c r="A8" s="98" t="s">
        <v>433</v>
      </c>
      <c r="B8" s="99" t="s">
        <v>1534</v>
      </c>
      <c r="C8" s="97" t="s">
        <v>434</v>
      </c>
    </row>
    <row r="9" spans="1:3" ht="75" customHeight="1" thickBot="1">
      <c r="A9" s="98" t="s">
        <v>1535</v>
      </c>
      <c r="B9" s="99" t="s">
        <v>1536</v>
      </c>
      <c r="C9" s="97" t="s">
        <v>1537</v>
      </c>
    </row>
    <row r="10" spans="1:3" ht="75" customHeight="1" thickBot="1">
      <c r="A10" s="98" t="s">
        <v>1538</v>
      </c>
      <c r="B10" s="99" t="s">
        <v>1539</v>
      </c>
      <c r="C10" s="97" t="s">
        <v>1540</v>
      </c>
    </row>
    <row r="11" spans="1:3" ht="75" customHeight="1" thickBot="1">
      <c r="A11" s="98" t="s">
        <v>1541</v>
      </c>
      <c r="B11" s="99"/>
      <c r="C11" s="97" t="s">
        <v>1542</v>
      </c>
    </row>
    <row r="12" spans="1:3" ht="75" customHeight="1" thickBot="1">
      <c r="A12" s="98" t="s">
        <v>624</v>
      </c>
      <c r="B12" s="99" t="s">
        <v>1543</v>
      </c>
      <c r="C12" s="97" t="s">
        <v>1544</v>
      </c>
    </row>
    <row r="13" spans="1:3" ht="75" customHeight="1" thickBot="1">
      <c r="A13" s="98" t="s">
        <v>1545</v>
      </c>
      <c r="B13" s="99"/>
      <c r="C13" s="97" t="s">
        <v>623</v>
      </c>
    </row>
    <row r="14" spans="1:3" ht="75" customHeight="1" thickBot="1">
      <c r="A14" s="98" t="s">
        <v>1546</v>
      </c>
      <c r="B14" s="99"/>
      <c r="C14" s="97" t="s">
        <v>1547</v>
      </c>
    </row>
    <row r="15" spans="1:3" ht="75" customHeight="1" thickBot="1">
      <c r="A15" s="98" t="s">
        <v>616</v>
      </c>
      <c r="B15" s="99"/>
      <c r="C15" s="97" t="s">
        <v>617</v>
      </c>
    </row>
    <row r="16" spans="1:3" ht="75" customHeight="1" thickBot="1">
      <c r="A16" s="98" t="s">
        <v>1548</v>
      </c>
      <c r="B16" s="99"/>
      <c r="C16" s="97" t="s">
        <v>1549</v>
      </c>
    </row>
    <row r="17" spans="1:3" ht="75" customHeight="1" thickBot="1">
      <c r="A17" s="98" t="s">
        <v>644</v>
      </c>
      <c r="B17" s="99"/>
      <c r="C17" s="97" t="s">
        <v>645</v>
      </c>
    </row>
    <row r="18" spans="1:3" ht="75" customHeight="1" thickBot="1">
      <c r="A18" s="98" t="s">
        <v>1550</v>
      </c>
      <c r="B18" s="99" t="s">
        <v>1551</v>
      </c>
      <c r="C18" s="97" t="s">
        <v>1552</v>
      </c>
    </row>
    <row r="19" spans="1:3" ht="75" customHeight="1" thickBot="1">
      <c r="A19" s="98" t="s">
        <v>1553</v>
      </c>
      <c r="B19" s="99" t="s">
        <v>1554</v>
      </c>
      <c r="C19" s="97" t="s">
        <v>1555</v>
      </c>
    </row>
    <row r="20" spans="1:3" ht="75" customHeight="1" thickBot="1">
      <c r="A20" s="98" t="s">
        <v>1556</v>
      </c>
      <c r="B20" s="99" t="s">
        <v>1557</v>
      </c>
      <c r="C20" s="97" t="s">
        <v>1558</v>
      </c>
    </row>
    <row r="21" spans="1:3" ht="75" customHeight="1" thickBot="1">
      <c r="A21" s="98" t="s">
        <v>1559</v>
      </c>
      <c r="B21" s="99" t="s">
        <v>1560</v>
      </c>
      <c r="C21" s="97" t="s">
        <v>1561</v>
      </c>
    </row>
    <row r="22" spans="1:3" ht="75" customHeight="1" thickBot="1">
      <c r="A22" s="98" t="s">
        <v>1562</v>
      </c>
      <c r="B22" s="99" t="s">
        <v>1563</v>
      </c>
      <c r="C22" s="97" t="s">
        <v>1564</v>
      </c>
    </row>
    <row r="23" spans="1:3" ht="75" customHeight="1" thickBot="1">
      <c r="A23" s="98" t="s">
        <v>1565</v>
      </c>
      <c r="B23" s="99" t="s">
        <v>1566</v>
      </c>
      <c r="C23" s="97" t="s">
        <v>1567</v>
      </c>
    </row>
    <row r="24" spans="1:3" ht="75" customHeight="1" thickBot="1">
      <c r="A24" s="98" t="s">
        <v>1568</v>
      </c>
      <c r="B24" s="99" t="s">
        <v>1569</v>
      </c>
      <c r="C24" s="97" t="s">
        <v>1570</v>
      </c>
    </row>
    <row r="25" spans="1:3" ht="75" customHeight="1" thickBot="1">
      <c r="A25" s="98" t="s">
        <v>1571</v>
      </c>
      <c r="B25" s="99" t="s">
        <v>1572</v>
      </c>
      <c r="C25" s="97" t="s">
        <v>1573</v>
      </c>
    </row>
    <row r="26" spans="1:3" ht="75" customHeight="1" thickBot="1">
      <c r="A26" s="98" t="s">
        <v>1574</v>
      </c>
      <c r="B26" s="99" t="s">
        <v>1575</v>
      </c>
      <c r="C26" s="97" t="s">
        <v>1576</v>
      </c>
    </row>
    <row r="27" spans="1:3" ht="75" customHeight="1" thickBot="1">
      <c r="A27" s="98" t="s">
        <v>1577</v>
      </c>
      <c r="B27" s="99" t="s">
        <v>1578</v>
      </c>
      <c r="C27" s="97" t="s">
        <v>1579</v>
      </c>
    </row>
    <row r="28" spans="1:3" ht="75" customHeight="1" thickBot="1">
      <c r="A28" s="98" t="s">
        <v>1580</v>
      </c>
      <c r="B28" s="99" t="s">
        <v>1581</v>
      </c>
      <c r="C28" s="97" t="s">
        <v>1582</v>
      </c>
    </row>
    <row r="29" spans="1:3" ht="75" customHeight="1" thickBot="1">
      <c r="A29" s="98" t="s">
        <v>1583</v>
      </c>
      <c r="B29" s="99" t="s">
        <v>1584</v>
      </c>
      <c r="C29" s="97" t="s">
        <v>1585</v>
      </c>
    </row>
    <row r="30" spans="1:3" ht="75" customHeight="1" thickBot="1">
      <c r="A30" s="98" t="s">
        <v>1586</v>
      </c>
      <c r="B30" s="99" t="s">
        <v>1587</v>
      </c>
      <c r="C30" s="97" t="s">
        <v>1588</v>
      </c>
    </row>
    <row r="31" spans="1:3" ht="75" customHeight="1" thickBot="1">
      <c r="A31" s="98" t="s">
        <v>1589</v>
      </c>
      <c r="B31" s="99"/>
      <c r="C31" s="97" t="s">
        <v>1590</v>
      </c>
    </row>
    <row r="32" spans="1:3" ht="75" customHeight="1" thickBot="1">
      <c r="A32" s="98" t="s">
        <v>1591</v>
      </c>
      <c r="B32" s="99" t="s">
        <v>1592</v>
      </c>
      <c r="C32" s="97" t="s">
        <v>1593</v>
      </c>
    </row>
    <row r="33" spans="1:3" ht="75" customHeight="1" thickBot="1">
      <c r="A33" s="98" t="s">
        <v>1594</v>
      </c>
      <c r="B33" s="99" t="s">
        <v>1595</v>
      </c>
      <c r="C33" s="97" t="s">
        <v>1596</v>
      </c>
    </row>
    <row r="34" spans="1:3" ht="75" customHeight="1" thickBot="1">
      <c r="A34" s="98" t="s">
        <v>1597</v>
      </c>
      <c r="B34" s="99"/>
      <c r="C34" s="97" t="s">
        <v>1598</v>
      </c>
    </row>
    <row r="35" spans="1:3" ht="75" customHeight="1" thickBot="1">
      <c r="A35" s="98" t="s">
        <v>1599</v>
      </c>
      <c r="B35" s="99"/>
      <c r="C35" s="97" t="s">
        <v>1600</v>
      </c>
    </row>
    <row r="36" spans="1:3" ht="75" customHeight="1" thickBot="1">
      <c r="A36" s="98" t="s">
        <v>1601</v>
      </c>
      <c r="B36" s="99"/>
      <c r="C36" s="97" t="s">
        <v>1602</v>
      </c>
    </row>
    <row r="37" spans="1:3" ht="75" customHeight="1" thickBot="1">
      <c r="A37" s="98" t="s">
        <v>437</v>
      </c>
      <c r="B37" s="99"/>
      <c r="C37" s="97" t="s">
        <v>1603</v>
      </c>
    </row>
    <row r="38" spans="1:3" ht="75" customHeight="1" thickBot="1">
      <c r="A38" s="98" t="s">
        <v>626</v>
      </c>
      <c r="B38" s="99"/>
      <c r="C38" s="97" t="s">
        <v>627</v>
      </c>
    </row>
    <row r="39" spans="1:3" ht="75" customHeight="1" thickBot="1">
      <c r="A39" s="98" t="s">
        <v>620</v>
      </c>
      <c r="B39" s="99"/>
      <c r="C39" s="97" t="s">
        <v>621</v>
      </c>
    </row>
    <row r="40" spans="1:3" ht="75" customHeight="1" thickBot="1">
      <c r="A40" s="98" t="s">
        <v>660</v>
      </c>
      <c r="B40" s="99"/>
      <c r="C40" s="97" t="s">
        <v>660</v>
      </c>
    </row>
    <row r="41" spans="1:3" ht="75" customHeight="1" thickBot="1">
      <c r="A41" s="98" t="s">
        <v>563</v>
      </c>
      <c r="B41" s="99"/>
      <c r="C41" s="97" t="s">
        <v>1604</v>
      </c>
    </row>
    <row r="42" spans="1:3" ht="75" customHeight="1" thickBot="1">
      <c r="A42" s="98" t="s">
        <v>1605</v>
      </c>
      <c r="B42" s="99"/>
      <c r="C42" s="97" t="s">
        <v>1606</v>
      </c>
    </row>
    <row r="43" spans="1:3" ht="75" customHeight="1" thickBot="1">
      <c r="A43" s="98" t="s">
        <v>1607</v>
      </c>
      <c r="B43" s="99"/>
      <c r="C43" s="97" t="s">
        <v>1608</v>
      </c>
    </row>
    <row r="44" spans="1:3" ht="75" customHeight="1" thickBot="1">
      <c r="A44" s="98" t="s">
        <v>1609</v>
      </c>
      <c r="B44" s="99"/>
      <c r="C44" s="97" t="s">
        <v>1610</v>
      </c>
    </row>
    <row r="45" spans="1:3" ht="75" customHeight="1" thickBot="1">
      <c r="A45" s="98" t="s">
        <v>1611</v>
      </c>
      <c r="B45" s="99"/>
      <c r="C45" s="97" t="s">
        <v>1612</v>
      </c>
    </row>
    <row r="46" spans="1:3" ht="75" customHeight="1" thickBot="1">
      <c r="A46" s="98" t="s">
        <v>632</v>
      </c>
      <c r="B46" s="99"/>
      <c r="C46" s="97" t="s">
        <v>1613</v>
      </c>
    </row>
    <row r="47" spans="1:3" ht="75" customHeight="1" thickBot="1">
      <c r="A47" s="98" t="s">
        <v>634</v>
      </c>
      <c r="B47" s="99"/>
      <c r="C47" s="97" t="s">
        <v>635</v>
      </c>
    </row>
    <row r="48" spans="1:3" ht="75" customHeight="1" thickBot="1">
      <c r="A48" s="98" t="s">
        <v>1614</v>
      </c>
      <c r="B48" s="99"/>
      <c r="C48" s="97" t="s">
        <v>1615</v>
      </c>
    </row>
    <row r="49" spans="1:3" ht="75" customHeight="1" thickBot="1">
      <c r="A49" s="98" t="s">
        <v>1616</v>
      </c>
      <c r="B49" s="99"/>
      <c r="C49" s="97" t="s">
        <v>1617</v>
      </c>
    </row>
    <row r="50" spans="1:3" ht="75" customHeight="1" thickBot="1">
      <c r="A50" s="98" t="s">
        <v>1618</v>
      </c>
      <c r="B50" s="99"/>
      <c r="C50" s="97" t="s">
        <v>1619</v>
      </c>
    </row>
    <row r="51" spans="1:3" ht="75" customHeight="1" thickBot="1">
      <c r="A51" s="98" t="s">
        <v>1620</v>
      </c>
      <c r="B51" s="99"/>
      <c r="C51" s="97" t="s">
        <v>1621</v>
      </c>
    </row>
    <row r="52" spans="1:3" ht="75" customHeight="1" thickBot="1">
      <c r="A52" s="98" t="s">
        <v>1622</v>
      </c>
      <c r="B52" s="99"/>
      <c r="C52" s="97" t="s">
        <v>1623</v>
      </c>
    </row>
    <row r="53" spans="1:3" ht="75" customHeight="1" thickBot="1">
      <c r="A53" s="98" t="s">
        <v>1624</v>
      </c>
      <c r="B53" s="99"/>
      <c r="C53" s="97" t="s">
        <v>1625</v>
      </c>
    </row>
    <row r="54" spans="1:3" ht="75" customHeight="1" thickBot="1">
      <c r="A54" s="98" t="s">
        <v>919</v>
      </c>
      <c r="B54" s="99"/>
      <c r="C54" s="97" t="s">
        <v>1626</v>
      </c>
    </row>
    <row r="55" spans="1:3" ht="75" customHeight="1" thickBot="1">
      <c r="A55" s="98" t="s">
        <v>1627</v>
      </c>
      <c r="B55" s="99"/>
      <c r="C55" s="97" t="s">
        <v>1628</v>
      </c>
    </row>
    <row r="56" spans="1:3" ht="75" customHeight="1" thickBot="1">
      <c r="A56" s="98" t="s">
        <v>1629</v>
      </c>
      <c r="B56" s="99"/>
      <c r="C56" s="97" t="s">
        <v>1630</v>
      </c>
    </row>
    <row r="57" spans="1:3" ht="75" customHeight="1" thickBot="1">
      <c r="A57" s="98" t="s">
        <v>1631</v>
      </c>
      <c r="B57" s="99"/>
      <c r="C57" s="97" t="s">
        <v>1632</v>
      </c>
    </row>
    <row r="58" spans="1:3" ht="75" customHeight="1" thickBot="1">
      <c r="A58" s="98" t="s">
        <v>1633</v>
      </c>
      <c r="B58" s="99" t="s">
        <v>1634</v>
      </c>
      <c r="C58" s="97" t="s">
        <v>1635</v>
      </c>
    </row>
    <row r="59" spans="1:3" ht="75" customHeight="1" thickBot="1">
      <c r="A59" s="98" t="s">
        <v>1636</v>
      </c>
      <c r="B59" s="99"/>
      <c r="C59" s="97" t="s">
        <v>1637</v>
      </c>
    </row>
    <row r="60" spans="1:3" ht="75" customHeight="1" thickBot="1">
      <c r="A60" s="98" t="s">
        <v>1638</v>
      </c>
      <c r="B60" s="99" t="s">
        <v>1639</v>
      </c>
      <c r="C60" s="97" t="s">
        <v>1640</v>
      </c>
    </row>
    <row r="61" spans="1:3" ht="75" customHeight="1" thickBot="1">
      <c r="A61" s="98" t="s">
        <v>1641</v>
      </c>
      <c r="B61" s="99" t="s">
        <v>1587</v>
      </c>
      <c r="C61" s="97" t="s">
        <v>1642</v>
      </c>
    </row>
    <row r="62" spans="1:3" ht="75" customHeight="1" thickBot="1">
      <c r="A62" s="98" t="s">
        <v>1643</v>
      </c>
      <c r="B62" s="99" t="s">
        <v>1644</v>
      </c>
      <c r="C62" s="97" t="s">
        <v>1645</v>
      </c>
    </row>
    <row r="63" spans="1:3" ht="75"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45E822F-A5F1-4602-8439-911F37C4DE3E}">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89971-94BD-4BE2-9844-AB6817E38060}">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1648</v>
      </c>
    </row>
    <row r="3" spans="1:13" ht="17.25" customHeight="1">
      <c r="A3" s="263" t="s">
        <v>624</v>
      </c>
      <c r="B3" s="263"/>
      <c r="C3" s="263"/>
      <c r="D3" s="263"/>
      <c r="E3" s="263"/>
      <c r="F3" s="263"/>
      <c r="G3" s="264" t="s">
        <v>625</v>
      </c>
      <c r="H3" s="264"/>
      <c r="I3" s="264"/>
      <c r="J3" s="264"/>
      <c r="K3" s="264"/>
      <c r="L3" s="264"/>
      <c r="M3" s="264"/>
    </row>
    <row r="4" spans="1:13">
      <c r="A4" s="261"/>
      <c r="B4" s="261"/>
      <c r="C4" s="262" t="s">
        <v>1649</v>
      </c>
      <c r="D4" s="262"/>
      <c r="E4" s="262"/>
      <c r="F4" s="262"/>
      <c r="G4" s="262"/>
      <c r="H4" s="262"/>
      <c r="I4" s="262"/>
      <c r="J4" s="262"/>
      <c r="K4" s="262"/>
      <c r="L4" s="261"/>
      <c r="M4" s="261"/>
    </row>
    <row r="5" spans="1:13" ht="23.25">
      <c r="A5" s="261"/>
      <c r="B5" s="261"/>
      <c r="C5" s="102" t="s">
        <v>624</v>
      </c>
      <c r="D5" s="102" t="s">
        <v>1650</v>
      </c>
      <c r="E5" s="102" t="s">
        <v>1651</v>
      </c>
      <c r="F5" s="102" t="s">
        <v>1652</v>
      </c>
      <c r="G5" s="102" t="s">
        <v>1653</v>
      </c>
      <c r="H5" s="102" t="s">
        <v>1654</v>
      </c>
      <c r="I5" s="102" t="s">
        <v>1655</v>
      </c>
      <c r="J5" s="102" t="s">
        <v>1656</v>
      </c>
      <c r="K5" s="102" t="s">
        <v>624</v>
      </c>
      <c r="L5" s="261"/>
      <c r="M5" s="261"/>
    </row>
    <row r="6" spans="1:13" ht="15.75" thickBot="1">
      <c r="A6" s="254" t="s">
        <v>1657</v>
      </c>
      <c r="B6" s="103" t="s">
        <v>1658</v>
      </c>
      <c r="C6" s="104">
        <v>172958</v>
      </c>
      <c r="D6" s="104"/>
      <c r="E6" s="105"/>
      <c r="F6" s="104"/>
      <c r="G6" s="104">
        <v>11275</v>
      </c>
      <c r="H6" s="104"/>
      <c r="I6" s="104"/>
      <c r="J6" s="105"/>
      <c r="K6" s="104">
        <v>184233</v>
      </c>
      <c r="L6" s="106" t="s">
        <v>1659</v>
      </c>
      <c r="M6" s="257" t="s">
        <v>1660</v>
      </c>
    </row>
    <row r="7" spans="1:13" ht="26.25" thickBot="1">
      <c r="A7" s="254"/>
      <c r="B7" s="103" t="s">
        <v>1661</v>
      </c>
      <c r="C7" s="104">
        <v>700505</v>
      </c>
      <c r="D7" s="104"/>
      <c r="E7" s="105"/>
      <c r="F7" s="104">
        <v>994</v>
      </c>
      <c r="G7" s="104">
        <v>45667</v>
      </c>
      <c r="H7" s="104"/>
      <c r="I7" s="104"/>
      <c r="J7" s="105"/>
      <c r="K7" s="104">
        <v>747166</v>
      </c>
      <c r="L7" s="106" t="s">
        <v>1662</v>
      </c>
      <c r="M7" s="257"/>
    </row>
    <row r="8" spans="1:13" ht="15.75" thickBot="1">
      <c r="A8" s="254"/>
      <c r="B8" s="103" t="s">
        <v>1663</v>
      </c>
      <c r="C8" s="104">
        <v>6474652</v>
      </c>
      <c r="D8" s="104">
        <v>348</v>
      </c>
      <c r="E8" s="105"/>
      <c r="F8" s="104">
        <v>35186</v>
      </c>
      <c r="G8" s="104">
        <v>402390</v>
      </c>
      <c r="H8" s="104"/>
      <c r="I8" s="104"/>
      <c r="J8" s="105"/>
      <c r="K8" s="104">
        <v>6912576</v>
      </c>
      <c r="L8" s="106" t="s">
        <v>1664</v>
      </c>
      <c r="M8" s="257"/>
    </row>
    <row r="9" spans="1:13" ht="15.75" thickBot="1">
      <c r="A9" s="254"/>
      <c r="B9" s="103" t="s">
        <v>1665</v>
      </c>
      <c r="C9" s="104"/>
      <c r="D9" s="104"/>
      <c r="E9" s="105"/>
      <c r="F9" s="104"/>
      <c r="G9" s="104"/>
      <c r="H9" s="104"/>
      <c r="I9" s="104"/>
      <c r="J9" s="105"/>
      <c r="K9" s="104"/>
      <c r="L9" s="106" t="s">
        <v>1666</v>
      </c>
      <c r="M9" s="257"/>
    </row>
    <row r="10" spans="1:13" ht="15.75" thickBot="1">
      <c r="A10" s="254"/>
      <c r="B10" s="103" t="s">
        <v>1667</v>
      </c>
      <c r="C10" s="104">
        <v>15823</v>
      </c>
      <c r="D10" s="104"/>
      <c r="E10" s="105">
        <v>1799</v>
      </c>
      <c r="F10" s="104"/>
      <c r="G10" s="104">
        <v>1037</v>
      </c>
      <c r="H10" s="104"/>
      <c r="I10" s="104"/>
      <c r="J10" s="105"/>
      <c r="K10" s="104">
        <v>15061</v>
      </c>
      <c r="L10" s="106" t="s">
        <v>1668</v>
      </c>
      <c r="M10" s="257"/>
    </row>
    <row r="11" spans="1:13" ht="26.25" thickBot="1">
      <c r="A11" s="254"/>
      <c r="B11" s="103" t="s">
        <v>1669</v>
      </c>
      <c r="C11" s="104">
        <v>290333</v>
      </c>
      <c r="D11" s="104">
        <v>1014</v>
      </c>
      <c r="E11" s="105">
        <v>5295</v>
      </c>
      <c r="F11" s="104">
        <v>155</v>
      </c>
      <c r="G11" s="104">
        <v>18928</v>
      </c>
      <c r="H11" s="104"/>
      <c r="I11" s="104"/>
      <c r="J11" s="105"/>
      <c r="K11" s="104">
        <v>305135</v>
      </c>
      <c r="L11" s="106" t="s">
        <v>1670</v>
      </c>
      <c r="M11" s="257"/>
    </row>
    <row r="12" spans="1:13" ht="15.75" thickBot="1">
      <c r="A12" s="254"/>
      <c r="B12" s="103" t="s">
        <v>1671</v>
      </c>
      <c r="C12" s="104"/>
      <c r="D12" s="104"/>
      <c r="E12" s="105"/>
      <c r="F12" s="104"/>
      <c r="G12" s="104"/>
      <c r="H12" s="104"/>
      <c r="I12" s="104"/>
      <c r="J12" s="105"/>
      <c r="K12" s="104"/>
      <c r="L12" s="106" t="s">
        <v>1672</v>
      </c>
      <c r="M12" s="257"/>
    </row>
    <row r="13" spans="1:13" ht="15.75" thickBot="1">
      <c r="A13" s="254"/>
      <c r="B13" s="103" t="s">
        <v>1673</v>
      </c>
      <c r="C13" s="104"/>
      <c r="D13" s="104"/>
      <c r="E13" s="105"/>
      <c r="F13" s="104"/>
      <c r="G13" s="104"/>
      <c r="H13" s="104"/>
      <c r="I13" s="104"/>
      <c r="J13" s="105"/>
      <c r="K13" s="104"/>
      <c r="L13" s="106" t="s">
        <v>1674</v>
      </c>
      <c r="M13" s="257"/>
    </row>
    <row r="14" spans="1:13" ht="15.75" thickBot="1">
      <c r="A14" s="254"/>
      <c r="B14" s="103" t="s">
        <v>1675</v>
      </c>
      <c r="C14" s="104"/>
      <c r="D14" s="104"/>
      <c r="E14" s="105"/>
      <c r="F14" s="104"/>
      <c r="G14" s="104"/>
      <c r="H14" s="104"/>
      <c r="I14" s="104"/>
      <c r="J14" s="105"/>
      <c r="K14" s="104"/>
      <c r="L14" s="106" t="s">
        <v>1676</v>
      </c>
      <c r="M14" s="257"/>
    </row>
    <row r="15" spans="1:13" ht="15.75" thickBot="1">
      <c r="A15" s="254"/>
      <c r="B15" s="103" t="s">
        <v>1677</v>
      </c>
      <c r="C15" s="104"/>
      <c r="D15" s="104"/>
      <c r="E15" s="105"/>
      <c r="F15" s="104"/>
      <c r="G15" s="104"/>
      <c r="H15" s="104"/>
      <c r="I15" s="104"/>
      <c r="J15" s="105"/>
      <c r="K15" s="104"/>
      <c r="L15" s="106" t="s">
        <v>1678</v>
      </c>
      <c r="M15" s="257"/>
    </row>
    <row r="16" spans="1:13" ht="15.75" thickBot="1">
      <c r="A16" s="254"/>
      <c r="B16" s="103" t="s">
        <v>1679</v>
      </c>
      <c r="C16" s="104"/>
      <c r="D16" s="104"/>
      <c r="E16" s="105"/>
      <c r="F16" s="104"/>
      <c r="G16" s="104"/>
      <c r="H16" s="104"/>
      <c r="I16" s="104"/>
      <c r="J16" s="105"/>
      <c r="K16" s="104"/>
      <c r="L16" s="106" t="s">
        <v>1680</v>
      </c>
      <c r="M16" s="257"/>
    </row>
    <row r="17" spans="1:13" ht="26.25" thickBot="1">
      <c r="A17" s="254"/>
      <c r="B17" s="103" t="s">
        <v>1681</v>
      </c>
      <c r="C17" s="104"/>
      <c r="D17" s="104"/>
      <c r="E17" s="105"/>
      <c r="F17" s="104"/>
      <c r="G17" s="104"/>
      <c r="H17" s="104"/>
      <c r="I17" s="104"/>
      <c r="J17" s="105"/>
      <c r="K17" s="104"/>
      <c r="L17" s="106" t="s">
        <v>1682</v>
      </c>
      <c r="M17" s="257"/>
    </row>
    <row r="18" spans="1:13" ht="15.75" thickBot="1">
      <c r="A18" s="254"/>
      <c r="B18" s="103" t="s">
        <v>1683</v>
      </c>
      <c r="C18" s="104"/>
      <c r="D18" s="104"/>
      <c r="E18" s="105"/>
      <c r="F18" s="104"/>
      <c r="G18" s="104"/>
      <c r="H18" s="104"/>
      <c r="I18" s="104"/>
      <c r="J18" s="105"/>
      <c r="K18" s="104"/>
      <c r="L18" s="106" t="s">
        <v>1684</v>
      </c>
      <c r="M18" s="257"/>
    </row>
    <row r="19" spans="1:13" ht="15.75" thickBot="1">
      <c r="A19" s="254"/>
      <c r="B19" s="103" t="s">
        <v>1685</v>
      </c>
      <c r="C19" s="104"/>
      <c r="D19" s="104"/>
      <c r="E19" s="105"/>
      <c r="F19" s="104"/>
      <c r="G19" s="104"/>
      <c r="H19" s="104"/>
      <c r="I19" s="104"/>
      <c r="J19" s="105"/>
      <c r="K19" s="104"/>
      <c r="L19" s="106" t="s">
        <v>1686</v>
      </c>
      <c r="M19" s="257"/>
    </row>
    <row r="20" spans="1:13" ht="15.75" thickBot="1">
      <c r="A20" s="254"/>
      <c r="B20" s="103" t="s">
        <v>1687</v>
      </c>
      <c r="C20" s="104">
        <v>7654271</v>
      </c>
      <c r="D20" s="104">
        <v>1362</v>
      </c>
      <c r="E20" s="105">
        <v>7094</v>
      </c>
      <c r="F20" s="104">
        <v>36335</v>
      </c>
      <c r="G20" s="104">
        <v>479297</v>
      </c>
      <c r="H20" s="104">
        <v>0</v>
      </c>
      <c r="I20" s="104">
        <v>0</v>
      </c>
      <c r="J20" s="105"/>
      <c r="K20" s="104">
        <v>8164171</v>
      </c>
      <c r="L20" s="106" t="s">
        <v>1688</v>
      </c>
      <c r="M20" s="257"/>
    </row>
    <row r="21" spans="1:13" ht="15.75" thickBot="1">
      <c r="A21" s="254"/>
      <c r="B21" s="103" t="s">
        <v>1689</v>
      </c>
      <c r="C21" s="104"/>
      <c r="D21" s="104"/>
      <c r="E21" s="105"/>
      <c r="F21" s="104"/>
      <c r="G21" s="104"/>
      <c r="H21" s="104"/>
      <c r="I21" s="104"/>
      <c r="J21" s="105"/>
      <c r="K21" s="104"/>
      <c r="L21" s="106" t="s">
        <v>1690</v>
      </c>
      <c r="M21" s="257"/>
    </row>
    <row r="22" spans="1:13" ht="26.25" thickBot="1">
      <c r="A22" s="254"/>
      <c r="B22" s="103" t="s">
        <v>1691</v>
      </c>
      <c r="C22" s="104"/>
      <c r="D22" s="104"/>
      <c r="E22" s="105"/>
      <c r="F22" s="104"/>
      <c r="G22" s="104"/>
      <c r="H22" s="104"/>
      <c r="I22" s="104"/>
      <c r="J22" s="105"/>
      <c r="K22" s="104"/>
      <c r="L22" s="106" t="s">
        <v>1692</v>
      </c>
      <c r="M22" s="257"/>
    </row>
    <row r="23" spans="1:13" ht="15.75" thickBot="1">
      <c r="A23" s="254"/>
      <c r="B23" s="103" t="s">
        <v>1693</v>
      </c>
      <c r="C23" s="104"/>
      <c r="D23" s="104"/>
      <c r="E23" s="105"/>
      <c r="F23" s="104"/>
      <c r="G23" s="104"/>
      <c r="H23" s="104"/>
      <c r="I23" s="104"/>
      <c r="J23" s="105"/>
      <c r="K23" s="104"/>
      <c r="L23" s="106" t="s">
        <v>1694</v>
      </c>
      <c r="M23" s="257"/>
    </row>
    <row r="24" spans="1:13" ht="15.75" thickBot="1">
      <c r="A24" s="254"/>
      <c r="B24" s="103" t="s">
        <v>1695</v>
      </c>
      <c r="C24" s="104"/>
      <c r="D24" s="104"/>
      <c r="E24" s="105"/>
      <c r="F24" s="104"/>
      <c r="G24" s="104"/>
      <c r="H24" s="104"/>
      <c r="I24" s="104"/>
      <c r="J24" s="105"/>
      <c r="K24" s="104"/>
      <c r="L24" s="106" t="s">
        <v>1696</v>
      </c>
      <c r="M24" s="257"/>
    </row>
    <row r="25" spans="1:13" ht="26.25" thickBot="1">
      <c r="A25" s="254"/>
      <c r="B25" s="103" t="s">
        <v>1697</v>
      </c>
      <c r="C25" s="104"/>
      <c r="D25" s="104"/>
      <c r="E25" s="105"/>
      <c r="F25" s="104"/>
      <c r="G25" s="104"/>
      <c r="H25" s="104"/>
      <c r="I25" s="104"/>
      <c r="J25" s="105"/>
      <c r="K25" s="104"/>
      <c r="L25" s="106" t="s">
        <v>1698</v>
      </c>
      <c r="M25" s="257"/>
    </row>
    <row r="26" spans="1:13" ht="15.75" thickBot="1">
      <c r="A26" s="254"/>
      <c r="B26" s="103" t="s">
        <v>1699</v>
      </c>
      <c r="C26" s="104"/>
      <c r="D26" s="104"/>
      <c r="E26" s="105"/>
      <c r="F26" s="104"/>
      <c r="G26" s="104"/>
      <c r="H26" s="104"/>
      <c r="I26" s="104"/>
      <c r="J26" s="105"/>
      <c r="K26" s="104"/>
      <c r="L26" s="106" t="s">
        <v>1700</v>
      </c>
      <c r="M26" s="257"/>
    </row>
    <row r="27" spans="1:13" ht="15.75" thickBot="1">
      <c r="A27" s="254"/>
      <c r="B27" s="103" t="s">
        <v>1701</v>
      </c>
      <c r="C27" s="104"/>
      <c r="D27" s="104"/>
      <c r="E27" s="105"/>
      <c r="F27" s="104"/>
      <c r="G27" s="104"/>
      <c r="H27" s="104"/>
      <c r="I27" s="104"/>
      <c r="J27" s="105"/>
      <c r="K27" s="104"/>
      <c r="L27" s="106" t="s">
        <v>1702</v>
      </c>
      <c r="M27" s="257"/>
    </row>
    <row r="28" spans="1:13" ht="15.75" thickBot="1">
      <c r="A28" s="254"/>
      <c r="B28" s="103" t="s">
        <v>1703</v>
      </c>
      <c r="C28" s="104"/>
      <c r="D28" s="104"/>
      <c r="E28" s="105"/>
      <c r="F28" s="104"/>
      <c r="G28" s="104"/>
      <c r="H28" s="104"/>
      <c r="I28" s="104"/>
      <c r="J28" s="105"/>
      <c r="K28" s="104"/>
      <c r="L28" s="106" t="s">
        <v>1704</v>
      </c>
      <c r="M28" s="257"/>
    </row>
    <row r="29" spans="1:13" ht="15.75" thickBot="1">
      <c r="A29" s="254"/>
      <c r="B29" s="103" t="s">
        <v>1705</v>
      </c>
      <c r="C29" s="104"/>
      <c r="D29" s="104"/>
      <c r="E29" s="105"/>
      <c r="F29" s="104"/>
      <c r="G29" s="104"/>
      <c r="H29" s="104"/>
      <c r="I29" s="104"/>
      <c r="J29" s="105"/>
      <c r="K29" s="104"/>
      <c r="L29" s="106" t="s">
        <v>1706</v>
      </c>
      <c r="M29" s="257"/>
    </row>
    <row r="30" spans="1:13" ht="15.75" thickBot="1">
      <c r="A30" s="254"/>
      <c r="B30" s="103" t="s">
        <v>1707</v>
      </c>
      <c r="C30" s="104"/>
      <c r="D30" s="104"/>
      <c r="E30" s="105"/>
      <c r="F30" s="104"/>
      <c r="G30" s="104"/>
      <c r="H30" s="104"/>
      <c r="I30" s="104"/>
      <c r="J30" s="105"/>
      <c r="K30" s="104"/>
      <c r="L30" s="106" t="s">
        <v>1708</v>
      </c>
      <c r="M30" s="257"/>
    </row>
    <row r="31" spans="1:13" ht="26.25" thickBot="1">
      <c r="A31" s="254"/>
      <c r="B31" s="103" t="s">
        <v>1709</v>
      </c>
      <c r="C31" s="104"/>
      <c r="D31" s="104"/>
      <c r="E31" s="105"/>
      <c r="F31" s="104"/>
      <c r="G31" s="104"/>
      <c r="H31" s="104"/>
      <c r="I31" s="104"/>
      <c r="J31" s="105"/>
      <c r="K31" s="104"/>
      <c r="L31" s="106" t="s">
        <v>1710</v>
      </c>
      <c r="M31" s="257"/>
    </row>
    <row r="32" spans="1:13" ht="15.75" thickBot="1">
      <c r="A32" s="254"/>
      <c r="B32" s="103" t="s">
        <v>1711</v>
      </c>
      <c r="C32" s="104"/>
      <c r="D32" s="104"/>
      <c r="E32" s="105"/>
      <c r="F32" s="104"/>
      <c r="G32" s="104"/>
      <c r="H32" s="104"/>
      <c r="I32" s="104"/>
      <c r="J32" s="105"/>
      <c r="K32" s="104"/>
      <c r="L32" s="106" t="s">
        <v>1712</v>
      </c>
      <c r="M32" s="257"/>
    </row>
    <row r="33" spans="1:13" ht="15.75" thickBot="1">
      <c r="A33" s="254"/>
      <c r="B33" s="103" t="s">
        <v>1713</v>
      </c>
      <c r="C33" s="104"/>
      <c r="D33" s="104"/>
      <c r="E33" s="105"/>
      <c r="F33" s="104"/>
      <c r="G33" s="104"/>
      <c r="H33" s="104"/>
      <c r="I33" s="104"/>
      <c r="J33" s="105"/>
      <c r="K33" s="104"/>
      <c r="L33" s="106" t="s">
        <v>1714</v>
      </c>
      <c r="M33" s="257"/>
    </row>
    <row r="34" spans="1:13" ht="15.75" thickBot="1">
      <c r="A34" s="254"/>
      <c r="B34" s="103" t="s">
        <v>626</v>
      </c>
      <c r="C34" s="104"/>
      <c r="D34" s="104"/>
      <c r="E34" s="105"/>
      <c r="F34" s="104"/>
      <c r="G34" s="104"/>
      <c r="H34" s="104"/>
      <c r="I34" s="104"/>
      <c r="J34" s="105"/>
      <c r="K34" s="104"/>
      <c r="L34" s="106" t="s">
        <v>627</v>
      </c>
      <c r="M34" s="257"/>
    </row>
    <row r="35" spans="1:13" ht="15.75" thickBot="1">
      <c r="A35" s="254"/>
      <c r="B35" s="103" t="s">
        <v>1715</v>
      </c>
      <c r="C35" s="104"/>
      <c r="D35" s="104"/>
      <c r="E35" s="105"/>
      <c r="F35" s="104"/>
      <c r="G35" s="104"/>
      <c r="H35" s="104"/>
      <c r="I35" s="104"/>
      <c r="J35" s="105"/>
      <c r="K35" s="104"/>
      <c r="L35" s="106" t="s">
        <v>1716</v>
      </c>
      <c r="M35" s="257"/>
    </row>
    <row r="36" spans="1:13" ht="26.25" thickBot="1">
      <c r="A36" s="254"/>
      <c r="B36" s="103" t="s">
        <v>1717</v>
      </c>
      <c r="C36" s="104">
        <v>95804</v>
      </c>
      <c r="D36" s="104">
        <v>38997</v>
      </c>
      <c r="E36" s="105"/>
      <c r="F36" s="104">
        <v>-36335</v>
      </c>
      <c r="G36" s="104">
        <v>9054</v>
      </c>
      <c r="H36" s="104"/>
      <c r="I36" s="104"/>
      <c r="J36" s="105"/>
      <c r="K36" s="104">
        <v>107520</v>
      </c>
      <c r="L36" s="106" t="s">
        <v>1718</v>
      </c>
      <c r="M36" s="257"/>
    </row>
    <row r="37" spans="1:13" ht="26.25" thickBot="1">
      <c r="A37" s="254"/>
      <c r="B37" s="103" t="s">
        <v>1719</v>
      </c>
      <c r="C37" s="104"/>
      <c r="D37" s="104"/>
      <c r="E37" s="105"/>
      <c r="F37" s="104"/>
      <c r="G37" s="104"/>
      <c r="H37" s="104"/>
      <c r="I37" s="104"/>
      <c r="J37" s="105"/>
      <c r="K37" s="104"/>
      <c r="L37" s="106" t="s">
        <v>1720</v>
      </c>
      <c r="M37" s="257"/>
    </row>
    <row r="38" spans="1:13" ht="26.25" thickBot="1">
      <c r="A38" s="254"/>
      <c r="B38" s="103" t="s">
        <v>1721</v>
      </c>
      <c r="C38" s="104"/>
      <c r="D38" s="104"/>
      <c r="E38" s="105"/>
      <c r="F38" s="104"/>
      <c r="G38" s="104"/>
      <c r="H38" s="104"/>
      <c r="I38" s="104"/>
      <c r="J38" s="105"/>
      <c r="K38" s="104"/>
      <c r="L38" s="106" t="s">
        <v>1722</v>
      </c>
      <c r="M38" s="257"/>
    </row>
    <row r="39" spans="1:13" ht="26.25" thickBot="1">
      <c r="A39" s="254"/>
      <c r="B39" s="103" t="s">
        <v>1723</v>
      </c>
      <c r="C39" s="104"/>
      <c r="D39" s="104"/>
      <c r="E39" s="105"/>
      <c r="F39" s="104"/>
      <c r="G39" s="104"/>
      <c r="H39" s="104"/>
      <c r="I39" s="104"/>
      <c r="J39" s="105"/>
      <c r="K39" s="104"/>
      <c r="L39" s="106" t="s">
        <v>1724</v>
      </c>
      <c r="M39" s="257"/>
    </row>
    <row r="40" spans="1:13" ht="26.25" thickBot="1">
      <c r="A40" s="254"/>
      <c r="B40" s="103" t="s">
        <v>1725</v>
      </c>
      <c r="C40" s="104"/>
      <c r="D40" s="104"/>
      <c r="E40" s="105"/>
      <c r="F40" s="104"/>
      <c r="G40" s="104"/>
      <c r="H40" s="104"/>
      <c r="I40" s="104"/>
      <c r="J40" s="105"/>
      <c r="K40" s="104"/>
      <c r="L40" s="106" t="s">
        <v>1726</v>
      </c>
      <c r="M40" s="257"/>
    </row>
    <row r="41" spans="1:13" ht="15.75" thickBot="1">
      <c r="A41" s="254"/>
      <c r="B41" s="103" t="s">
        <v>1727</v>
      </c>
      <c r="C41" s="104"/>
      <c r="D41" s="104"/>
      <c r="E41" s="105"/>
      <c r="F41" s="104"/>
      <c r="G41" s="104"/>
      <c r="H41" s="104"/>
      <c r="I41" s="104"/>
      <c r="J41" s="105"/>
      <c r="K41" s="104"/>
      <c r="L41" s="106" t="s">
        <v>1728</v>
      </c>
      <c r="M41" s="257"/>
    </row>
    <row r="42" spans="1:13" ht="15.75" thickBot="1">
      <c r="A42" s="254"/>
      <c r="B42" s="103" t="s">
        <v>1729</v>
      </c>
      <c r="C42" s="104">
        <v>95804</v>
      </c>
      <c r="D42" s="104">
        <v>38997</v>
      </c>
      <c r="E42" s="105"/>
      <c r="F42" s="104">
        <v>-36335</v>
      </c>
      <c r="G42" s="104">
        <v>9054</v>
      </c>
      <c r="H42" s="104"/>
      <c r="I42" s="104"/>
      <c r="J42" s="105"/>
      <c r="K42" s="104">
        <v>107520</v>
      </c>
      <c r="L42" s="106" t="s">
        <v>1730</v>
      </c>
      <c r="M42" s="257"/>
    </row>
    <row r="43" spans="1:13" ht="15.75" thickBot="1">
      <c r="A43" s="255"/>
      <c r="B43" s="103" t="s">
        <v>624</v>
      </c>
      <c r="C43" s="104">
        <v>7750075</v>
      </c>
      <c r="D43" s="104">
        <v>40359</v>
      </c>
      <c r="E43" s="105">
        <v>7094</v>
      </c>
      <c r="F43" s="104">
        <v>0</v>
      </c>
      <c r="G43" s="104">
        <v>488351</v>
      </c>
      <c r="H43" s="104"/>
      <c r="I43" s="104"/>
      <c r="J43" s="105"/>
      <c r="K43" s="104">
        <v>8271691</v>
      </c>
      <c r="L43" s="106" t="s">
        <v>625</v>
      </c>
      <c r="M43" s="258"/>
    </row>
    <row r="44" spans="1:13" ht="15.75" thickBot="1">
      <c r="A44" s="253" t="s">
        <v>1731</v>
      </c>
      <c r="B44" s="103" t="s">
        <v>1658</v>
      </c>
      <c r="C44" s="104"/>
      <c r="D44" s="104"/>
      <c r="E44" s="105"/>
      <c r="F44" s="104"/>
      <c r="G44" s="104"/>
      <c r="H44" s="104"/>
      <c r="I44" s="104"/>
      <c r="J44" s="105"/>
      <c r="K44" s="104"/>
      <c r="L44" s="106" t="s">
        <v>1659</v>
      </c>
      <c r="M44" s="256" t="s">
        <v>1732</v>
      </c>
    </row>
    <row r="45" spans="1:13" ht="26.25" thickBot="1">
      <c r="A45" s="254"/>
      <c r="B45" s="103" t="s">
        <v>1661</v>
      </c>
      <c r="C45" s="104">
        <v>325506</v>
      </c>
      <c r="D45" s="104">
        <v>16168</v>
      </c>
      <c r="E45" s="105"/>
      <c r="F45" s="104"/>
      <c r="G45" s="104">
        <v>21220</v>
      </c>
      <c r="H45" s="104"/>
      <c r="I45" s="104"/>
      <c r="J45" s="105"/>
      <c r="K45" s="104">
        <v>362894</v>
      </c>
      <c r="L45" s="106" t="s">
        <v>1662</v>
      </c>
      <c r="M45" s="257"/>
    </row>
    <row r="46" spans="1:13" ht="15.75" thickBot="1">
      <c r="A46" s="254"/>
      <c r="B46" s="103" t="s">
        <v>1663</v>
      </c>
      <c r="C46" s="104">
        <v>3839682</v>
      </c>
      <c r="D46" s="104">
        <v>110723</v>
      </c>
      <c r="E46" s="105"/>
      <c r="F46" s="104"/>
      <c r="G46" s="104">
        <v>251629</v>
      </c>
      <c r="H46" s="104"/>
      <c r="I46" s="104"/>
      <c r="J46" s="105"/>
      <c r="K46" s="104">
        <v>4202034</v>
      </c>
      <c r="L46" s="106" t="s">
        <v>1664</v>
      </c>
      <c r="M46" s="257"/>
    </row>
    <row r="47" spans="1:13" ht="15.75" thickBot="1">
      <c r="A47" s="254"/>
      <c r="B47" s="103" t="s">
        <v>1665</v>
      </c>
      <c r="C47" s="104"/>
      <c r="D47" s="104"/>
      <c r="E47" s="105"/>
      <c r="F47" s="104"/>
      <c r="G47" s="104"/>
      <c r="H47" s="104"/>
      <c r="I47" s="104"/>
      <c r="J47" s="105"/>
      <c r="K47" s="104"/>
      <c r="L47" s="106" t="s">
        <v>1666</v>
      </c>
      <c r="M47" s="257"/>
    </row>
    <row r="48" spans="1:13" ht="15.75" thickBot="1">
      <c r="A48" s="254"/>
      <c r="B48" s="103" t="s">
        <v>1667</v>
      </c>
      <c r="C48" s="104">
        <v>14731</v>
      </c>
      <c r="D48" s="104">
        <v>252</v>
      </c>
      <c r="E48" s="105">
        <v>1799</v>
      </c>
      <c r="F48" s="104"/>
      <c r="G48" s="104">
        <v>961</v>
      </c>
      <c r="H48" s="104"/>
      <c r="I48" s="104"/>
      <c r="J48" s="105"/>
      <c r="K48" s="104">
        <v>14145</v>
      </c>
      <c r="L48" s="106" t="s">
        <v>1668</v>
      </c>
      <c r="M48" s="257"/>
    </row>
    <row r="49" spans="1:13" ht="26.25" thickBot="1">
      <c r="A49" s="254"/>
      <c r="B49" s="103" t="s">
        <v>1669</v>
      </c>
      <c r="C49" s="104">
        <v>254240</v>
      </c>
      <c r="D49" s="104">
        <v>7292</v>
      </c>
      <c r="E49" s="105">
        <v>4046</v>
      </c>
      <c r="F49" s="104"/>
      <c r="G49" s="104">
        <v>16574</v>
      </c>
      <c r="H49" s="104"/>
      <c r="I49" s="104"/>
      <c r="J49" s="105"/>
      <c r="K49" s="104">
        <v>274060</v>
      </c>
      <c r="L49" s="106" t="s">
        <v>1670</v>
      </c>
      <c r="M49" s="257"/>
    </row>
    <row r="50" spans="1:13" ht="15.75" thickBot="1">
      <c r="A50" s="254"/>
      <c r="B50" s="103" t="s">
        <v>1671</v>
      </c>
      <c r="C50" s="104"/>
      <c r="D50" s="104"/>
      <c r="E50" s="105"/>
      <c r="F50" s="104"/>
      <c r="G50" s="104"/>
      <c r="H50" s="104"/>
      <c r="I50" s="104"/>
      <c r="J50" s="105"/>
      <c r="K50" s="104"/>
      <c r="L50" s="106" t="s">
        <v>1672</v>
      </c>
      <c r="M50" s="257"/>
    </row>
    <row r="51" spans="1:13" ht="15.75" thickBot="1">
      <c r="A51" s="254"/>
      <c r="B51" s="103" t="s">
        <v>1673</v>
      </c>
      <c r="C51" s="104"/>
      <c r="D51" s="104"/>
      <c r="E51" s="105"/>
      <c r="F51" s="104"/>
      <c r="G51" s="104"/>
      <c r="H51" s="104"/>
      <c r="I51" s="104"/>
      <c r="J51" s="105"/>
      <c r="K51" s="104"/>
      <c r="L51" s="106" t="s">
        <v>1674</v>
      </c>
      <c r="M51" s="257"/>
    </row>
    <row r="52" spans="1:13" ht="15.75" thickBot="1">
      <c r="A52" s="254"/>
      <c r="B52" s="103" t="s">
        <v>1675</v>
      </c>
      <c r="C52" s="104"/>
      <c r="D52" s="104"/>
      <c r="E52" s="105"/>
      <c r="F52" s="104"/>
      <c r="G52" s="104"/>
      <c r="H52" s="104"/>
      <c r="I52" s="104"/>
      <c r="J52" s="105"/>
      <c r="K52" s="104"/>
      <c r="L52" s="106" t="s">
        <v>1676</v>
      </c>
      <c r="M52" s="257"/>
    </row>
    <row r="53" spans="1:13" ht="15.75" thickBot="1">
      <c r="A53" s="254"/>
      <c r="B53" s="103" t="s">
        <v>1677</v>
      </c>
      <c r="C53" s="104"/>
      <c r="D53" s="104"/>
      <c r="E53" s="105"/>
      <c r="F53" s="104"/>
      <c r="G53" s="104"/>
      <c r="H53" s="104"/>
      <c r="I53" s="104"/>
      <c r="J53" s="105"/>
      <c r="K53" s="104"/>
      <c r="L53" s="106" t="s">
        <v>1678</v>
      </c>
      <c r="M53" s="257"/>
    </row>
    <row r="54" spans="1:13" ht="15.75" thickBot="1">
      <c r="A54" s="254"/>
      <c r="B54" s="103" t="s">
        <v>1679</v>
      </c>
      <c r="C54" s="104"/>
      <c r="D54" s="104"/>
      <c r="E54" s="105"/>
      <c r="F54" s="104"/>
      <c r="G54" s="104"/>
      <c r="H54" s="104"/>
      <c r="I54" s="104"/>
      <c r="J54" s="105"/>
      <c r="K54" s="104"/>
      <c r="L54" s="106" t="s">
        <v>1680</v>
      </c>
      <c r="M54" s="257"/>
    </row>
    <row r="55" spans="1:13" ht="26.25" thickBot="1">
      <c r="A55" s="254"/>
      <c r="B55" s="103" t="s">
        <v>1681</v>
      </c>
      <c r="C55" s="104"/>
      <c r="D55" s="104"/>
      <c r="E55" s="105"/>
      <c r="F55" s="104"/>
      <c r="G55" s="104"/>
      <c r="H55" s="104"/>
      <c r="I55" s="104"/>
      <c r="J55" s="105"/>
      <c r="K55" s="104"/>
      <c r="L55" s="106" t="s">
        <v>1682</v>
      </c>
      <c r="M55" s="257"/>
    </row>
    <row r="56" spans="1:13" ht="15.75" thickBot="1">
      <c r="A56" s="254"/>
      <c r="B56" s="103" t="s">
        <v>1683</v>
      </c>
      <c r="C56" s="104"/>
      <c r="D56" s="104"/>
      <c r="E56" s="105"/>
      <c r="F56" s="104"/>
      <c r="G56" s="104"/>
      <c r="H56" s="104"/>
      <c r="I56" s="104"/>
      <c r="J56" s="105"/>
      <c r="K56" s="104"/>
      <c r="L56" s="106" t="s">
        <v>1684</v>
      </c>
      <c r="M56" s="257"/>
    </row>
    <row r="57" spans="1:13" ht="15.75" thickBot="1">
      <c r="A57" s="254"/>
      <c r="B57" s="103" t="s">
        <v>1685</v>
      </c>
      <c r="C57" s="104"/>
      <c r="D57" s="104"/>
      <c r="E57" s="105"/>
      <c r="F57" s="104"/>
      <c r="G57" s="104"/>
      <c r="H57" s="104"/>
      <c r="I57" s="104"/>
      <c r="J57" s="105"/>
      <c r="K57" s="104"/>
      <c r="L57" s="106" t="s">
        <v>1686</v>
      </c>
      <c r="M57" s="257"/>
    </row>
    <row r="58" spans="1:13" ht="15.75" thickBot="1">
      <c r="A58" s="254"/>
      <c r="B58" s="103" t="s">
        <v>1687</v>
      </c>
      <c r="C58" s="104">
        <v>4434159</v>
      </c>
      <c r="D58" s="104">
        <v>134435</v>
      </c>
      <c r="E58" s="105">
        <v>5845</v>
      </c>
      <c r="F58" s="104">
        <v>0</v>
      </c>
      <c r="G58" s="104">
        <v>290384</v>
      </c>
      <c r="H58" s="104">
        <v>0</v>
      </c>
      <c r="I58" s="104">
        <v>0</v>
      </c>
      <c r="J58" s="105"/>
      <c r="K58" s="104">
        <v>4853133</v>
      </c>
      <c r="L58" s="106" t="s">
        <v>1688</v>
      </c>
      <c r="M58" s="257"/>
    </row>
    <row r="59" spans="1:13" ht="15.75" thickBot="1">
      <c r="A59" s="254"/>
      <c r="B59" s="103" t="s">
        <v>1689</v>
      </c>
      <c r="C59" s="104"/>
      <c r="D59" s="104"/>
      <c r="E59" s="105"/>
      <c r="F59" s="104"/>
      <c r="G59" s="104"/>
      <c r="H59" s="104"/>
      <c r="I59" s="104"/>
      <c r="J59" s="105"/>
      <c r="K59" s="104"/>
      <c r="L59" s="106" t="s">
        <v>1690</v>
      </c>
      <c r="M59" s="257"/>
    </row>
    <row r="60" spans="1:13" ht="26.25" thickBot="1">
      <c r="A60" s="254"/>
      <c r="B60" s="103" t="s">
        <v>1691</v>
      </c>
      <c r="C60" s="104"/>
      <c r="D60" s="104"/>
      <c r="E60" s="105"/>
      <c r="F60" s="104"/>
      <c r="G60" s="104"/>
      <c r="H60" s="104"/>
      <c r="I60" s="104"/>
      <c r="J60" s="105"/>
      <c r="K60" s="104"/>
      <c r="L60" s="106" t="s">
        <v>1692</v>
      </c>
      <c r="M60" s="257"/>
    </row>
    <row r="61" spans="1:13" ht="15.75" thickBot="1">
      <c r="A61" s="254"/>
      <c r="B61" s="103" t="s">
        <v>1693</v>
      </c>
      <c r="C61" s="104"/>
      <c r="D61" s="104"/>
      <c r="E61" s="105"/>
      <c r="F61" s="104"/>
      <c r="G61" s="104"/>
      <c r="H61" s="104"/>
      <c r="I61" s="104"/>
      <c r="J61" s="105"/>
      <c r="K61" s="104"/>
      <c r="L61" s="106" t="s">
        <v>1694</v>
      </c>
      <c r="M61" s="257"/>
    </row>
    <row r="62" spans="1:13" ht="15.75" thickBot="1">
      <c r="A62" s="254"/>
      <c r="B62" s="103" t="s">
        <v>1695</v>
      </c>
      <c r="C62" s="104"/>
      <c r="D62" s="104"/>
      <c r="E62" s="105"/>
      <c r="F62" s="104"/>
      <c r="G62" s="104"/>
      <c r="H62" s="104"/>
      <c r="I62" s="104"/>
      <c r="J62" s="105"/>
      <c r="K62" s="104"/>
      <c r="L62" s="106" t="s">
        <v>1696</v>
      </c>
      <c r="M62" s="257"/>
    </row>
    <row r="63" spans="1:13" ht="26.25" thickBot="1">
      <c r="A63" s="254"/>
      <c r="B63" s="103" t="s">
        <v>1697</v>
      </c>
      <c r="C63" s="104"/>
      <c r="D63" s="104"/>
      <c r="E63" s="105"/>
      <c r="F63" s="104"/>
      <c r="G63" s="104"/>
      <c r="H63" s="104"/>
      <c r="I63" s="104"/>
      <c r="J63" s="105"/>
      <c r="K63" s="104"/>
      <c r="L63" s="106" t="s">
        <v>1698</v>
      </c>
      <c r="M63" s="257"/>
    </row>
    <row r="64" spans="1:13" ht="15.75" thickBot="1">
      <c r="A64" s="254"/>
      <c r="B64" s="103" t="s">
        <v>1699</v>
      </c>
      <c r="C64" s="104"/>
      <c r="D64" s="104"/>
      <c r="E64" s="105"/>
      <c r="F64" s="104"/>
      <c r="G64" s="104"/>
      <c r="H64" s="104"/>
      <c r="I64" s="104"/>
      <c r="J64" s="105"/>
      <c r="K64" s="104"/>
      <c r="L64" s="106" t="s">
        <v>1700</v>
      </c>
      <c r="M64" s="257"/>
    </row>
    <row r="65" spans="1:13" ht="15.75" thickBot="1">
      <c r="A65" s="254"/>
      <c r="B65" s="103" t="s">
        <v>1701</v>
      </c>
      <c r="C65" s="104"/>
      <c r="D65" s="104"/>
      <c r="E65" s="105"/>
      <c r="F65" s="104"/>
      <c r="G65" s="104"/>
      <c r="H65" s="104"/>
      <c r="I65" s="104"/>
      <c r="J65" s="105"/>
      <c r="K65" s="104"/>
      <c r="L65" s="106" t="s">
        <v>1702</v>
      </c>
      <c r="M65" s="257"/>
    </row>
    <row r="66" spans="1:13" ht="15.75" thickBot="1">
      <c r="A66" s="254"/>
      <c r="B66" s="103" t="s">
        <v>1703</v>
      </c>
      <c r="C66" s="104"/>
      <c r="D66" s="104"/>
      <c r="E66" s="105"/>
      <c r="F66" s="104"/>
      <c r="G66" s="104"/>
      <c r="H66" s="104"/>
      <c r="I66" s="104"/>
      <c r="J66" s="105"/>
      <c r="K66" s="104"/>
      <c r="L66" s="106" t="s">
        <v>1704</v>
      </c>
      <c r="M66" s="257"/>
    </row>
    <row r="67" spans="1:13" ht="15.75" thickBot="1">
      <c r="A67" s="254"/>
      <c r="B67" s="103" t="s">
        <v>1705</v>
      </c>
      <c r="C67" s="104"/>
      <c r="D67" s="104"/>
      <c r="E67" s="105"/>
      <c r="F67" s="104"/>
      <c r="G67" s="104"/>
      <c r="H67" s="104"/>
      <c r="I67" s="104"/>
      <c r="J67" s="105"/>
      <c r="K67" s="104"/>
      <c r="L67" s="106" t="s">
        <v>1706</v>
      </c>
      <c r="M67" s="257"/>
    </row>
    <row r="68" spans="1:13" ht="15.75" thickBot="1">
      <c r="A68" s="254"/>
      <c r="B68" s="103" t="s">
        <v>1707</v>
      </c>
      <c r="C68" s="104"/>
      <c r="D68" s="104"/>
      <c r="E68" s="105"/>
      <c r="F68" s="104"/>
      <c r="G68" s="104"/>
      <c r="H68" s="104"/>
      <c r="I68" s="104"/>
      <c r="J68" s="105"/>
      <c r="K68" s="104"/>
      <c r="L68" s="106" t="s">
        <v>1708</v>
      </c>
      <c r="M68" s="257"/>
    </row>
    <row r="69" spans="1:13" ht="26.25" thickBot="1">
      <c r="A69" s="254"/>
      <c r="B69" s="103" t="s">
        <v>1709</v>
      </c>
      <c r="C69" s="104"/>
      <c r="D69" s="104"/>
      <c r="E69" s="105"/>
      <c r="F69" s="104"/>
      <c r="G69" s="104"/>
      <c r="H69" s="104"/>
      <c r="I69" s="104"/>
      <c r="J69" s="105"/>
      <c r="K69" s="104"/>
      <c r="L69" s="106" t="s">
        <v>1710</v>
      </c>
      <c r="M69" s="257"/>
    </row>
    <row r="70" spans="1:13" ht="15.75" thickBot="1">
      <c r="A70" s="254"/>
      <c r="B70" s="103" t="s">
        <v>1711</v>
      </c>
      <c r="C70" s="104"/>
      <c r="D70" s="104"/>
      <c r="E70" s="105"/>
      <c r="F70" s="104"/>
      <c r="G70" s="104"/>
      <c r="H70" s="104"/>
      <c r="I70" s="104"/>
      <c r="J70" s="105"/>
      <c r="K70" s="104"/>
      <c r="L70" s="106" t="s">
        <v>1712</v>
      </c>
      <c r="M70" s="257"/>
    </row>
    <row r="71" spans="1:13" ht="15.75" thickBot="1">
      <c r="A71" s="254"/>
      <c r="B71" s="103" t="s">
        <v>1713</v>
      </c>
      <c r="C71" s="104"/>
      <c r="D71" s="104"/>
      <c r="E71" s="105"/>
      <c r="F71" s="104"/>
      <c r="G71" s="104"/>
      <c r="H71" s="104"/>
      <c r="I71" s="104"/>
      <c r="J71" s="105"/>
      <c r="K71" s="104"/>
      <c r="L71" s="106" t="s">
        <v>1714</v>
      </c>
      <c r="M71" s="257"/>
    </row>
    <row r="72" spans="1:13" ht="15.75" thickBot="1">
      <c r="A72" s="254"/>
      <c r="B72" s="103" t="s">
        <v>626</v>
      </c>
      <c r="C72" s="104"/>
      <c r="D72" s="104"/>
      <c r="E72" s="105"/>
      <c r="F72" s="104"/>
      <c r="G72" s="104"/>
      <c r="H72" s="104"/>
      <c r="I72" s="104"/>
      <c r="J72" s="105"/>
      <c r="K72" s="104"/>
      <c r="L72" s="106" t="s">
        <v>627</v>
      </c>
      <c r="M72" s="257"/>
    </row>
    <row r="73" spans="1:13" ht="15.75" thickBot="1">
      <c r="A73" s="254"/>
      <c r="B73" s="103" t="s">
        <v>1715</v>
      </c>
      <c r="C73" s="104"/>
      <c r="D73" s="104"/>
      <c r="E73" s="105"/>
      <c r="F73" s="104"/>
      <c r="G73" s="104"/>
      <c r="H73" s="104"/>
      <c r="I73" s="104"/>
      <c r="J73" s="105"/>
      <c r="K73" s="104"/>
      <c r="L73" s="106" t="s">
        <v>1716</v>
      </c>
      <c r="M73" s="257"/>
    </row>
    <row r="74" spans="1:13" ht="26.25" thickBot="1">
      <c r="A74" s="254"/>
      <c r="B74" s="103" t="s">
        <v>1717</v>
      </c>
      <c r="C74" s="104"/>
      <c r="D74" s="104"/>
      <c r="E74" s="105"/>
      <c r="F74" s="104"/>
      <c r="G74" s="104"/>
      <c r="H74" s="104"/>
      <c r="I74" s="104"/>
      <c r="J74" s="105"/>
      <c r="K74" s="104"/>
      <c r="L74" s="106" t="s">
        <v>1718</v>
      </c>
      <c r="M74" s="257"/>
    </row>
    <row r="75" spans="1:13" ht="26.25" thickBot="1">
      <c r="A75" s="254"/>
      <c r="B75" s="103" t="s">
        <v>1719</v>
      </c>
      <c r="C75" s="104"/>
      <c r="D75" s="104"/>
      <c r="E75" s="105"/>
      <c r="F75" s="104"/>
      <c r="G75" s="104"/>
      <c r="H75" s="104"/>
      <c r="I75" s="104"/>
      <c r="J75" s="105"/>
      <c r="K75" s="104"/>
      <c r="L75" s="106" t="s">
        <v>1720</v>
      </c>
      <c r="M75" s="257"/>
    </row>
    <row r="76" spans="1:13" ht="26.25" thickBot="1">
      <c r="A76" s="254"/>
      <c r="B76" s="103" t="s">
        <v>1721</v>
      </c>
      <c r="C76" s="104"/>
      <c r="D76" s="104"/>
      <c r="E76" s="105"/>
      <c r="F76" s="104"/>
      <c r="G76" s="104"/>
      <c r="H76" s="104"/>
      <c r="I76" s="104"/>
      <c r="J76" s="105"/>
      <c r="K76" s="104"/>
      <c r="L76" s="106" t="s">
        <v>1722</v>
      </c>
      <c r="M76" s="257"/>
    </row>
    <row r="77" spans="1:13" ht="26.25" thickBot="1">
      <c r="A77" s="254"/>
      <c r="B77" s="103" t="s">
        <v>1723</v>
      </c>
      <c r="C77" s="104"/>
      <c r="D77" s="104"/>
      <c r="E77" s="105"/>
      <c r="F77" s="104"/>
      <c r="G77" s="104"/>
      <c r="H77" s="104"/>
      <c r="I77" s="104"/>
      <c r="J77" s="105"/>
      <c r="K77" s="104"/>
      <c r="L77" s="106" t="s">
        <v>1724</v>
      </c>
      <c r="M77" s="257"/>
    </row>
    <row r="78" spans="1:13" ht="26.25" thickBot="1">
      <c r="A78" s="254"/>
      <c r="B78" s="103" t="s">
        <v>1725</v>
      </c>
      <c r="C78" s="104"/>
      <c r="D78" s="104"/>
      <c r="E78" s="105"/>
      <c r="F78" s="104"/>
      <c r="G78" s="104"/>
      <c r="H78" s="104"/>
      <c r="I78" s="104"/>
      <c r="J78" s="105"/>
      <c r="K78" s="104"/>
      <c r="L78" s="106" t="s">
        <v>1726</v>
      </c>
      <c r="M78" s="257"/>
    </row>
    <row r="79" spans="1:13" ht="15.75" thickBot="1">
      <c r="A79" s="254"/>
      <c r="B79" s="103" t="s">
        <v>1727</v>
      </c>
      <c r="C79" s="104"/>
      <c r="D79" s="104"/>
      <c r="E79" s="105"/>
      <c r="F79" s="104"/>
      <c r="G79" s="104"/>
      <c r="H79" s="104"/>
      <c r="I79" s="104"/>
      <c r="J79" s="105"/>
      <c r="K79" s="104"/>
      <c r="L79" s="106" t="s">
        <v>1728</v>
      </c>
      <c r="M79" s="257"/>
    </row>
    <row r="80" spans="1:13" ht="15.75" thickBot="1">
      <c r="A80" s="254"/>
      <c r="B80" s="103" t="s">
        <v>1729</v>
      </c>
      <c r="C80" s="104"/>
      <c r="D80" s="104"/>
      <c r="E80" s="105"/>
      <c r="F80" s="104"/>
      <c r="G80" s="104"/>
      <c r="H80" s="104"/>
      <c r="I80" s="104"/>
      <c r="J80" s="105"/>
      <c r="K80" s="104"/>
      <c r="L80" s="106" t="s">
        <v>1730</v>
      </c>
      <c r="M80" s="257"/>
    </row>
    <row r="81" spans="1:13" ht="15.75" thickBot="1">
      <c r="A81" s="255"/>
      <c r="B81" s="103" t="s">
        <v>624</v>
      </c>
      <c r="C81" s="104">
        <v>4434159</v>
      </c>
      <c r="D81" s="104">
        <v>134435</v>
      </c>
      <c r="E81" s="105">
        <v>5845</v>
      </c>
      <c r="F81" s="104">
        <v>0</v>
      </c>
      <c r="G81" s="104">
        <v>290384</v>
      </c>
      <c r="H81" s="104">
        <v>0</v>
      </c>
      <c r="I81" s="104">
        <v>0</v>
      </c>
      <c r="J81" s="105"/>
      <c r="K81" s="104">
        <v>4853133</v>
      </c>
      <c r="L81" s="106" t="s">
        <v>625</v>
      </c>
      <c r="M81" s="258"/>
    </row>
    <row r="82" spans="1:13" ht="17.25" customHeight="1">
      <c r="A82" s="259" t="s">
        <v>624</v>
      </c>
      <c r="B82" s="259"/>
      <c r="C82" s="259"/>
      <c r="D82" s="259"/>
      <c r="E82" s="259"/>
      <c r="F82" s="259"/>
      <c r="G82" s="260" t="s">
        <v>625</v>
      </c>
      <c r="H82" s="260"/>
      <c r="I82" s="260"/>
      <c r="J82" s="260"/>
      <c r="K82" s="260"/>
      <c r="L82" s="260"/>
      <c r="M82" s="260"/>
    </row>
    <row r="83" spans="1:13">
      <c r="A83" s="261"/>
      <c r="B83" s="261"/>
      <c r="C83" s="262" t="s">
        <v>1649</v>
      </c>
      <c r="D83" s="262"/>
      <c r="E83" s="262"/>
      <c r="F83" s="262"/>
      <c r="G83" s="262"/>
      <c r="H83" s="262"/>
      <c r="I83" s="262"/>
      <c r="J83" s="262"/>
      <c r="K83" s="262"/>
      <c r="L83" s="261"/>
      <c r="M83" s="261"/>
    </row>
    <row r="84" spans="1:13" ht="23.25">
      <c r="A84" s="261"/>
      <c r="B84" s="261"/>
      <c r="C84" s="102" t="s">
        <v>624</v>
      </c>
      <c r="D84" s="102" t="s">
        <v>1650</v>
      </c>
      <c r="E84" s="102" t="s">
        <v>1651</v>
      </c>
      <c r="F84" s="102" t="s">
        <v>1652</v>
      </c>
      <c r="G84" s="102" t="s">
        <v>1653</v>
      </c>
      <c r="H84" s="102" t="s">
        <v>1654</v>
      </c>
      <c r="I84" s="102" t="s">
        <v>1655</v>
      </c>
      <c r="J84" s="102" t="s">
        <v>1656</v>
      </c>
      <c r="K84" s="102" t="s">
        <v>624</v>
      </c>
      <c r="L84" s="261"/>
      <c r="M84" s="261"/>
    </row>
    <row r="85" spans="1:13" ht="15.75" thickBot="1">
      <c r="A85" s="103" t="s">
        <v>1733</v>
      </c>
      <c r="B85" s="103" t="s">
        <v>624</v>
      </c>
      <c r="C85" s="104">
        <v>3315916</v>
      </c>
      <c r="D85" s="104">
        <v>-94076</v>
      </c>
      <c r="E85" s="105">
        <v>1249</v>
      </c>
      <c r="F85" s="104">
        <v>0</v>
      </c>
      <c r="G85" s="104">
        <v>197967</v>
      </c>
      <c r="H85" s="104"/>
      <c r="I85" s="104"/>
      <c r="J85" s="105"/>
      <c r="K85" s="104">
        <v>3418558</v>
      </c>
      <c r="L85" s="106" t="s">
        <v>625</v>
      </c>
      <c r="M85" s="106"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01BA444-83C4-4987-9931-45F3526DA1E7}">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60FC5-7FD9-4781-B2B1-00CE725237E1}">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1735</v>
      </c>
    </row>
    <row r="3" spans="1:13" ht="17.25" customHeight="1">
      <c r="A3" s="269" t="s">
        <v>624</v>
      </c>
      <c r="B3" s="269"/>
      <c r="C3" s="269"/>
      <c r="D3" s="269"/>
      <c r="E3" s="269"/>
      <c r="F3" s="269"/>
      <c r="G3" s="270" t="s">
        <v>625</v>
      </c>
      <c r="H3" s="270"/>
      <c r="I3" s="270"/>
      <c r="J3" s="270"/>
      <c r="K3" s="270"/>
      <c r="L3" s="270"/>
      <c r="M3" s="270"/>
    </row>
    <row r="4" spans="1:13">
      <c r="A4" s="271"/>
      <c r="B4" s="271"/>
      <c r="C4" s="272" t="s">
        <v>1649</v>
      </c>
      <c r="D4" s="272"/>
      <c r="E4" s="272"/>
      <c r="F4" s="272"/>
      <c r="G4" s="272"/>
      <c r="H4" s="272"/>
      <c r="I4" s="272"/>
      <c r="J4" s="272"/>
      <c r="K4" s="272"/>
      <c r="L4" s="271"/>
      <c r="M4" s="271"/>
    </row>
    <row r="5" spans="1:13" ht="23.25">
      <c r="A5" s="271"/>
      <c r="B5" s="271"/>
      <c r="C5" s="109" t="s">
        <v>624</v>
      </c>
      <c r="D5" s="109" t="s">
        <v>1650</v>
      </c>
      <c r="E5" s="109" t="s">
        <v>1651</v>
      </c>
      <c r="F5" s="109" t="s">
        <v>1652</v>
      </c>
      <c r="G5" s="109" t="s">
        <v>1653</v>
      </c>
      <c r="H5" s="109" t="s">
        <v>1654</v>
      </c>
      <c r="I5" s="109" t="s">
        <v>1655</v>
      </c>
      <c r="J5" s="109" t="s">
        <v>1656</v>
      </c>
      <c r="K5" s="109" t="s">
        <v>624</v>
      </c>
      <c r="L5" s="271"/>
      <c r="M5" s="271"/>
    </row>
    <row r="6" spans="1:13" ht="15.75" thickBot="1">
      <c r="A6" s="265" t="s">
        <v>1657</v>
      </c>
      <c r="B6" s="110" t="s">
        <v>1658</v>
      </c>
      <c r="C6" s="111">
        <v>175530</v>
      </c>
      <c r="D6" s="111">
        <v>933</v>
      </c>
      <c r="E6" s="112"/>
      <c r="F6" s="111"/>
      <c r="G6" s="111">
        <v>-3505</v>
      </c>
      <c r="H6" s="111"/>
      <c r="I6" s="111"/>
      <c r="J6" s="112"/>
      <c r="K6" s="111">
        <v>172958</v>
      </c>
      <c r="L6" s="113" t="s">
        <v>1659</v>
      </c>
      <c r="M6" s="267" t="s">
        <v>1660</v>
      </c>
    </row>
    <row r="7" spans="1:13" ht="26.25" thickBot="1">
      <c r="A7" s="265"/>
      <c r="B7" s="110" t="s">
        <v>1661</v>
      </c>
      <c r="C7" s="111">
        <v>596431</v>
      </c>
      <c r="D7" s="111">
        <v>51</v>
      </c>
      <c r="E7" s="112"/>
      <c r="F7" s="111">
        <v>114755</v>
      </c>
      <c r="G7" s="111">
        <v>-10732</v>
      </c>
      <c r="H7" s="111"/>
      <c r="I7" s="111"/>
      <c r="J7" s="112"/>
      <c r="K7" s="111">
        <v>700505</v>
      </c>
      <c r="L7" s="113" t="s">
        <v>1662</v>
      </c>
      <c r="M7" s="267"/>
    </row>
    <row r="8" spans="1:13" ht="15.75" thickBot="1">
      <c r="A8" s="265"/>
      <c r="B8" s="110" t="s">
        <v>1663</v>
      </c>
      <c r="C8" s="111">
        <v>5600204</v>
      </c>
      <c r="D8" s="111">
        <v>4261</v>
      </c>
      <c r="E8" s="112">
        <v>12746</v>
      </c>
      <c r="F8" s="111">
        <v>972025</v>
      </c>
      <c r="G8" s="111">
        <v>-89092</v>
      </c>
      <c r="H8" s="111"/>
      <c r="I8" s="111"/>
      <c r="J8" s="112"/>
      <c r="K8" s="111">
        <v>6474652</v>
      </c>
      <c r="L8" s="113" t="s">
        <v>1664</v>
      </c>
      <c r="M8" s="267"/>
    </row>
    <row r="9" spans="1:13" ht="15.75" thickBot="1">
      <c r="A9" s="265"/>
      <c r="B9" s="110" t="s">
        <v>1665</v>
      </c>
      <c r="C9" s="111"/>
      <c r="D9" s="111"/>
      <c r="E9" s="112"/>
      <c r="F9" s="111"/>
      <c r="G9" s="111"/>
      <c r="H9" s="111"/>
      <c r="I9" s="111"/>
      <c r="J9" s="112"/>
      <c r="K9" s="111"/>
      <c r="L9" s="113" t="s">
        <v>1666</v>
      </c>
      <c r="M9" s="267"/>
    </row>
    <row r="10" spans="1:13" ht="15.75" thickBot="1">
      <c r="A10" s="265"/>
      <c r="B10" s="110" t="s">
        <v>1667</v>
      </c>
      <c r="C10" s="111">
        <v>17500</v>
      </c>
      <c r="D10" s="111">
        <v>396</v>
      </c>
      <c r="E10" s="112">
        <v>1340</v>
      </c>
      <c r="F10" s="111"/>
      <c r="G10" s="111">
        <v>-733</v>
      </c>
      <c r="H10" s="111"/>
      <c r="I10" s="111"/>
      <c r="J10" s="112"/>
      <c r="K10" s="111">
        <v>15823</v>
      </c>
      <c r="L10" s="113" t="s">
        <v>1668</v>
      </c>
      <c r="M10" s="267"/>
    </row>
    <row r="11" spans="1:13" ht="26.25" thickBot="1">
      <c r="A11" s="265"/>
      <c r="B11" s="110" t="s">
        <v>1669</v>
      </c>
      <c r="C11" s="111">
        <v>302326</v>
      </c>
      <c r="D11" s="111">
        <v>3131</v>
      </c>
      <c r="E11" s="112">
        <v>524</v>
      </c>
      <c r="F11" s="111">
        <v>-2648</v>
      </c>
      <c r="G11" s="111">
        <v>-11952</v>
      </c>
      <c r="H11" s="111"/>
      <c r="I11" s="111"/>
      <c r="J11" s="112"/>
      <c r="K11" s="111">
        <v>290333</v>
      </c>
      <c r="L11" s="113" t="s">
        <v>1670</v>
      </c>
      <c r="M11" s="267"/>
    </row>
    <row r="12" spans="1:13" ht="15.75" thickBot="1">
      <c r="A12" s="265"/>
      <c r="B12" s="110" t="s">
        <v>1671</v>
      </c>
      <c r="C12" s="111"/>
      <c r="D12" s="111"/>
      <c r="E12" s="112"/>
      <c r="F12" s="111"/>
      <c r="G12" s="111"/>
      <c r="H12" s="111"/>
      <c r="I12" s="111"/>
      <c r="J12" s="112"/>
      <c r="K12" s="111"/>
      <c r="L12" s="113" t="s">
        <v>1672</v>
      </c>
      <c r="M12" s="267"/>
    </row>
    <row r="13" spans="1:13" ht="15.75" thickBot="1">
      <c r="A13" s="265"/>
      <c r="B13" s="110" t="s">
        <v>1673</v>
      </c>
      <c r="C13" s="111"/>
      <c r="D13" s="111"/>
      <c r="E13" s="112"/>
      <c r="F13" s="111"/>
      <c r="G13" s="111"/>
      <c r="H13" s="111"/>
      <c r="I13" s="111"/>
      <c r="J13" s="112"/>
      <c r="K13" s="111"/>
      <c r="L13" s="113" t="s">
        <v>1674</v>
      </c>
      <c r="M13" s="267"/>
    </row>
    <row r="14" spans="1:13" ht="15.75" thickBot="1">
      <c r="A14" s="265"/>
      <c r="B14" s="110" t="s">
        <v>1675</v>
      </c>
      <c r="C14" s="111"/>
      <c r="D14" s="111"/>
      <c r="E14" s="112"/>
      <c r="F14" s="111"/>
      <c r="G14" s="111"/>
      <c r="H14" s="111"/>
      <c r="I14" s="111"/>
      <c r="J14" s="112"/>
      <c r="K14" s="111"/>
      <c r="L14" s="113" t="s">
        <v>1676</v>
      </c>
      <c r="M14" s="267"/>
    </row>
    <row r="15" spans="1:13" ht="15.75" thickBot="1">
      <c r="A15" s="265"/>
      <c r="B15" s="110" t="s">
        <v>1677</v>
      </c>
      <c r="C15" s="111"/>
      <c r="D15" s="111"/>
      <c r="E15" s="112"/>
      <c r="F15" s="111"/>
      <c r="G15" s="111"/>
      <c r="H15" s="111"/>
      <c r="I15" s="111"/>
      <c r="J15" s="112"/>
      <c r="K15" s="111"/>
      <c r="L15" s="113" t="s">
        <v>1678</v>
      </c>
      <c r="M15" s="267"/>
    </row>
    <row r="16" spans="1:13" ht="15.75" thickBot="1">
      <c r="A16" s="265"/>
      <c r="B16" s="110" t="s">
        <v>1679</v>
      </c>
      <c r="C16" s="111"/>
      <c r="D16" s="111"/>
      <c r="E16" s="112"/>
      <c r="F16" s="111"/>
      <c r="G16" s="111"/>
      <c r="H16" s="111"/>
      <c r="I16" s="111"/>
      <c r="J16" s="112"/>
      <c r="K16" s="111"/>
      <c r="L16" s="113" t="s">
        <v>1680</v>
      </c>
      <c r="M16" s="267"/>
    </row>
    <row r="17" spans="1:13" ht="26.25" thickBot="1">
      <c r="A17" s="265"/>
      <c r="B17" s="110" t="s">
        <v>1681</v>
      </c>
      <c r="C17" s="111"/>
      <c r="D17" s="111"/>
      <c r="E17" s="112"/>
      <c r="F17" s="111"/>
      <c r="G17" s="111"/>
      <c r="H17" s="111"/>
      <c r="I17" s="111"/>
      <c r="J17" s="112"/>
      <c r="K17" s="111"/>
      <c r="L17" s="113" t="s">
        <v>1682</v>
      </c>
      <c r="M17" s="267"/>
    </row>
    <row r="18" spans="1:13" ht="15.75" thickBot="1">
      <c r="A18" s="265"/>
      <c r="B18" s="110" t="s">
        <v>1683</v>
      </c>
      <c r="C18" s="111"/>
      <c r="D18" s="111"/>
      <c r="E18" s="112"/>
      <c r="F18" s="111"/>
      <c r="G18" s="111"/>
      <c r="H18" s="111"/>
      <c r="I18" s="111"/>
      <c r="J18" s="112"/>
      <c r="K18" s="111"/>
      <c r="L18" s="113" t="s">
        <v>1684</v>
      </c>
      <c r="M18" s="267"/>
    </row>
    <row r="19" spans="1:13" ht="15.75" thickBot="1">
      <c r="A19" s="265"/>
      <c r="B19" s="110" t="s">
        <v>1685</v>
      </c>
      <c r="C19" s="111"/>
      <c r="D19" s="111"/>
      <c r="E19" s="112"/>
      <c r="F19" s="111"/>
      <c r="G19" s="111"/>
      <c r="H19" s="111"/>
      <c r="I19" s="111"/>
      <c r="J19" s="112"/>
      <c r="K19" s="111"/>
      <c r="L19" s="113" t="s">
        <v>1686</v>
      </c>
      <c r="M19" s="267"/>
    </row>
    <row r="20" spans="1:13" ht="15.75" thickBot="1">
      <c r="A20" s="265"/>
      <c r="B20" s="110" t="s">
        <v>1687</v>
      </c>
      <c r="C20" s="111">
        <v>6691991</v>
      </c>
      <c r="D20" s="111">
        <v>8772</v>
      </c>
      <c r="E20" s="112">
        <v>14610</v>
      </c>
      <c r="F20" s="111">
        <v>1084132</v>
      </c>
      <c r="G20" s="111">
        <v>-116014</v>
      </c>
      <c r="H20" s="111"/>
      <c r="I20" s="111"/>
      <c r="J20" s="112"/>
      <c r="K20" s="111">
        <v>7654271</v>
      </c>
      <c r="L20" s="113" t="s">
        <v>1688</v>
      </c>
      <c r="M20" s="267"/>
    </row>
    <row r="21" spans="1:13" ht="15.75" thickBot="1">
      <c r="A21" s="265"/>
      <c r="B21" s="110" t="s">
        <v>1689</v>
      </c>
      <c r="C21" s="111"/>
      <c r="D21" s="111"/>
      <c r="E21" s="112"/>
      <c r="F21" s="111"/>
      <c r="G21" s="111"/>
      <c r="H21" s="111"/>
      <c r="I21" s="111"/>
      <c r="J21" s="112"/>
      <c r="K21" s="111"/>
      <c r="L21" s="113" t="s">
        <v>1690</v>
      </c>
      <c r="M21" s="267"/>
    </row>
    <row r="22" spans="1:13" ht="26.25" thickBot="1">
      <c r="A22" s="265"/>
      <c r="B22" s="110" t="s">
        <v>1691</v>
      </c>
      <c r="C22" s="111"/>
      <c r="D22" s="111"/>
      <c r="E22" s="112"/>
      <c r="F22" s="111"/>
      <c r="G22" s="111"/>
      <c r="H22" s="111"/>
      <c r="I22" s="111"/>
      <c r="J22" s="112"/>
      <c r="K22" s="111"/>
      <c r="L22" s="113" t="s">
        <v>1692</v>
      </c>
      <c r="M22" s="267"/>
    </row>
    <row r="23" spans="1:13" ht="15.75" thickBot="1">
      <c r="A23" s="265"/>
      <c r="B23" s="110" t="s">
        <v>1693</v>
      </c>
      <c r="C23" s="111"/>
      <c r="D23" s="111"/>
      <c r="E23" s="112"/>
      <c r="F23" s="111"/>
      <c r="G23" s="111"/>
      <c r="H23" s="111"/>
      <c r="I23" s="111"/>
      <c r="J23" s="112"/>
      <c r="K23" s="111"/>
      <c r="L23" s="113" t="s">
        <v>1694</v>
      </c>
      <c r="M23" s="267"/>
    </row>
    <row r="24" spans="1:13" ht="15.75" thickBot="1">
      <c r="A24" s="265"/>
      <c r="B24" s="110" t="s">
        <v>1695</v>
      </c>
      <c r="C24" s="111"/>
      <c r="D24" s="111"/>
      <c r="E24" s="112"/>
      <c r="F24" s="111"/>
      <c r="G24" s="111"/>
      <c r="H24" s="111"/>
      <c r="I24" s="111"/>
      <c r="J24" s="112"/>
      <c r="K24" s="111"/>
      <c r="L24" s="113" t="s">
        <v>1696</v>
      </c>
      <c r="M24" s="267"/>
    </row>
    <row r="25" spans="1:13" ht="26.25" thickBot="1">
      <c r="A25" s="265"/>
      <c r="B25" s="110" t="s">
        <v>1697</v>
      </c>
      <c r="C25" s="111"/>
      <c r="D25" s="111"/>
      <c r="E25" s="112"/>
      <c r="F25" s="111"/>
      <c r="G25" s="111"/>
      <c r="H25" s="111"/>
      <c r="I25" s="111"/>
      <c r="J25" s="112"/>
      <c r="K25" s="111"/>
      <c r="L25" s="113" t="s">
        <v>1698</v>
      </c>
      <c r="M25" s="267"/>
    </row>
    <row r="26" spans="1:13" ht="15.75" thickBot="1">
      <c r="A26" s="265"/>
      <c r="B26" s="110" t="s">
        <v>1699</v>
      </c>
      <c r="C26" s="111"/>
      <c r="D26" s="111"/>
      <c r="E26" s="112"/>
      <c r="F26" s="111"/>
      <c r="G26" s="111"/>
      <c r="H26" s="111"/>
      <c r="I26" s="111"/>
      <c r="J26" s="112"/>
      <c r="K26" s="111"/>
      <c r="L26" s="113" t="s">
        <v>1700</v>
      </c>
      <c r="M26" s="267"/>
    </row>
    <row r="27" spans="1:13" ht="15.75" thickBot="1">
      <c r="A27" s="265"/>
      <c r="B27" s="110" t="s">
        <v>1701</v>
      </c>
      <c r="C27" s="111"/>
      <c r="D27" s="111"/>
      <c r="E27" s="112"/>
      <c r="F27" s="111"/>
      <c r="G27" s="111"/>
      <c r="H27" s="111"/>
      <c r="I27" s="111"/>
      <c r="J27" s="112"/>
      <c r="K27" s="111"/>
      <c r="L27" s="113" t="s">
        <v>1702</v>
      </c>
      <c r="M27" s="267"/>
    </row>
    <row r="28" spans="1:13" ht="15.75" thickBot="1">
      <c r="A28" s="265"/>
      <c r="B28" s="110" t="s">
        <v>1703</v>
      </c>
      <c r="C28" s="111"/>
      <c r="D28" s="111"/>
      <c r="E28" s="112"/>
      <c r="F28" s="111"/>
      <c r="G28" s="111"/>
      <c r="H28" s="111"/>
      <c r="I28" s="111"/>
      <c r="J28" s="112"/>
      <c r="K28" s="111"/>
      <c r="L28" s="113" t="s">
        <v>1704</v>
      </c>
      <c r="M28" s="267"/>
    </row>
    <row r="29" spans="1:13" ht="15.75" thickBot="1">
      <c r="A29" s="265"/>
      <c r="B29" s="110" t="s">
        <v>1705</v>
      </c>
      <c r="C29" s="111"/>
      <c r="D29" s="111"/>
      <c r="E29" s="112"/>
      <c r="F29" s="111"/>
      <c r="G29" s="111"/>
      <c r="H29" s="111"/>
      <c r="I29" s="111"/>
      <c r="J29" s="112"/>
      <c r="K29" s="111"/>
      <c r="L29" s="113" t="s">
        <v>1706</v>
      </c>
      <c r="M29" s="267"/>
    </row>
    <row r="30" spans="1:13" ht="15.75" thickBot="1">
      <c r="A30" s="265"/>
      <c r="B30" s="110" t="s">
        <v>1707</v>
      </c>
      <c r="C30" s="111"/>
      <c r="D30" s="111"/>
      <c r="E30" s="112"/>
      <c r="F30" s="111"/>
      <c r="G30" s="111"/>
      <c r="H30" s="111"/>
      <c r="I30" s="111"/>
      <c r="J30" s="112"/>
      <c r="K30" s="111"/>
      <c r="L30" s="113" t="s">
        <v>1708</v>
      </c>
      <c r="M30" s="267"/>
    </row>
    <row r="31" spans="1:13" ht="26.25" thickBot="1">
      <c r="A31" s="265"/>
      <c r="B31" s="110" t="s">
        <v>1709</v>
      </c>
      <c r="C31" s="111"/>
      <c r="D31" s="111"/>
      <c r="E31" s="112"/>
      <c r="F31" s="111"/>
      <c r="G31" s="111"/>
      <c r="H31" s="111"/>
      <c r="I31" s="111"/>
      <c r="J31" s="112"/>
      <c r="K31" s="111"/>
      <c r="L31" s="113" t="s">
        <v>1710</v>
      </c>
      <c r="M31" s="267"/>
    </row>
    <row r="32" spans="1:13" ht="15.75" thickBot="1">
      <c r="A32" s="265"/>
      <c r="B32" s="110" t="s">
        <v>1711</v>
      </c>
      <c r="C32" s="111"/>
      <c r="D32" s="111"/>
      <c r="E32" s="112"/>
      <c r="F32" s="111"/>
      <c r="G32" s="111"/>
      <c r="H32" s="111"/>
      <c r="I32" s="111"/>
      <c r="J32" s="112"/>
      <c r="K32" s="111"/>
      <c r="L32" s="113" t="s">
        <v>1712</v>
      </c>
      <c r="M32" s="267"/>
    </row>
    <row r="33" spans="1:13" ht="15.75" thickBot="1">
      <c r="A33" s="265"/>
      <c r="B33" s="110" t="s">
        <v>1713</v>
      </c>
      <c r="C33" s="111"/>
      <c r="D33" s="111"/>
      <c r="E33" s="112"/>
      <c r="F33" s="111"/>
      <c r="G33" s="111"/>
      <c r="H33" s="111"/>
      <c r="I33" s="111"/>
      <c r="J33" s="112"/>
      <c r="K33" s="111"/>
      <c r="L33" s="113" t="s">
        <v>1714</v>
      </c>
      <c r="M33" s="267"/>
    </row>
    <row r="34" spans="1:13" ht="15.75" thickBot="1">
      <c r="A34" s="265"/>
      <c r="B34" s="110" t="s">
        <v>626</v>
      </c>
      <c r="C34" s="111"/>
      <c r="D34" s="111"/>
      <c r="E34" s="112"/>
      <c r="F34" s="111"/>
      <c r="G34" s="111"/>
      <c r="H34" s="111"/>
      <c r="I34" s="111"/>
      <c r="J34" s="112"/>
      <c r="K34" s="111"/>
      <c r="L34" s="113" t="s">
        <v>627</v>
      </c>
      <c r="M34" s="267"/>
    </row>
    <row r="35" spans="1:13" ht="15.75" thickBot="1">
      <c r="A35" s="265"/>
      <c r="B35" s="110" t="s">
        <v>1715</v>
      </c>
      <c r="C35" s="111"/>
      <c r="D35" s="111"/>
      <c r="E35" s="112"/>
      <c r="F35" s="111"/>
      <c r="G35" s="111"/>
      <c r="H35" s="111"/>
      <c r="I35" s="111"/>
      <c r="J35" s="112"/>
      <c r="K35" s="111"/>
      <c r="L35" s="113" t="s">
        <v>1716</v>
      </c>
      <c r="M35" s="267"/>
    </row>
    <row r="36" spans="1:13" ht="26.25" thickBot="1">
      <c r="A36" s="265"/>
      <c r="B36" s="110" t="s">
        <v>1717</v>
      </c>
      <c r="C36" s="111">
        <v>1091012</v>
      </c>
      <c r="D36" s="111">
        <v>134668</v>
      </c>
      <c r="E36" s="112"/>
      <c r="F36" s="111">
        <v>-1099681</v>
      </c>
      <c r="G36" s="111">
        <v>-30195</v>
      </c>
      <c r="H36" s="111"/>
      <c r="I36" s="111"/>
      <c r="J36" s="112"/>
      <c r="K36" s="111">
        <v>95804</v>
      </c>
      <c r="L36" s="113" t="s">
        <v>1718</v>
      </c>
      <c r="M36" s="267"/>
    </row>
    <row r="37" spans="1:13" ht="26.25" thickBot="1">
      <c r="A37" s="265"/>
      <c r="B37" s="110" t="s">
        <v>1719</v>
      </c>
      <c r="C37" s="111"/>
      <c r="D37" s="111"/>
      <c r="E37" s="112"/>
      <c r="F37" s="111"/>
      <c r="G37" s="111"/>
      <c r="H37" s="111"/>
      <c r="I37" s="111"/>
      <c r="J37" s="112"/>
      <c r="K37" s="111"/>
      <c r="L37" s="113" t="s">
        <v>1720</v>
      </c>
      <c r="M37" s="267"/>
    </row>
    <row r="38" spans="1:13" ht="26.25" thickBot="1">
      <c r="A38" s="265"/>
      <c r="B38" s="110" t="s">
        <v>1721</v>
      </c>
      <c r="C38" s="111"/>
      <c r="D38" s="111"/>
      <c r="E38" s="112"/>
      <c r="F38" s="111"/>
      <c r="G38" s="111"/>
      <c r="H38" s="111"/>
      <c r="I38" s="111"/>
      <c r="J38" s="112"/>
      <c r="K38" s="111"/>
      <c r="L38" s="113" t="s">
        <v>1722</v>
      </c>
      <c r="M38" s="267"/>
    </row>
    <row r="39" spans="1:13" ht="26.25" thickBot="1">
      <c r="A39" s="265"/>
      <c r="B39" s="110" t="s">
        <v>1723</v>
      </c>
      <c r="C39" s="111"/>
      <c r="D39" s="111"/>
      <c r="E39" s="112"/>
      <c r="F39" s="111"/>
      <c r="G39" s="111"/>
      <c r="H39" s="111"/>
      <c r="I39" s="111"/>
      <c r="J39" s="112"/>
      <c r="K39" s="111"/>
      <c r="L39" s="113" t="s">
        <v>1724</v>
      </c>
      <c r="M39" s="267"/>
    </row>
    <row r="40" spans="1:13" ht="26.25" thickBot="1">
      <c r="A40" s="265"/>
      <c r="B40" s="110" t="s">
        <v>1725</v>
      </c>
      <c r="C40" s="111"/>
      <c r="D40" s="111"/>
      <c r="E40" s="112"/>
      <c r="F40" s="111"/>
      <c r="G40" s="111"/>
      <c r="H40" s="111"/>
      <c r="I40" s="111"/>
      <c r="J40" s="112"/>
      <c r="K40" s="111"/>
      <c r="L40" s="113" t="s">
        <v>1726</v>
      </c>
      <c r="M40" s="267"/>
    </row>
    <row r="41" spans="1:13" ht="15.75" thickBot="1">
      <c r="A41" s="265"/>
      <c r="B41" s="110" t="s">
        <v>1727</v>
      </c>
      <c r="C41" s="111"/>
      <c r="D41" s="111"/>
      <c r="E41" s="112"/>
      <c r="F41" s="111"/>
      <c r="G41" s="111"/>
      <c r="H41" s="111"/>
      <c r="I41" s="111"/>
      <c r="J41" s="112"/>
      <c r="K41" s="111"/>
      <c r="L41" s="113" t="s">
        <v>1728</v>
      </c>
      <c r="M41" s="267"/>
    </row>
    <row r="42" spans="1:13" ht="15.75" thickBot="1">
      <c r="A42" s="265"/>
      <c r="B42" s="110" t="s">
        <v>1729</v>
      </c>
      <c r="C42" s="111">
        <v>1091012</v>
      </c>
      <c r="D42" s="111">
        <v>134668</v>
      </c>
      <c r="E42" s="112"/>
      <c r="F42" s="111">
        <v>-1099681</v>
      </c>
      <c r="G42" s="111">
        <v>-30195</v>
      </c>
      <c r="H42" s="111"/>
      <c r="I42" s="111"/>
      <c r="J42" s="112"/>
      <c r="K42" s="111">
        <v>95804</v>
      </c>
      <c r="L42" s="113" t="s">
        <v>1730</v>
      </c>
      <c r="M42" s="267"/>
    </row>
    <row r="43" spans="1:13" ht="15.75" thickBot="1">
      <c r="A43" s="266"/>
      <c r="B43" s="110" t="s">
        <v>624</v>
      </c>
      <c r="C43" s="111">
        <v>7783003</v>
      </c>
      <c r="D43" s="111">
        <v>143440</v>
      </c>
      <c r="E43" s="112">
        <v>14610</v>
      </c>
      <c r="F43" s="111">
        <v>-15549</v>
      </c>
      <c r="G43" s="111">
        <v>-146209</v>
      </c>
      <c r="H43" s="111"/>
      <c r="I43" s="111"/>
      <c r="J43" s="112"/>
      <c r="K43" s="111">
        <v>7750075</v>
      </c>
      <c r="L43" s="113" t="s">
        <v>625</v>
      </c>
      <c r="M43" s="268"/>
    </row>
    <row r="44" spans="1:13" ht="15.75" thickBot="1">
      <c r="A44" s="273" t="s">
        <v>1731</v>
      </c>
      <c r="B44" s="110" t="s">
        <v>1658</v>
      </c>
      <c r="C44" s="111"/>
      <c r="D44" s="111"/>
      <c r="E44" s="112"/>
      <c r="F44" s="111"/>
      <c r="G44" s="111"/>
      <c r="H44" s="111"/>
      <c r="I44" s="111"/>
      <c r="J44" s="112"/>
      <c r="K44" s="111"/>
      <c r="L44" s="113" t="s">
        <v>1659</v>
      </c>
      <c r="M44" s="274" t="s">
        <v>1732</v>
      </c>
    </row>
    <row r="45" spans="1:13" ht="26.25" thickBot="1">
      <c r="A45" s="265"/>
      <c r="B45" s="110" t="s">
        <v>1661</v>
      </c>
      <c r="C45" s="111">
        <v>303611</v>
      </c>
      <c r="D45" s="111">
        <v>27682</v>
      </c>
      <c r="E45" s="112"/>
      <c r="F45" s="111"/>
      <c r="G45" s="111">
        <v>-5787</v>
      </c>
      <c r="H45" s="111"/>
      <c r="I45" s="111"/>
      <c r="J45" s="112"/>
      <c r="K45" s="111">
        <v>325506</v>
      </c>
      <c r="L45" s="113" t="s">
        <v>1662</v>
      </c>
      <c r="M45" s="267"/>
    </row>
    <row r="46" spans="1:13" ht="15.75" thickBot="1">
      <c r="A46" s="265"/>
      <c r="B46" s="110" t="s">
        <v>1663</v>
      </c>
      <c r="C46" s="111">
        <v>3726926</v>
      </c>
      <c r="D46" s="111">
        <v>185429</v>
      </c>
      <c r="E46" s="112">
        <v>10214</v>
      </c>
      <c r="F46" s="111"/>
      <c r="G46" s="111">
        <v>-62459</v>
      </c>
      <c r="H46" s="111"/>
      <c r="I46" s="111"/>
      <c r="J46" s="112"/>
      <c r="K46" s="111">
        <v>3839682</v>
      </c>
      <c r="L46" s="113" t="s">
        <v>1664</v>
      </c>
      <c r="M46" s="267"/>
    </row>
    <row r="47" spans="1:13" ht="15.75" thickBot="1">
      <c r="A47" s="265"/>
      <c r="B47" s="110" t="s">
        <v>1665</v>
      </c>
      <c r="C47" s="111"/>
      <c r="D47" s="111"/>
      <c r="E47" s="112"/>
      <c r="F47" s="111"/>
      <c r="G47" s="111"/>
      <c r="H47" s="111"/>
      <c r="I47" s="111"/>
      <c r="J47" s="112"/>
      <c r="K47" s="111"/>
      <c r="L47" s="113" t="s">
        <v>1666</v>
      </c>
      <c r="M47" s="267"/>
    </row>
    <row r="48" spans="1:13" ht="15.75" thickBot="1">
      <c r="A48" s="265"/>
      <c r="B48" s="110" t="s">
        <v>1667</v>
      </c>
      <c r="C48" s="111">
        <v>16045</v>
      </c>
      <c r="D48" s="111">
        <v>723</v>
      </c>
      <c r="E48" s="112">
        <v>1340</v>
      </c>
      <c r="F48" s="111"/>
      <c r="G48" s="111">
        <v>-697</v>
      </c>
      <c r="H48" s="111"/>
      <c r="I48" s="111"/>
      <c r="J48" s="112"/>
      <c r="K48" s="111">
        <v>14731</v>
      </c>
      <c r="L48" s="113" t="s">
        <v>1668</v>
      </c>
      <c r="M48" s="267"/>
    </row>
    <row r="49" spans="1:13" ht="26.25" thickBot="1">
      <c r="A49" s="265"/>
      <c r="B49" s="110" t="s">
        <v>1669</v>
      </c>
      <c r="C49" s="111">
        <v>253387</v>
      </c>
      <c r="D49" s="111">
        <v>17437</v>
      </c>
      <c r="E49" s="112">
        <v>505</v>
      </c>
      <c r="F49" s="111">
        <v>-8329</v>
      </c>
      <c r="G49" s="111">
        <v>-7750</v>
      </c>
      <c r="H49" s="111"/>
      <c r="I49" s="111"/>
      <c r="J49" s="112"/>
      <c r="K49" s="111">
        <v>254240</v>
      </c>
      <c r="L49" s="113" t="s">
        <v>1670</v>
      </c>
      <c r="M49" s="267"/>
    </row>
    <row r="50" spans="1:13" ht="15.75" thickBot="1">
      <c r="A50" s="265"/>
      <c r="B50" s="110" t="s">
        <v>1671</v>
      </c>
      <c r="C50" s="111"/>
      <c r="D50" s="111"/>
      <c r="E50" s="112"/>
      <c r="F50" s="111"/>
      <c r="G50" s="111"/>
      <c r="H50" s="111"/>
      <c r="I50" s="111"/>
      <c r="J50" s="112"/>
      <c r="K50" s="111"/>
      <c r="L50" s="113" t="s">
        <v>1672</v>
      </c>
      <c r="M50" s="267"/>
    </row>
    <row r="51" spans="1:13" ht="15.75" thickBot="1">
      <c r="A51" s="265"/>
      <c r="B51" s="110" t="s">
        <v>1673</v>
      </c>
      <c r="C51" s="111"/>
      <c r="D51" s="111"/>
      <c r="E51" s="112"/>
      <c r="F51" s="111"/>
      <c r="G51" s="111"/>
      <c r="H51" s="111"/>
      <c r="I51" s="111"/>
      <c r="J51" s="112"/>
      <c r="K51" s="111"/>
      <c r="L51" s="113" t="s">
        <v>1674</v>
      </c>
      <c r="M51" s="267"/>
    </row>
    <row r="52" spans="1:13" ht="15.75" thickBot="1">
      <c r="A52" s="265"/>
      <c r="B52" s="110" t="s">
        <v>1675</v>
      </c>
      <c r="C52" s="111"/>
      <c r="D52" s="111"/>
      <c r="E52" s="112"/>
      <c r="F52" s="111"/>
      <c r="G52" s="111"/>
      <c r="H52" s="111"/>
      <c r="I52" s="111"/>
      <c r="J52" s="112"/>
      <c r="K52" s="111"/>
      <c r="L52" s="113" t="s">
        <v>1676</v>
      </c>
      <c r="M52" s="267"/>
    </row>
    <row r="53" spans="1:13" ht="15.75" thickBot="1">
      <c r="A53" s="265"/>
      <c r="B53" s="110" t="s">
        <v>1677</v>
      </c>
      <c r="C53" s="111"/>
      <c r="D53" s="111"/>
      <c r="E53" s="112"/>
      <c r="F53" s="111"/>
      <c r="G53" s="111"/>
      <c r="H53" s="111"/>
      <c r="I53" s="111"/>
      <c r="J53" s="112"/>
      <c r="K53" s="111"/>
      <c r="L53" s="113" t="s">
        <v>1678</v>
      </c>
      <c r="M53" s="267"/>
    </row>
    <row r="54" spans="1:13" ht="15.75" thickBot="1">
      <c r="A54" s="265"/>
      <c r="B54" s="110" t="s">
        <v>1679</v>
      </c>
      <c r="C54" s="111"/>
      <c r="D54" s="111"/>
      <c r="E54" s="112"/>
      <c r="F54" s="111"/>
      <c r="G54" s="111"/>
      <c r="H54" s="111"/>
      <c r="I54" s="111"/>
      <c r="J54" s="112"/>
      <c r="K54" s="111"/>
      <c r="L54" s="113" t="s">
        <v>1680</v>
      </c>
      <c r="M54" s="267"/>
    </row>
    <row r="55" spans="1:13" ht="26.25" thickBot="1">
      <c r="A55" s="265"/>
      <c r="B55" s="110" t="s">
        <v>1681</v>
      </c>
      <c r="C55" s="111"/>
      <c r="D55" s="111"/>
      <c r="E55" s="112"/>
      <c r="F55" s="111"/>
      <c r="G55" s="111"/>
      <c r="H55" s="111"/>
      <c r="I55" s="111"/>
      <c r="J55" s="112"/>
      <c r="K55" s="111"/>
      <c r="L55" s="113" t="s">
        <v>1682</v>
      </c>
      <c r="M55" s="267"/>
    </row>
    <row r="56" spans="1:13" ht="15.75" thickBot="1">
      <c r="A56" s="265"/>
      <c r="B56" s="110" t="s">
        <v>1683</v>
      </c>
      <c r="C56" s="111"/>
      <c r="D56" s="111"/>
      <c r="E56" s="112"/>
      <c r="F56" s="111"/>
      <c r="G56" s="111"/>
      <c r="H56" s="111"/>
      <c r="I56" s="111"/>
      <c r="J56" s="112"/>
      <c r="K56" s="111"/>
      <c r="L56" s="113" t="s">
        <v>1684</v>
      </c>
      <c r="M56" s="267"/>
    </row>
    <row r="57" spans="1:13" ht="15.75" thickBot="1">
      <c r="A57" s="265"/>
      <c r="B57" s="110" t="s">
        <v>1685</v>
      </c>
      <c r="C57" s="111"/>
      <c r="D57" s="111"/>
      <c r="E57" s="112"/>
      <c r="F57" s="111"/>
      <c r="G57" s="111"/>
      <c r="H57" s="111"/>
      <c r="I57" s="111"/>
      <c r="J57" s="112"/>
      <c r="K57" s="111"/>
      <c r="L57" s="113" t="s">
        <v>1686</v>
      </c>
      <c r="M57" s="267"/>
    </row>
    <row r="58" spans="1:13" ht="15.75" thickBot="1">
      <c r="A58" s="265"/>
      <c r="B58" s="110" t="s">
        <v>1687</v>
      </c>
      <c r="C58" s="111">
        <v>4299969</v>
      </c>
      <c r="D58" s="111">
        <v>231271</v>
      </c>
      <c r="E58" s="112">
        <v>12059</v>
      </c>
      <c r="F58" s="111">
        <v>-8329</v>
      </c>
      <c r="G58" s="111">
        <v>-76693</v>
      </c>
      <c r="H58" s="111"/>
      <c r="I58" s="111"/>
      <c r="J58" s="112"/>
      <c r="K58" s="111">
        <v>4434159</v>
      </c>
      <c r="L58" s="113" t="s">
        <v>1688</v>
      </c>
      <c r="M58" s="267"/>
    </row>
    <row r="59" spans="1:13" ht="15.75" thickBot="1">
      <c r="A59" s="265"/>
      <c r="B59" s="110" t="s">
        <v>1689</v>
      </c>
      <c r="C59" s="111"/>
      <c r="D59" s="111"/>
      <c r="E59" s="112"/>
      <c r="F59" s="111"/>
      <c r="G59" s="111"/>
      <c r="H59" s="111"/>
      <c r="I59" s="111"/>
      <c r="J59" s="112"/>
      <c r="K59" s="111"/>
      <c r="L59" s="113" t="s">
        <v>1690</v>
      </c>
      <c r="M59" s="267"/>
    </row>
    <row r="60" spans="1:13" ht="26.25" thickBot="1">
      <c r="A60" s="265"/>
      <c r="B60" s="110" t="s">
        <v>1691</v>
      </c>
      <c r="C60" s="111"/>
      <c r="D60" s="111"/>
      <c r="E60" s="112"/>
      <c r="F60" s="111"/>
      <c r="G60" s="111"/>
      <c r="H60" s="111"/>
      <c r="I60" s="111"/>
      <c r="J60" s="112"/>
      <c r="K60" s="111"/>
      <c r="L60" s="113" t="s">
        <v>1692</v>
      </c>
      <c r="M60" s="267"/>
    </row>
    <row r="61" spans="1:13" ht="15.75" thickBot="1">
      <c r="A61" s="265"/>
      <c r="B61" s="110" t="s">
        <v>1693</v>
      </c>
      <c r="C61" s="111"/>
      <c r="D61" s="111"/>
      <c r="E61" s="112"/>
      <c r="F61" s="111"/>
      <c r="G61" s="111"/>
      <c r="H61" s="111"/>
      <c r="I61" s="111"/>
      <c r="J61" s="112"/>
      <c r="K61" s="111"/>
      <c r="L61" s="113" t="s">
        <v>1694</v>
      </c>
      <c r="M61" s="267"/>
    </row>
    <row r="62" spans="1:13" ht="15.75" thickBot="1">
      <c r="A62" s="265"/>
      <c r="B62" s="110" t="s">
        <v>1695</v>
      </c>
      <c r="C62" s="111"/>
      <c r="D62" s="111"/>
      <c r="E62" s="112"/>
      <c r="F62" s="111"/>
      <c r="G62" s="111"/>
      <c r="H62" s="111"/>
      <c r="I62" s="111"/>
      <c r="J62" s="112"/>
      <c r="K62" s="111"/>
      <c r="L62" s="113" t="s">
        <v>1696</v>
      </c>
      <c r="M62" s="267"/>
    </row>
    <row r="63" spans="1:13" ht="26.25" thickBot="1">
      <c r="A63" s="265"/>
      <c r="B63" s="110" t="s">
        <v>1697</v>
      </c>
      <c r="C63" s="111"/>
      <c r="D63" s="111"/>
      <c r="E63" s="112"/>
      <c r="F63" s="111"/>
      <c r="G63" s="111"/>
      <c r="H63" s="111"/>
      <c r="I63" s="111"/>
      <c r="J63" s="112"/>
      <c r="K63" s="111"/>
      <c r="L63" s="113" t="s">
        <v>1698</v>
      </c>
      <c r="M63" s="267"/>
    </row>
    <row r="64" spans="1:13" ht="15.75" thickBot="1">
      <c r="A64" s="265"/>
      <c r="B64" s="110" t="s">
        <v>1699</v>
      </c>
      <c r="C64" s="111"/>
      <c r="D64" s="111"/>
      <c r="E64" s="112"/>
      <c r="F64" s="111"/>
      <c r="G64" s="111"/>
      <c r="H64" s="111"/>
      <c r="I64" s="111"/>
      <c r="J64" s="112"/>
      <c r="K64" s="111"/>
      <c r="L64" s="113" t="s">
        <v>1700</v>
      </c>
      <c r="M64" s="267"/>
    </row>
    <row r="65" spans="1:13" ht="15.75" thickBot="1">
      <c r="A65" s="265"/>
      <c r="B65" s="110" t="s">
        <v>1701</v>
      </c>
      <c r="C65" s="111"/>
      <c r="D65" s="111"/>
      <c r="E65" s="112"/>
      <c r="F65" s="111"/>
      <c r="G65" s="111"/>
      <c r="H65" s="111"/>
      <c r="I65" s="111"/>
      <c r="J65" s="112"/>
      <c r="K65" s="111"/>
      <c r="L65" s="113" t="s">
        <v>1702</v>
      </c>
      <c r="M65" s="267"/>
    </row>
    <row r="66" spans="1:13" ht="15.75" thickBot="1">
      <c r="A66" s="265"/>
      <c r="B66" s="110" t="s">
        <v>1703</v>
      </c>
      <c r="C66" s="111"/>
      <c r="D66" s="111"/>
      <c r="E66" s="112"/>
      <c r="F66" s="111"/>
      <c r="G66" s="111"/>
      <c r="H66" s="111"/>
      <c r="I66" s="111"/>
      <c r="J66" s="112"/>
      <c r="K66" s="111"/>
      <c r="L66" s="113" t="s">
        <v>1704</v>
      </c>
      <c r="M66" s="267"/>
    </row>
    <row r="67" spans="1:13" ht="15.75" thickBot="1">
      <c r="A67" s="265"/>
      <c r="B67" s="110" t="s">
        <v>1705</v>
      </c>
      <c r="C67" s="111"/>
      <c r="D67" s="111"/>
      <c r="E67" s="112"/>
      <c r="F67" s="111"/>
      <c r="G67" s="111"/>
      <c r="H67" s="111"/>
      <c r="I67" s="111"/>
      <c r="J67" s="112"/>
      <c r="K67" s="111"/>
      <c r="L67" s="113" t="s">
        <v>1706</v>
      </c>
      <c r="M67" s="267"/>
    </row>
    <row r="68" spans="1:13" ht="15.75" thickBot="1">
      <c r="A68" s="265"/>
      <c r="B68" s="110" t="s">
        <v>1707</v>
      </c>
      <c r="C68" s="111"/>
      <c r="D68" s="111"/>
      <c r="E68" s="112"/>
      <c r="F68" s="111"/>
      <c r="G68" s="111"/>
      <c r="H68" s="111"/>
      <c r="I68" s="111"/>
      <c r="J68" s="112"/>
      <c r="K68" s="111"/>
      <c r="L68" s="113" t="s">
        <v>1708</v>
      </c>
      <c r="M68" s="267"/>
    </row>
    <row r="69" spans="1:13" ht="26.25" thickBot="1">
      <c r="A69" s="265"/>
      <c r="B69" s="110" t="s">
        <v>1709</v>
      </c>
      <c r="C69" s="111"/>
      <c r="D69" s="111"/>
      <c r="E69" s="112"/>
      <c r="F69" s="111"/>
      <c r="G69" s="111"/>
      <c r="H69" s="111"/>
      <c r="I69" s="111"/>
      <c r="J69" s="112"/>
      <c r="K69" s="111"/>
      <c r="L69" s="113" t="s">
        <v>1710</v>
      </c>
      <c r="M69" s="267"/>
    </row>
    <row r="70" spans="1:13" ht="15.75" thickBot="1">
      <c r="A70" s="265"/>
      <c r="B70" s="110" t="s">
        <v>1711</v>
      </c>
      <c r="C70" s="111"/>
      <c r="D70" s="111"/>
      <c r="E70" s="112"/>
      <c r="F70" s="111"/>
      <c r="G70" s="111"/>
      <c r="H70" s="111"/>
      <c r="I70" s="111"/>
      <c r="J70" s="112"/>
      <c r="K70" s="111"/>
      <c r="L70" s="113" t="s">
        <v>1712</v>
      </c>
      <c r="M70" s="267"/>
    </row>
    <row r="71" spans="1:13" ht="15.75" thickBot="1">
      <c r="A71" s="265"/>
      <c r="B71" s="110" t="s">
        <v>1713</v>
      </c>
      <c r="C71" s="111"/>
      <c r="D71" s="111"/>
      <c r="E71" s="112"/>
      <c r="F71" s="111"/>
      <c r="G71" s="111"/>
      <c r="H71" s="111"/>
      <c r="I71" s="111"/>
      <c r="J71" s="112"/>
      <c r="K71" s="111"/>
      <c r="L71" s="113" t="s">
        <v>1714</v>
      </c>
      <c r="M71" s="267"/>
    </row>
    <row r="72" spans="1:13" ht="15.75" thickBot="1">
      <c r="A72" s="265"/>
      <c r="B72" s="110" t="s">
        <v>626</v>
      </c>
      <c r="C72" s="111"/>
      <c r="D72" s="111"/>
      <c r="E72" s="112"/>
      <c r="F72" s="111"/>
      <c r="G72" s="111"/>
      <c r="H72" s="111"/>
      <c r="I72" s="111"/>
      <c r="J72" s="112"/>
      <c r="K72" s="111"/>
      <c r="L72" s="113" t="s">
        <v>627</v>
      </c>
      <c r="M72" s="267"/>
    </row>
    <row r="73" spans="1:13" ht="15.75" thickBot="1">
      <c r="A73" s="265"/>
      <c r="B73" s="110" t="s">
        <v>1715</v>
      </c>
      <c r="C73" s="111"/>
      <c r="D73" s="111"/>
      <c r="E73" s="112"/>
      <c r="F73" s="111"/>
      <c r="G73" s="111"/>
      <c r="H73" s="111"/>
      <c r="I73" s="111"/>
      <c r="J73" s="112"/>
      <c r="K73" s="111"/>
      <c r="L73" s="113" t="s">
        <v>1716</v>
      </c>
      <c r="M73" s="267"/>
    </row>
    <row r="74" spans="1:13" ht="26.25" thickBot="1">
      <c r="A74" s="265"/>
      <c r="B74" s="110" t="s">
        <v>1717</v>
      </c>
      <c r="C74" s="111"/>
      <c r="D74" s="111"/>
      <c r="E74" s="112"/>
      <c r="F74" s="111"/>
      <c r="G74" s="111"/>
      <c r="H74" s="111"/>
      <c r="I74" s="111"/>
      <c r="J74" s="112"/>
      <c r="K74" s="111"/>
      <c r="L74" s="113" t="s">
        <v>1718</v>
      </c>
      <c r="M74" s="267"/>
    </row>
    <row r="75" spans="1:13" ht="26.25" thickBot="1">
      <c r="A75" s="265"/>
      <c r="B75" s="110" t="s">
        <v>1719</v>
      </c>
      <c r="C75" s="111"/>
      <c r="D75" s="111"/>
      <c r="E75" s="112"/>
      <c r="F75" s="111"/>
      <c r="G75" s="111"/>
      <c r="H75" s="111"/>
      <c r="I75" s="111"/>
      <c r="J75" s="112"/>
      <c r="K75" s="111"/>
      <c r="L75" s="113" t="s">
        <v>1720</v>
      </c>
      <c r="M75" s="267"/>
    </row>
    <row r="76" spans="1:13" ht="26.25" thickBot="1">
      <c r="A76" s="265"/>
      <c r="B76" s="110" t="s">
        <v>1721</v>
      </c>
      <c r="C76" s="111"/>
      <c r="D76" s="111"/>
      <c r="E76" s="112"/>
      <c r="F76" s="111"/>
      <c r="G76" s="111"/>
      <c r="H76" s="111"/>
      <c r="I76" s="111"/>
      <c r="J76" s="112"/>
      <c r="K76" s="111"/>
      <c r="L76" s="113" t="s">
        <v>1722</v>
      </c>
      <c r="M76" s="267"/>
    </row>
    <row r="77" spans="1:13" ht="26.25" thickBot="1">
      <c r="A77" s="265"/>
      <c r="B77" s="110" t="s">
        <v>1723</v>
      </c>
      <c r="C77" s="111"/>
      <c r="D77" s="111"/>
      <c r="E77" s="112"/>
      <c r="F77" s="111"/>
      <c r="G77" s="111"/>
      <c r="H77" s="111"/>
      <c r="I77" s="111"/>
      <c r="J77" s="112"/>
      <c r="K77" s="111"/>
      <c r="L77" s="113" t="s">
        <v>1724</v>
      </c>
      <c r="M77" s="267"/>
    </row>
    <row r="78" spans="1:13" ht="26.25" thickBot="1">
      <c r="A78" s="265"/>
      <c r="B78" s="110" t="s">
        <v>1725</v>
      </c>
      <c r="C78" s="111"/>
      <c r="D78" s="111"/>
      <c r="E78" s="112"/>
      <c r="F78" s="111"/>
      <c r="G78" s="111"/>
      <c r="H78" s="111"/>
      <c r="I78" s="111"/>
      <c r="J78" s="112"/>
      <c r="K78" s="111"/>
      <c r="L78" s="113" t="s">
        <v>1726</v>
      </c>
      <c r="M78" s="267"/>
    </row>
    <row r="79" spans="1:13" ht="15.75" thickBot="1">
      <c r="A79" s="265"/>
      <c r="B79" s="110" t="s">
        <v>1727</v>
      </c>
      <c r="C79" s="111"/>
      <c r="D79" s="111"/>
      <c r="E79" s="112"/>
      <c r="F79" s="111"/>
      <c r="G79" s="111"/>
      <c r="H79" s="111"/>
      <c r="I79" s="111"/>
      <c r="J79" s="112"/>
      <c r="K79" s="111"/>
      <c r="L79" s="113" t="s">
        <v>1728</v>
      </c>
      <c r="M79" s="267"/>
    </row>
    <row r="80" spans="1:13" ht="15.75" thickBot="1">
      <c r="A80" s="265"/>
      <c r="B80" s="110" t="s">
        <v>1729</v>
      </c>
      <c r="C80" s="111"/>
      <c r="D80" s="111"/>
      <c r="E80" s="112"/>
      <c r="F80" s="111"/>
      <c r="G80" s="111"/>
      <c r="H80" s="111"/>
      <c r="I80" s="111"/>
      <c r="J80" s="112"/>
      <c r="K80" s="111"/>
      <c r="L80" s="113" t="s">
        <v>1730</v>
      </c>
      <c r="M80" s="267"/>
    </row>
    <row r="81" spans="1:13" ht="15.75" thickBot="1">
      <c r="A81" s="266"/>
      <c r="B81" s="110" t="s">
        <v>624</v>
      </c>
      <c r="C81" s="111">
        <v>4299969</v>
      </c>
      <c r="D81" s="111">
        <v>231271</v>
      </c>
      <c r="E81" s="112">
        <v>12059</v>
      </c>
      <c r="F81" s="111">
        <v>-8329</v>
      </c>
      <c r="G81" s="111">
        <v>-76693</v>
      </c>
      <c r="H81" s="111"/>
      <c r="I81" s="111"/>
      <c r="J81" s="112"/>
      <c r="K81" s="111">
        <v>4434159</v>
      </c>
      <c r="L81" s="113" t="s">
        <v>625</v>
      </c>
      <c r="M81" s="268"/>
    </row>
    <row r="82" spans="1:13" ht="17.25" customHeight="1">
      <c r="A82" s="275" t="s">
        <v>624</v>
      </c>
      <c r="B82" s="275"/>
      <c r="C82" s="275"/>
      <c r="D82" s="275"/>
      <c r="E82" s="275"/>
      <c r="F82" s="275"/>
      <c r="G82" s="276" t="s">
        <v>625</v>
      </c>
      <c r="H82" s="276"/>
      <c r="I82" s="276"/>
      <c r="J82" s="276"/>
      <c r="K82" s="276"/>
      <c r="L82" s="276"/>
      <c r="M82" s="276"/>
    </row>
    <row r="83" spans="1:13">
      <c r="A83" s="271"/>
      <c r="B83" s="271"/>
      <c r="C83" s="272" t="s">
        <v>1649</v>
      </c>
      <c r="D83" s="272"/>
      <c r="E83" s="272"/>
      <c r="F83" s="272"/>
      <c r="G83" s="272"/>
      <c r="H83" s="272"/>
      <c r="I83" s="272"/>
      <c r="J83" s="272"/>
      <c r="K83" s="272"/>
      <c r="L83" s="271"/>
      <c r="M83" s="271"/>
    </row>
    <row r="84" spans="1:13" ht="23.25">
      <c r="A84" s="271"/>
      <c r="B84" s="271"/>
      <c r="C84" s="109" t="s">
        <v>624</v>
      </c>
      <c r="D84" s="109" t="s">
        <v>1650</v>
      </c>
      <c r="E84" s="109" t="s">
        <v>1651</v>
      </c>
      <c r="F84" s="109" t="s">
        <v>1652</v>
      </c>
      <c r="G84" s="109" t="s">
        <v>1653</v>
      </c>
      <c r="H84" s="109" t="s">
        <v>1654</v>
      </c>
      <c r="I84" s="109" t="s">
        <v>1655</v>
      </c>
      <c r="J84" s="109" t="s">
        <v>1656</v>
      </c>
      <c r="K84" s="109" t="s">
        <v>624</v>
      </c>
      <c r="L84" s="271"/>
      <c r="M84" s="271"/>
    </row>
    <row r="85" spans="1:13" ht="15.75" thickBot="1">
      <c r="A85" s="110" t="s">
        <v>1733</v>
      </c>
      <c r="B85" s="110" t="s">
        <v>624</v>
      </c>
      <c r="C85" s="111">
        <v>3483034</v>
      </c>
      <c r="D85" s="111">
        <v>-87831</v>
      </c>
      <c r="E85" s="112">
        <v>2551</v>
      </c>
      <c r="F85" s="111">
        <v>-7220</v>
      </c>
      <c r="G85" s="111">
        <v>-69516</v>
      </c>
      <c r="H85" s="111"/>
      <c r="I85" s="111"/>
      <c r="J85" s="112"/>
      <c r="K85" s="111">
        <v>3315916</v>
      </c>
      <c r="L85" s="113" t="s">
        <v>625</v>
      </c>
      <c r="M85" s="113"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56A9C56-1025-4F81-8373-7848C110A163}">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7E102-25EA-40B2-BF11-0138E7502B4F}">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77" t="s">
        <v>1736</v>
      </c>
      <c r="B1" s="278"/>
      <c r="C1" s="278"/>
    </row>
    <row r="3" spans="1:3" ht="17.25" customHeight="1">
      <c r="A3" s="115" t="s">
        <v>1737</v>
      </c>
      <c r="B3" s="279" t="s">
        <v>1738</v>
      </c>
      <c r="C3" s="279"/>
    </row>
    <row r="4" spans="1:3">
      <c r="A4" s="116"/>
      <c r="B4" s="117" t="s">
        <v>104</v>
      </c>
    </row>
    <row r="5" spans="1:3" ht="15.75" thickBot="1">
      <c r="A5" s="118" t="s">
        <v>1737</v>
      </c>
      <c r="B5" s="119"/>
      <c r="C5" s="120" t="s">
        <v>1738</v>
      </c>
    </row>
    <row r="6" spans="1:3" ht="75" customHeight="1" thickBot="1">
      <c r="A6" s="121" t="s">
        <v>1739</v>
      </c>
      <c r="B6" s="122" t="s">
        <v>1740</v>
      </c>
      <c r="C6" s="120" t="s">
        <v>1741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311FBF-2AAE-49DE-9481-A03E72A15DD4}">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686FB-1F77-4DB2-94A4-98DC6247A119}">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1742</v>
      </c>
    </row>
    <row r="3" spans="1:8" ht="17.25" customHeight="1">
      <c r="A3" s="281" t="s">
        <v>104</v>
      </c>
      <c r="B3" s="281"/>
      <c r="C3" s="281"/>
      <c r="D3" s="281"/>
      <c r="E3" s="282" t="s">
        <v>107</v>
      </c>
      <c r="F3" s="282"/>
      <c r="G3" s="282"/>
      <c r="H3" s="282"/>
    </row>
    <row r="4" spans="1:8" ht="17.25" customHeight="1">
      <c r="A4" s="281" t="s">
        <v>1743</v>
      </c>
      <c r="B4" s="281"/>
      <c r="C4" s="282" t="s">
        <v>1744</v>
      </c>
      <c r="D4" s="282"/>
      <c r="E4" s="281" t="s">
        <v>1743</v>
      </c>
      <c r="F4" s="281"/>
      <c r="G4" s="282" t="s">
        <v>1744</v>
      </c>
      <c r="H4" s="282"/>
    </row>
    <row r="5" spans="1:8" ht="23.25">
      <c r="A5" s="280"/>
      <c r="B5" s="125" t="s">
        <v>1745</v>
      </c>
      <c r="C5" s="125" t="s">
        <v>964</v>
      </c>
      <c r="D5" s="280"/>
      <c r="E5" s="280"/>
      <c r="F5" s="125" t="s">
        <v>1745</v>
      </c>
      <c r="G5" s="125" t="s">
        <v>964</v>
      </c>
      <c r="H5" s="280"/>
    </row>
    <row r="6" spans="1:8">
      <c r="A6" s="280"/>
      <c r="B6" s="126" t="s">
        <v>1746</v>
      </c>
      <c r="C6" s="126" t="s">
        <v>965</v>
      </c>
      <c r="D6" s="280"/>
      <c r="E6" s="280"/>
      <c r="F6" s="126" t="s">
        <v>1746</v>
      </c>
      <c r="G6" s="126" t="s">
        <v>965</v>
      </c>
      <c r="H6" s="280"/>
    </row>
    <row r="7" spans="1:8" ht="15.75" thickBot="1">
      <c r="A7" s="127" t="s">
        <v>1747</v>
      </c>
      <c r="B7" s="128"/>
      <c r="C7" s="129"/>
      <c r="D7" s="130" t="s">
        <v>1748</v>
      </c>
      <c r="E7" s="127" t="s">
        <v>1747</v>
      </c>
      <c r="F7" s="128"/>
      <c r="G7" s="129"/>
      <c r="H7" s="130" t="s">
        <v>1748</v>
      </c>
    </row>
    <row r="8" spans="1:8" ht="15.75" thickBot="1">
      <c r="A8" s="127" t="s">
        <v>1749</v>
      </c>
      <c r="B8" s="128"/>
      <c r="C8" s="129"/>
      <c r="D8" s="130" t="s">
        <v>1750</v>
      </c>
      <c r="E8" s="127" t="s">
        <v>1749</v>
      </c>
      <c r="F8" s="128"/>
      <c r="G8" s="129"/>
      <c r="H8" s="130" t="s">
        <v>1750</v>
      </c>
    </row>
    <row r="9" spans="1:8" ht="15.75" thickBot="1">
      <c r="A9" s="127" t="s">
        <v>1751</v>
      </c>
      <c r="B9" s="128"/>
      <c r="C9" s="129"/>
      <c r="D9" s="130" t="s">
        <v>1752</v>
      </c>
      <c r="E9" s="127" t="s">
        <v>1751</v>
      </c>
      <c r="F9" s="128"/>
      <c r="G9" s="129"/>
      <c r="H9" s="130" t="s">
        <v>1752</v>
      </c>
    </row>
    <row r="10" spans="1:8" ht="15.75" thickBot="1">
      <c r="A10" s="127" t="s">
        <v>1753</v>
      </c>
      <c r="B10" s="128"/>
      <c r="C10" s="129"/>
      <c r="D10" s="130" t="s">
        <v>1754</v>
      </c>
      <c r="E10" s="127" t="s">
        <v>1753</v>
      </c>
      <c r="F10" s="128"/>
      <c r="G10" s="129"/>
      <c r="H10" s="130" t="s">
        <v>1754</v>
      </c>
    </row>
    <row r="11" spans="1:8" ht="15.75" thickBot="1">
      <c r="A11" s="127" t="s">
        <v>1755</v>
      </c>
      <c r="B11" s="128"/>
      <c r="C11" s="129"/>
      <c r="D11" s="130" t="s">
        <v>1756</v>
      </c>
      <c r="E11" s="127" t="s">
        <v>1755</v>
      </c>
      <c r="F11" s="128"/>
      <c r="G11" s="129"/>
      <c r="H11" s="130" t="s">
        <v>1756</v>
      </c>
    </row>
    <row r="12" spans="1:8" ht="15.75" thickBot="1">
      <c r="A12" s="127" t="s">
        <v>1757</v>
      </c>
      <c r="B12" s="128"/>
      <c r="C12" s="129"/>
      <c r="D12" s="130" t="s">
        <v>1758</v>
      </c>
      <c r="E12" s="127" t="s">
        <v>1757</v>
      </c>
      <c r="F12" s="128"/>
      <c r="G12" s="129"/>
      <c r="H12" s="130" t="s">
        <v>1758</v>
      </c>
    </row>
    <row r="13" spans="1:8" ht="15.75" thickBot="1">
      <c r="A13" s="127" t="s">
        <v>1759</v>
      </c>
      <c r="B13" s="128"/>
      <c r="C13" s="129"/>
      <c r="D13" s="130" t="s">
        <v>1760</v>
      </c>
      <c r="E13" s="127" t="s">
        <v>1759</v>
      </c>
      <c r="F13" s="128"/>
      <c r="G13" s="129"/>
      <c r="H13" s="130" t="s">
        <v>1760</v>
      </c>
    </row>
    <row r="14" spans="1:8" ht="15.75" thickBot="1">
      <c r="A14" s="127" t="s">
        <v>1761</v>
      </c>
      <c r="B14" s="128"/>
      <c r="C14" s="129"/>
      <c r="D14" s="130" t="s">
        <v>1762</v>
      </c>
      <c r="E14" s="127" t="s">
        <v>1761</v>
      </c>
      <c r="F14" s="128"/>
      <c r="G14" s="129"/>
      <c r="H14" s="130" t="s">
        <v>1762</v>
      </c>
    </row>
    <row r="15" spans="1:8" ht="15.75" thickBot="1">
      <c r="A15" s="127" t="s">
        <v>1763</v>
      </c>
      <c r="B15" s="128"/>
      <c r="C15" s="129"/>
      <c r="D15" s="130" t="s">
        <v>1764</v>
      </c>
      <c r="E15" s="127" t="s">
        <v>1763</v>
      </c>
      <c r="F15" s="128"/>
      <c r="G15" s="129"/>
      <c r="H15" s="130" t="s">
        <v>1764</v>
      </c>
    </row>
    <row r="16" spans="1:8" ht="15.75" thickBot="1">
      <c r="A16" s="127" t="s">
        <v>1765</v>
      </c>
      <c r="B16" s="128"/>
      <c r="C16" s="129"/>
      <c r="D16" s="130" t="s">
        <v>1766</v>
      </c>
      <c r="E16" s="127" t="s">
        <v>1765</v>
      </c>
      <c r="F16" s="128"/>
      <c r="G16" s="129"/>
      <c r="H16" s="130" t="s">
        <v>1766</v>
      </c>
    </row>
    <row r="17" spans="1:8" ht="15.75" thickBot="1">
      <c r="A17" s="127" t="s">
        <v>1767</v>
      </c>
      <c r="B17" s="128"/>
      <c r="C17" s="129"/>
      <c r="D17" s="130" t="s">
        <v>1768</v>
      </c>
      <c r="E17" s="127" t="s">
        <v>1767</v>
      </c>
      <c r="F17" s="128"/>
      <c r="G17" s="129"/>
      <c r="H17" s="130" t="s">
        <v>1768</v>
      </c>
    </row>
    <row r="18" spans="1:8" ht="15.75" thickBot="1">
      <c r="A18" s="127" t="s">
        <v>1769</v>
      </c>
      <c r="B18" s="128"/>
      <c r="C18" s="129"/>
      <c r="D18" s="130" t="s">
        <v>1770</v>
      </c>
      <c r="E18" s="127" t="s">
        <v>1769</v>
      </c>
      <c r="F18" s="128"/>
      <c r="G18" s="129"/>
      <c r="H18" s="130" t="s">
        <v>1770</v>
      </c>
    </row>
    <row r="19" spans="1:8" ht="15.75" thickBot="1">
      <c r="A19" s="127" t="s">
        <v>1771</v>
      </c>
      <c r="B19" s="128"/>
      <c r="C19" s="129">
        <v>1701254</v>
      </c>
      <c r="D19" s="130" t="s">
        <v>1772</v>
      </c>
      <c r="E19" s="127" t="s">
        <v>1771</v>
      </c>
      <c r="F19" s="128"/>
      <c r="G19" s="129">
        <v>1385493</v>
      </c>
      <c r="H19" s="130" t="s">
        <v>1772</v>
      </c>
    </row>
    <row r="20" spans="1:8" ht="15.75" thickBot="1">
      <c r="A20" s="127" t="s">
        <v>1773</v>
      </c>
      <c r="B20" s="128"/>
      <c r="C20" s="129"/>
      <c r="D20" s="130" t="s">
        <v>1774</v>
      </c>
      <c r="E20" s="127" t="s">
        <v>1773</v>
      </c>
      <c r="F20" s="128"/>
      <c r="G20" s="129"/>
      <c r="H20" s="130" t="s">
        <v>1774</v>
      </c>
    </row>
    <row r="21" spans="1:8" ht="15.75" thickBot="1">
      <c r="A21" s="127" t="s">
        <v>1775</v>
      </c>
      <c r="B21" s="128"/>
      <c r="C21" s="129"/>
      <c r="D21" s="130" t="s">
        <v>1776</v>
      </c>
      <c r="E21" s="127" t="s">
        <v>1775</v>
      </c>
      <c r="F21" s="128"/>
      <c r="G21" s="129"/>
      <c r="H21" s="130" t="s">
        <v>1776</v>
      </c>
    </row>
    <row r="22" spans="1:8" ht="15.75" thickBot="1">
      <c r="A22" s="127" t="s">
        <v>1777</v>
      </c>
      <c r="B22" s="128"/>
      <c r="C22" s="129"/>
      <c r="D22" s="130" t="s">
        <v>1778</v>
      </c>
      <c r="E22" s="127" t="s">
        <v>1777</v>
      </c>
      <c r="F22" s="128"/>
      <c r="G22" s="129"/>
      <c r="H22" s="130" t="s">
        <v>1778</v>
      </c>
    </row>
    <row r="23" spans="1:8" ht="15.75" thickBot="1">
      <c r="A23" s="127" t="s">
        <v>1779</v>
      </c>
      <c r="B23" s="128"/>
      <c r="C23" s="129"/>
      <c r="D23" s="130" t="s">
        <v>1780</v>
      </c>
      <c r="E23" s="127" t="s">
        <v>1779</v>
      </c>
      <c r="F23" s="128"/>
      <c r="G23" s="129"/>
      <c r="H23" s="130" t="s">
        <v>1780</v>
      </c>
    </row>
    <row r="24" spans="1:8" ht="15.75" thickBot="1">
      <c r="A24" s="127" t="s">
        <v>1781</v>
      </c>
      <c r="B24" s="128"/>
      <c r="C24" s="129"/>
      <c r="D24" s="130" t="s">
        <v>1782</v>
      </c>
      <c r="E24" s="127" t="s">
        <v>1781</v>
      </c>
      <c r="F24" s="128"/>
      <c r="G24" s="129"/>
      <c r="H24" s="130" t="s">
        <v>1782</v>
      </c>
    </row>
    <row r="25" spans="1:8" ht="15.75" thickBot="1">
      <c r="A25" s="127" t="s">
        <v>1783</v>
      </c>
      <c r="B25" s="128"/>
      <c r="C25" s="129"/>
      <c r="D25" s="130" t="s">
        <v>1784</v>
      </c>
      <c r="E25" s="127" t="s">
        <v>1783</v>
      </c>
      <c r="F25" s="128"/>
      <c r="G25" s="129"/>
      <c r="H25" s="130" t="s">
        <v>1784</v>
      </c>
    </row>
    <row r="26" spans="1:8" ht="15.75" thickBot="1">
      <c r="A26" s="127" t="s">
        <v>1785</v>
      </c>
      <c r="B26" s="128"/>
      <c r="C26" s="129"/>
      <c r="D26" s="130" t="s">
        <v>1786</v>
      </c>
      <c r="E26" s="127" t="s">
        <v>1785</v>
      </c>
      <c r="F26" s="128"/>
      <c r="G26" s="129"/>
      <c r="H26" s="130" t="s">
        <v>1786</v>
      </c>
    </row>
    <row r="27" spans="1:8" ht="15.75" thickBot="1">
      <c r="A27" s="127" t="s">
        <v>1787</v>
      </c>
      <c r="B27" s="128"/>
      <c r="C27" s="129"/>
      <c r="D27" s="130" t="s">
        <v>1788</v>
      </c>
      <c r="E27" s="127" t="s">
        <v>1787</v>
      </c>
      <c r="F27" s="128"/>
      <c r="G27" s="129"/>
      <c r="H27" s="130" t="s">
        <v>1788</v>
      </c>
    </row>
    <row r="28" spans="1:8" ht="15.75" thickBot="1">
      <c r="A28" s="127" t="s">
        <v>1789</v>
      </c>
      <c r="B28" s="128"/>
      <c r="C28" s="129"/>
      <c r="D28" s="130" t="s">
        <v>1790</v>
      </c>
      <c r="E28" s="127" t="s">
        <v>1789</v>
      </c>
      <c r="F28" s="128"/>
      <c r="G28" s="129"/>
      <c r="H28" s="130" t="s">
        <v>1790</v>
      </c>
    </row>
    <row r="29" spans="1:8" ht="26.25" thickBot="1">
      <c r="A29" s="127" t="s">
        <v>1791</v>
      </c>
      <c r="B29" s="128"/>
      <c r="C29" s="129"/>
      <c r="D29" s="130" t="s">
        <v>1792</v>
      </c>
      <c r="E29" s="127" t="s">
        <v>1791</v>
      </c>
      <c r="F29" s="128"/>
      <c r="G29" s="129"/>
      <c r="H29" s="130" t="s">
        <v>1792</v>
      </c>
    </row>
    <row r="30" spans="1:8" ht="15.75" thickBot="1">
      <c r="A30" s="127" t="s">
        <v>1793</v>
      </c>
      <c r="B30" s="128"/>
      <c r="C30" s="129">
        <v>1701254</v>
      </c>
      <c r="D30" s="130" t="s">
        <v>1794</v>
      </c>
      <c r="E30" s="127" t="s">
        <v>1793</v>
      </c>
      <c r="F30" s="128"/>
      <c r="G30" s="129">
        <v>1385493</v>
      </c>
      <c r="H30" s="130" t="s">
        <v>1794</v>
      </c>
    </row>
    <row r="31" spans="1:8" ht="15.75" thickBot="1">
      <c r="A31" s="127" t="s">
        <v>1795</v>
      </c>
      <c r="B31" s="128"/>
      <c r="C31" s="129">
        <v>1701254</v>
      </c>
      <c r="D31" s="130" t="s">
        <v>1796</v>
      </c>
      <c r="E31" s="127" t="s">
        <v>1795</v>
      </c>
      <c r="F31" s="128"/>
      <c r="G31" s="129">
        <v>1385493</v>
      </c>
      <c r="H31" s="130" t="s">
        <v>1796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AA450F2-0A91-46DA-B9A8-AA5261915C4E}">
      <formula1>-9.99999999999999E+33</formula1>
      <formula2>9.99999999999999E+33</formula2>
    </dataValidation>
    <dataValidation type="textLength" operator="greaterThan" allowBlank="1" showErrorMessage="1" errorTitle="Invalid Data Type" error="Please input data in String Data Type" sqref="B7:B31 F7:F31" xr:uid="{7C6D23EB-A7BE-42FE-9010-342D794D46C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EA9E1-B076-48E5-900E-C8B1AC885C38}">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3" width="14" style="132" bestFit="1" customWidth="1" collapsed="1"/>
    <col min="14" max="14" width="9.83203125" style="132" customWidth="1" collapsed="1"/>
    <col min="15" max="16384" width="9.33203125" style="132" collapsed="1"/>
  </cols>
  <sheetData>
    <row r="1" spans="1:10" ht="17.25">
      <c r="A1" s="131" t="s">
        <v>1797</v>
      </c>
    </row>
    <row r="3" spans="1:10" ht="17.25" customHeight="1">
      <c r="A3" s="286" t="s">
        <v>19</v>
      </c>
      <c r="B3" s="286"/>
      <c r="C3" s="286"/>
      <c r="D3" s="286"/>
      <c r="E3" s="286"/>
      <c r="F3" s="287" t="s">
        <v>106</v>
      </c>
      <c r="G3" s="287"/>
      <c r="H3" s="287"/>
      <c r="I3" s="287"/>
      <c r="J3" s="287"/>
    </row>
    <row r="4" spans="1:10" ht="34.5" customHeight="1">
      <c r="A4" s="286" t="s">
        <v>1798</v>
      </c>
      <c r="B4" s="286"/>
      <c r="C4" s="287" t="s">
        <v>1799</v>
      </c>
      <c r="D4" s="287"/>
      <c r="E4" s="287"/>
      <c r="F4" s="286" t="s">
        <v>1798</v>
      </c>
      <c r="G4" s="286"/>
      <c r="H4" s="287" t="s">
        <v>1799</v>
      </c>
      <c r="I4" s="287"/>
      <c r="J4" s="287"/>
    </row>
    <row r="5" spans="1:10" ht="23.25">
      <c r="A5" s="283"/>
      <c r="B5" s="283"/>
      <c r="C5" s="133" t="s">
        <v>1800</v>
      </c>
      <c r="D5" s="283"/>
      <c r="E5" s="283"/>
      <c r="F5" s="283"/>
      <c r="G5" s="283"/>
      <c r="H5" s="133" t="s">
        <v>1800</v>
      </c>
      <c r="I5" s="283"/>
      <c r="J5" s="283"/>
    </row>
    <row r="6" spans="1:10">
      <c r="A6" s="283"/>
      <c r="B6" s="283"/>
      <c r="C6" s="133" t="s">
        <v>1801</v>
      </c>
      <c r="D6" s="283"/>
      <c r="E6" s="283"/>
      <c r="F6" s="283"/>
      <c r="G6" s="283"/>
      <c r="H6" s="133" t="s">
        <v>1801</v>
      </c>
      <c r="I6" s="283"/>
      <c r="J6" s="283"/>
    </row>
    <row r="7" spans="1:10" ht="15.75" thickBot="1">
      <c r="A7" s="290" t="s">
        <v>1802</v>
      </c>
      <c r="B7" s="134" t="s">
        <v>1803</v>
      </c>
      <c r="C7" s="135">
        <v>430643</v>
      </c>
      <c r="D7" s="136" t="s">
        <v>1803</v>
      </c>
      <c r="E7" s="293" t="s">
        <v>1804</v>
      </c>
      <c r="F7" s="290" t="s">
        <v>1802</v>
      </c>
      <c r="G7" s="134" t="s">
        <v>1803</v>
      </c>
      <c r="H7" s="135">
        <v>330752</v>
      </c>
      <c r="I7" s="136" t="s">
        <v>1803</v>
      </c>
      <c r="J7" s="293" t="s">
        <v>1804</v>
      </c>
    </row>
    <row r="8" spans="1:10" ht="15.75" thickBot="1">
      <c r="A8" s="290"/>
      <c r="B8" s="134" t="s">
        <v>1805</v>
      </c>
      <c r="C8" s="135"/>
      <c r="D8" s="136" t="s">
        <v>1805</v>
      </c>
      <c r="E8" s="293"/>
      <c r="F8" s="290"/>
      <c r="G8" s="134" t="s">
        <v>1805</v>
      </c>
      <c r="H8" s="135"/>
      <c r="I8" s="136" t="s">
        <v>1805</v>
      </c>
      <c r="J8" s="293"/>
    </row>
    <row r="9" spans="1:10" ht="15.75" thickBot="1">
      <c r="A9" s="290"/>
      <c r="B9" s="134" t="s">
        <v>1806</v>
      </c>
      <c r="C9" s="135"/>
      <c r="D9" s="136" t="s">
        <v>1806</v>
      </c>
      <c r="E9" s="293"/>
      <c r="F9" s="290"/>
      <c r="G9" s="134" t="s">
        <v>1806</v>
      </c>
      <c r="H9" s="135"/>
      <c r="I9" s="136" t="s">
        <v>1806</v>
      </c>
      <c r="J9" s="293"/>
    </row>
    <row r="10" spans="1:10" ht="15.75" thickBot="1">
      <c r="A10" s="290"/>
      <c r="B10" s="134" t="s">
        <v>1807</v>
      </c>
      <c r="C10" s="135">
        <v>2654</v>
      </c>
      <c r="D10" s="136" t="s">
        <v>1807</v>
      </c>
      <c r="E10" s="293"/>
      <c r="F10" s="290"/>
      <c r="G10" s="134" t="s">
        <v>1807</v>
      </c>
      <c r="H10" s="135">
        <v>4322</v>
      </c>
      <c r="I10" s="136" t="s">
        <v>1807</v>
      </c>
      <c r="J10" s="293"/>
    </row>
    <row r="11" spans="1:10" ht="15.75" thickBot="1">
      <c r="A11" s="290"/>
      <c r="B11" s="134" t="s">
        <v>1808</v>
      </c>
      <c r="C11" s="135">
        <v>15728</v>
      </c>
      <c r="D11" s="136" t="s">
        <v>1808</v>
      </c>
      <c r="E11" s="293"/>
      <c r="F11" s="290"/>
      <c r="G11" s="134" t="s">
        <v>1808</v>
      </c>
      <c r="H11" s="135">
        <v>14482</v>
      </c>
      <c r="I11" s="136" t="s">
        <v>1808</v>
      </c>
      <c r="J11" s="293"/>
    </row>
    <row r="12" spans="1:10" ht="15.75" thickBot="1">
      <c r="A12" s="290"/>
      <c r="B12" s="134" t="s">
        <v>1809</v>
      </c>
      <c r="C12" s="135"/>
      <c r="D12" s="136" t="s">
        <v>1809</v>
      </c>
      <c r="E12" s="293"/>
      <c r="F12" s="290"/>
      <c r="G12" s="134" t="s">
        <v>1809</v>
      </c>
      <c r="H12" s="135"/>
      <c r="I12" s="136" t="s">
        <v>1809</v>
      </c>
      <c r="J12" s="293"/>
    </row>
    <row r="13" spans="1:10" ht="15.75" thickBot="1">
      <c r="A13" s="290"/>
      <c r="B13" s="134" t="s">
        <v>1810</v>
      </c>
      <c r="C13" s="135"/>
      <c r="D13" s="136" t="s">
        <v>1810</v>
      </c>
      <c r="E13" s="293"/>
      <c r="F13" s="290"/>
      <c r="G13" s="134" t="s">
        <v>1810</v>
      </c>
      <c r="H13" s="135"/>
      <c r="I13" s="136" t="s">
        <v>1810</v>
      </c>
      <c r="J13" s="293"/>
    </row>
    <row r="14" spans="1:10" ht="15.75" thickBot="1">
      <c r="A14" s="290"/>
      <c r="B14" s="134" t="s">
        <v>1811</v>
      </c>
      <c r="C14" s="135">
        <v>5164</v>
      </c>
      <c r="D14" s="136" t="s">
        <v>1811</v>
      </c>
      <c r="E14" s="293"/>
      <c r="F14" s="290"/>
      <c r="G14" s="134" t="s">
        <v>1811</v>
      </c>
      <c r="H14" s="135"/>
      <c r="I14" s="136" t="s">
        <v>1811</v>
      </c>
      <c r="J14" s="293"/>
    </row>
    <row r="15" spans="1:10" ht="15.75" thickBot="1">
      <c r="A15" s="290"/>
      <c r="B15" s="134" t="s">
        <v>1812</v>
      </c>
      <c r="C15" s="135"/>
      <c r="D15" s="136" t="s">
        <v>1812</v>
      </c>
      <c r="E15" s="293"/>
      <c r="F15" s="290"/>
      <c r="G15" s="134" t="s">
        <v>1812</v>
      </c>
      <c r="H15" s="135"/>
      <c r="I15" s="136" t="s">
        <v>1812</v>
      </c>
      <c r="J15" s="293"/>
    </row>
    <row r="16" spans="1:10" ht="15.75" thickBot="1">
      <c r="A16" s="290"/>
      <c r="B16" s="134" t="s">
        <v>1813</v>
      </c>
      <c r="C16" s="135"/>
      <c r="D16" s="136" t="s">
        <v>1813</v>
      </c>
      <c r="E16" s="293"/>
      <c r="F16" s="290"/>
      <c r="G16" s="134" t="s">
        <v>1813</v>
      </c>
      <c r="H16" s="135"/>
      <c r="I16" s="136" t="s">
        <v>1813</v>
      </c>
      <c r="J16" s="293"/>
    </row>
    <row r="17" spans="1:10" ht="15.75" thickBot="1">
      <c r="A17" s="290"/>
      <c r="B17" s="134" t="s">
        <v>1814</v>
      </c>
      <c r="C17" s="135">
        <v>252713</v>
      </c>
      <c r="D17" s="136" t="s">
        <v>1814</v>
      </c>
      <c r="E17" s="293"/>
      <c r="F17" s="290"/>
      <c r="G17" s="134" t="s">
        <v>1814</v>
      </c>
      <c r="H17" s="135">
        <v>202022</v>
      </c>
      <c r="I17" s="136" t="s">
        <v>1814</v>
      </c>
      <c r="J17" s="293"/>
    </row>
    <row r="18" spans="1:10" ht="15.75" thickBot="1">
      <c r="A18" s="290"/>
      <c r="B18" s="134" t="s">
        <v>1815</v>
      </c>
      <c r="C18" s="135"/>
      <c r="D18" s="136" t="s">
        <v>1816</v>
      </c>
      <c r="E18" s="293"/>
      <c r="F18" s="290"/>
      <c r="G18" s="134" t="s">
        <v>1815</v>
      </c>
      <c r="H18" s="135"/>
      <c r="I18" s="136" t="s">
        <v>1816</v>
      </c>
      <c r="J18" s="293"/>
    </row>
    <row r="19" spans="1:10" ht="15.75" thickBot="1">
      <c r="A19" s="291"/>
      <c r="B19" s="134" t="s">
        <v>1817</v>
      </c>
      <c r="C19" s="135">
        <v>706902</v>
      </c>
      <c r="D19" s="136" t="s">
        <v>1818</v>
      </c>
      <c r="E19" s="294"/>
      <c r="F19" s="291"/>
      <c r="G19" s="134" t="s">
        <v>1817</v>
      </c>
      <c r="H19" s="135">
        <v>551578</v>
      </c>
      <c r="I19" s="136" t="s">
        <v>1818</v>
      </c>
      <c r="J19" s="294"/>
    </row>
    <row r="20" spans="1:10" ht="15.75" thickBot="1">
      <c r="A20" s="289" t="s">
        <v>1819</v>
      </c>
      <c r="B20" s="134" t="s">
        <v>1803</v>
      </c>
      <c r="C20" s="135">
        <v>20935</v>
      </c>
      <c r="D20" s="136" t="s">
        <v>1803</v>
      </c>
      <c r="E20" s="292" t="s">
        <v>1820</v>
      </c>
      <c r="F20" s="289" t="s">
        <v>1819</v>
      </c>
      <c r="G20" s="134" t="s">
        <v>1803</v>
      </c>
      <c r="H20" s="135">
        <v>19319</v>
      </c>
      <c r="I20" s="136" t="s">
        <v>1803</v>
      </c>
      <c r="J20" s="292" t="s">
        <v>1820</v>
      </c>
    </row>
    <row r="21" spans="1:10" ht="15.75" thickBot="1">
      <c r="A21" s="290"/>
      <c r="B21" s="134" t="s">
        <v>1805</v>
      </c>
      <c r="C21" s="135"/>
      <c r="D21" s="136" t="s">
        <v>1805</v>
      </c>
      <c r="E21" s="293"/>
      <c r="F21" s="290"/>
      <c r="G21" s="134" t="s">
        <v>1805</v>
      </c>
      <c r="H21" s="135"/>
      <c r="I21" s="136" t="s">
        <v>1805</v>
      </c>
      <c r="J21" s="293"/>
    </row>
    <row r="22" spans="1:10" ht="15.75" thickBot="1">
      <c r="A22" s="290"/>
      <c r="B22" s="134" t="s">
        <v>1806</v>
      </c>
      <c r="C22" s="135"/>
      <c r="D22" s="136" t="s">
        <v>1806</v>
      </c>
      <c r="E22" s="293"/>
      <c r="F22" s="290"/>
      <c r="G22" s="134" t="s">
        <v>1806</v>
      </c>
      <c r="H22" s="135"/>
      <c r="I22" s="136" t="s">
        <v>1806</v>
      </c>
      <c r="J22" s="293"/>
    </row>
    <row r="23" spans="1:10" ht="15.75" thickBot="1">
      <c r="A23" s="290"/>
      <c r="B23" s="134" t="s">
        <v>1807</v>
      </c>
      <c r="C23" s="135"/>
      <c r="D23" s="136" t="s">
        <v>1807</v>
      </c>
      <c r="E23" s="293"/>
      <c r="F23" s="290"/>
      <c r="G23" s="134" t="s">
        <v>1807</v>
      </c>
      <c r="H23" s="135"/>
      <c r="I23" s="136" t="s">
        <v>1807</v>
      </c>
      <c r="J23" s="293"/>
    </row>
    <row r="24" spans="1:10" ht="15.75" thickBot="1">
      <c r="A24" s="290"/>
      <c r="B24" s="134" t="s">
        <v>1808</v>
      </c>
      <c r="C24" s="135"/>
      <c r="D24" s="136" t="s">
        <v>1808</v>
      </c>
      <c r="E24" s="293"/>
      <c r="F24" s="290"/>
      <c r="G24" s="134" t="s">
        <v>1808</v>
      </c>
      <c r="H24" s="135"/>
      <c r="I24" s="136" t="s">
        <v>1808</v>
      </c>
      <c r="J24" s="293"/>
    </row>
    <row r="25" spans="1:10" ht="15.75" thickBot="1">
      <c r="A25" s="290"/>
      <c r="B25" s="134" t="s">
        <v>1809</v>
      </c>
      <c r="C25" s="135"/>
      <c r="D25" s="136" t="s">
        <v>1809</v>
      </c>
      <c r="E25" s="293"/>
      <c r="F25" s="290"/>
      <c r="G25" s="134" t="s">
        <v>1809</v>
      </c>
      <c r="H25" s="135"/>
      <c r="I25" s="136" t="s">
        <v>1809</v>
      </c>
      <c r="J25" s="293"/>
    </row>
    <row r="26" spans="1:10" ht="15.75" thickBot="1">
      <c r="A26" s="290"/>
      <c r="B26" s="134" t="s">
        <v>1810</v>
      </c>
      <c r="C26" s="135"/>
      <c r="D26" s="136" t="s">
        <v>1810</v>
      </c>
      <c r="E26" s="293"/>
      <c r="F26" s="290"/>
      <c r="G26" s="134" t="s">
        <v>1810</v>
      </c>
      <c r="H26" s="135"/>
      <c r="I26" s="136" t="s">
        <v>1810</v>
      </c>
      <c r="J26" s="293"/>
    </row>
    <row r="27" spans="1:10" ht="15.75" thickBot="1">
      <c r="A27" s="290"/>
      <c r="B27" s="134" t="s">
        <v>1811</v>
      </c>
      <c r="C27" s="135"/>
      <c r="D27" s="136" t="s">
        <v>1811</v>
      </c>
      <c r="E27" s="293"/>
      <c r="F27" s="290"/>
      <c r="G27" s="134" t="s">
        <v>1811</v>
      </c>
      <c r="H27" s="135"/>
      <c r="I27" s="136" t="s">
        <v>1811</v>
      </c>
      <c r="J27" s="293"/>
    </row>
    <row r="28" spans="1:10" ht="15.75" thickBot="1">
      <c r="A28" s="290"/>
      <c r="B28" s="134" t="s">
        <v>1812</v>
      </c>
      <c r="C28" s="135"/>
      <c r="D28" s="136" t="s">
        <v>1812</v>
      </c>
      <c r="E28" s="293"/>
      <c r="F28" s="290"/>
      <c r="G28" s="134" t="s">
        <v>1812</v>
      </c>
      <c r="H28" s="135"/>
      <c r="I28" s="136" t="s">
        <v>1812</v>
      </c>
      <c r="J28" s="293"/>
    </row>
    <row r="29" spans="1:10" ht="15.75" thickBot="1">
      <c r="A29" s="290"/>
      <c r="B29" s="134" t="s">
        <v>1813</v>
      </c>
      <c r="C29" s="135"/>
      <c r="D29" s="136" t="s">
        <v>1813</v>
      </c>
      <c r="E29" s="293"/>
      <c r="F29" s="290"/>
      <c r="G29" s="134" t="s">
        <v>1813</v>
      </c>
      <c r="H29" s="135"/>
      <c r="I29" s="136" t="s">
        <v>1813</v>
      </c>
      <c r="J29" s="293"/>
    </row>
    <row r="30" spans="1:10" ht="15.75" thickBot="1">
      <c r="A30" s="290"/>
      <c r="B30" s="134" t="s">
        <v>1814</v>
      </c>
      <c r="C30" s="135"/>
      <c r="D30" s="136" t="s">
        <v>1814</v>
      </c>
      <c r="E30" s="293"/>
      <c r="F30" s="290"/>
      <c r="G30" s="134" t="s">
        <v>1814</v>
      </c>
      <c r="H30" s="135"/>
      <c r="I30" s="136" t="s">
        <v>1814</v>
      </c>
      <c r="J30" s="293"/>
    </row>
    <row r="31" spans="1:10" ht="15.75" thickBot="1">
      <c r="A31" s="290"/>
      <c r="B31" s="134" t="s">
        <v>1815</v>
      </c>
      <c r="C31" s="135"/>
      <c r="D31" s="136" t="s">
        <v>1816</v>
      </c>
      <c r="E31" s="293"/>
      <c r="F31" s="290"/>
      <c r="G31" s="134" t="s">
        <v>1815</v>
      </c>
      <c r="H31" s="135"/>
      <c r="I31" s="136" t="s">
        <v>1816</v>
      </c>
      <c r="J31" s="293"/>
    </row>
    <row r="32" spans="1:10" ht="15.75" thickBot="1">
      <c r="A32" s="291"/>
      <c r="B32" s="134" t="s">
        <v>1817</v>
      </c>
      <c r="C32" s="135">
        <v>20935</v>
      </c>
      <c r="D32" s="136" t="s">
        <v>1818</v>
      </c>
      <c r="E32" s="294"/>
      <c r="F32" s="291"/>
      <c r="G32" s="134" t="s">
        <v>1817</v>
      </c>
      <c r="H32" s="135">
        <v>19319</v>
      </c>
      <c r="I32" s="136" t="s">
        <v>1818</v>
      </c>
      <c r="J32" s="294"/>
    </row>
    <row r="33" spans="1:14" ht="17.25" customHeight="1">
      <c r="A33" s="284" t="s">
        <v>19</v>
      </c>
      <c r="B33" s="284"/>
      <c r="C33" s="284"/>
      <c r="D33" s="284"/>
      <c r="E33" s="284"/>
      <c r="F33" s="284"/>
      <c r="G33" s="284"/>
      <c r="H33" s="287" t="s">
        <v>106</v>
      </c>
      <c r="I33" s="287"/>
      <c r="J33" s="287"/>
      <c r="K33" s="287"/>
      <c r="L33" s="287"/>
      <c r="M33" s="287"/>
      <c r="N33" s="287"/>
    </row>
    <row r="34" spans="1:14" ht="17.25" customHeight="1">
      <c r="A34" s="286" t="s">
        <v>1798</v>
      </c>
      <c r="B34" s="286"/>
      <c r="C34" s="286"/>
      <c r="D34" s="287" t="s">
        <v>1799</v>
      </c>
      <c r="E34" s="287"/>
      <c r="F34" s="287"/>
      <c r="G34" s="287"/>
      <c r="H34" s="286" t="s">
        <v>1798</v>
      </c>
      <c r="I34" s="286"/>
      <c r="J34" s="286"/>
      <c r="K34" s="287" t="s">
        <v>1799</v>
      </c>
      <c r="L34" s="287"/>
      <c r="M34" s="287"/>
      <c r="N34" s="287"/>
    </row>
    <row r="35" spans="1:14">
      <c r="A35" s="283"/>
      <c r="B35" s="283"/>
      <c r="C35" s="288" t="s">
        <v>1800</v>
      </c>
      <c r="D35" s="288"/>
      <c r="E35" s="288"/>
      <c r="F35" s="283"/>
      <c r="G35" s="283"/>
      <c r="H35" s="283"/>
      <c r="I35" s="283"/>
      <c r="J35" s="288" t="s">
        <v>1800</v>
      </c>
      <c r="K35" s="288"/>
      <c r="L35" s="288"/>
      <c r="M35" s="283"/>
      <c r="N35" s="283"/>
    </row>
    <row r="36" spans="1:14" ht="23.25">
      <c r="A36" s="283"/>
      <c r="B36" s="283"/>
      <c r="C36" s="133" t="s">
        <v>1801</v>
      </c>
      <c r="D36" s="133" t="s">
        <v>1821</v>
      </c>
      <c r="E36" s="133" t="s">
        <v>453</v>
      </c>
      <c r="F36" s="283"/>
      <c r="G36" s="283"/>
      <c r="H36" s="283"/>
      <c r="I36" s="283"/>
      <c r="J36" s="133" t="s">
        <v>1801</v>
      </c>
      <c r="K36" s="133" t="s">
        <v>1821</v>
      </c>
      <c r="L36" s="133" t="s">
        <v>453</v>
      </c>
      <c r="M36" s="283"/>
      <c r="N36" s="283"/>
    </row>
    <row r="37" spans="1:14" ht="15.75" thickBot="1">
      <c r="A37" s="134" t="s">
        <v>1802</v>
      </c>
      <c r="B37" s="134" t="s">
        <v>1817</v>
      </c>
      <c r="C37" s="135">
        <v>706902</v>
      </c>
      <c r="D37" s="137">
        <v>18571</v>
      </c>
      <c r="E37" s="135">
        <v>688331</v>
      </c>
      <c r="F37" s="136" t="s">
        <v>1804</v>
      </c>
      <c r="G37" s="136" t="s">
        <v>1818</v>
      </c>
      <c r="H37" s="134" t="s">
        <v>1802</v>
      </c>
      <c r="I37" s="134" t="s">
        <v>1817</v>
      </c>
      <c r="J37" s="135">
        <v>551578</v>
      </c>
      <c r="K37" s="137">
        <v>17519</v>
      </c>
      <c r="L37" s="135">
        <v>534059</v>
      </c>
      <c r="M37" s="136" t="s">
        <v>1804</v>
      </c>
      <c r="N37" s="136" t="s">
        <v>1818</v>
      </c>
    </row>
    <row r="38" spans="1:14" ht="17.25" customHeight="1">
      <c r="A38" s="284" t="s">
        <v>19</v>
      </c>
      <c r="B38" s="284"/>
      <c r="C38" s="284"/>
      <c r="D38" s="284"/>
      <c r="E38" s="284"/>
      <c r="F38" s="284"/>
      <c r="G38" s="284"/>
      <c r="H38" s="285" t="s">
        <v>106</v>
      </c>
      <c r="I38" s="285"/>
      <c r="J38" s="285"/>
      <c r="K38" s="285"/>
      <c r="L38" s="285"/>
      <c r="M38" s="285"/>
      <c r="N38" s="285"/>
    </row>
    <row r="39" spans="1:14" ht="17.25" customHeight="1">
      <c r="A39" s="286" t="s">
        <v>1798</v>
      </c>
      <c r="B39" s="286"/>
      <c r="C39" s="286"/>
      <c r="D39" s="287" t="s">
        <v>1799</v>
      </c>
      <c r="E39" s="287"/>
      <c r="F39" s="287"/>
      <c r="G39" s="287"/>
      <c r="H39" s="286" t="s">
        <v>1798</v>
      </c>
      <c r="I39" s="286"/>
      <c r="J39" s="286"/>
      <c r="K39" s="287" t="s">
        <v>1799</v>
      </c>
      <c r="L39" s="287"/>
      <c r="M39" s="287"/>
      <c r="N39" s="287"/>
    </row>
    <row r="40" spans="1:14">
      <c r="A40" s="283"/>
      <c r="B40" s="283"/>
      <c r="C40" s="288" t="s">
        <v>1800</v>
      </c>
      <c r="D40" s="288"/>
      <c r="E40" s="288"/>
      <c r="F40" s="283"/>
      <c r="G40" s="283"/>
      <c r="H40" s="283"/>
      <c r="I40" s="283"/>
      <c r="J40" s="288" t="s">
        <v>1800</v>
      </c>
      <c r="K40" s="288"/>
      <c r="L40" s="288"/>
      <c r="M40" s="283"/>
      <c r="N40" s="283"/>
    </row>
    <row r="41" spans="1:14" ht="23.25">
      <c r="A41" s="283"/>
      <c r="B41" s="283"/>
      <c r="C41" s="133" t="s">
        <v>1801</v>
      </c>
      <c r="D41" s="133" t="s">
        <v>1821</v>
      </c>
      <c r="E41" s="133" t="s">
        <v>453</v>
      </c>
      <c r="F41" s="283"/>
      <c r="G41" s="283"/>
      <c r="H41" s="283"/>
      <c r="I41" s="283"/>
      <c r="J41" s="133" t="s">
        <v>1801</v>
      </c>
      <c r="K41" s="133" t="s">
        <v>1821</v>
      </c>
      <c r="L41" s="133" t="s">
        <v>453</v>
      </c>
      <c r="M41" s="283"/>
      <c r="N41" s="283"/>
    </row>
    <row r="42" spans="1:14" ht="26.25" thickBot="1">
      <c r="A42" s="134" t="s">
        <v>1819</v>
      </c>
      <c r="B42" s="134" t="s">
        <v>1817</v>
      </c>
      <c r="C42" s="135">
        <v>20935</v>
      </c>
      <c r="D42" s="137">
        <v>0</v>
      </c>
      <c r="E42" s="135">
        <v>20935</v>
      </c>
      <c r="F42" s="136" t="s">
        <v>1820</v>
      </c>
      <c r="G42" s="136" t="s">
        <v>1818</v>
      </c>
      <c r="H42" s="134" t="s">
        <v>1819</v>
      </c>
      <c r="I42" s="134" t="s">
        <v>1817</v>
      </c>
      <c r="J42" s="135">
        <v>19319</v>
      </c>
      <c r="K42" s="137">
        <v>0</v>
      </c>
      <c r="L42" s="135">
        <v>19319</v>
      </c>
      <c r="M42" s="136" t="s">
        <v>1820</v>
      </c>
      <c r="N42" s="136" t="s">
        <v>1818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51EFAFF-CFEE-41B6-A7D8-08C90A5035C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A67B1-8DE4-49D7-8062-A3D20F5BB7F1}">
  <dimension ref="A1:N47"/>
  <sheetViews>
    <sheetView showGridLines="0" workbookViewId="0"/>
  </sheetViews>
  <sheetFormatPr defaultRowHeight="15"/>
  <cols>
    <col min="1" max="1" width="23.6640625" style="139" customWidth="1" collapsed="1"/>
    <col min="2" max="2" width="23" style="139" customWidth="1" collapsed="1"/>
    <col min="3" max="3" width="31.6640625" style="139" bestFit="1" customWidth="1" collapsed="1"/>
    <col min="4" max="4" width="40.1640625" style="139" bestFit="1" customWidth="1" collapsed="1"/>
    <col min="5" max="5" width="14" style="139" bestFit="1" customWidth="1" collapsed="1"/>
    <col min="6" max="6" width="23.6640625" style="139" customWidth="1" collapsed="1"/>
    <col min="7" max="7" width="23" style="139" customWidth="1" collapsed="1"/>
    <col min="8" max="8" width="31.6640625" style="139" bestFit="1" customWidth="1" collapsed="1"/>
    <col min="9" max="9" width="20.6640625" style="139" bestFit="1" customWidth="1" collapsed="1"/>
    <col min="10" max="10" width="20.33203125" style="139" bestFit="1" customWidth="1" collapsed="1"/>
    <col min="11" max="11" width="40.1640625" style="139" bestFit="1" customWidth="1" collapsed="1"/>
    <col min="12" max="12" width="14" style="139" bestFit="1" customWidth="1" collapsed="1"/>
    <col min="13" max="13" width="6.6640625" style="139" customWidth="1" collapsed="1"/>
    <col min="14" max="14" width="11.6640625" style="139" bestFit="1" customWidth="1" collapsed="1"/>
    <col min="15" max="16384" width="9.33203125" style="139" collapsed="1"/>
  </cols>
  <sheetData>
    <row r="1" spans="1:10" ht="17.25">
      <c r="A1" s="138" t="s">
        <v>1822</v>
      </c>
    </row>
    <row r="3" spans="1:10" ht="17.25" customHeight="1">
      <c r="A3" s="295" t="s">
        <v>19</v>
      </c>
      <c r="B3" s="295"/>
      <c r="C3" s="295"/>
      <c r="D3" s="295"/>
      <c r="E3" s="295"/>
      <c r="F3" s="296" t="s">
        <v>106</v>
      </c>
      <c r="G3" s="296"/>
      <c r="H3" s="296"/>
      <c r="I3" s="296"/>
      <c r="J3" s="296"/>
    </row>
    <row r="4" spans="1:10" ht="34.5" customHeight="1">
      <c r="A4" s="295" t="s">
        <v>1823</v>
      </c>
      <c r="B4" s="295"/>
      <c r="C4" s="296" t="s">
        <v>1824</v>
      </c>
      <c r="D4" s="296"/>
      <c r="E4" s="296"/>
      <c r="F4" s="295" t="s">
        <v>1823</v>
      </c>
      <c r="G4" s="295"/>
      <c r="H4" s="296" t="s">
        <v>1824</v>
      </c>
      <c r="I4" s="296"/>
      <c r="J4" s="296"/>
    </row>
    <row r="5" spans="1:10" ht="23.25">
      <c r="A5" s="297"/>
      <c r="B5" s="297"/>
      <c r="C5" s="140" t="s">
        <v>1800</v>
      </c>
      <c r="D5" s="297"/>
      <c r="E5" s="297"/>
      <c r="F5" s="297"/>
      <c r="G5" s="297"/>
      <c r="H5" s="140" t="s">
        <v>1800</v>
      </c>
      <c r="I5" s="297"/>
      <c r="J5" s="297"/>
    </row>
    <row r="6" spans="1:10">
      <c r="A6" s="297"/>
      <c r="B6" s="297"/>
      <c r="C6" s="140" t="s">
        <v>1801</v>
      </c>
      <c r="D6" s="297"/>
      <c r="E6" s="297"/>
      <c r="F6" s="297"/>
      <c r="G6" s="297"/>
      <c r="H6" s="140" t="s">
        <v>1801</v>
      </c>
      <c r="I6" s="297"/>
      <c r="J6" s="297"/>
    </row>
    <row r="7" spans="1:10" ht="15.75" thickBot="1">
      <c r="A7" s="141" t="s">
        <v>1825</v>
      </c>
      <c r="B7" s="141" t="s">
        <v>1826</v>
      </c>
      <c r="C7" s="142">
        <v>538786</v>
      </c>
      <c r="D7" s="143" t="s">
        <v>1827</v>
      </c>
      <c r="E7" s="143" t="s">
        <v>1828</v>
      </c>
      <c r="F7" s="141" t="s">
        <v>1825</v>
      </c>
      <c r="G7" s="141" t="s">
        <v>1826</v>
      </c>
      <c r="H7" s="142">
        <v>441022</v>
      </c>
      <c r="I7" s="143" t="s">
        <v>1827</v>
      </c>
      <c r="J7" s="143" t="s">
        <v>1828</v>
      </c>
    </row>
    <row r="8" spans="1:10" ht="17.25" customHeight="1">
      <c r="A8" s="298" t="s">
        <v>19</v>
      </c>
      <c r="B8" s="298"/>
      <c r="C8" s="298"/>
      <c r="D8" s="298"/>
      <c r="E8" s="298"/>
      <c r="F8" s="299" t="s">
        <v>106</v>
      </c>
      <c r="G8" s="299"/>
      <c r="H8" s="299"/>
      <c r="I8" s="299"/>
      <c r="J8" s="299"/>
    </row>
    <row r="9" spans="1:10" ht="34.5" customHeight="1">
      <c r="A9" s="295" t="s">
        <v>1823</v>
      </c>
      <c r="B9" s="295"/>
      <c r="C9" s="296" t="s">
        <v>1824</v>
      </c>
      <c r="D9" s="296"/>
      <c r="E9" s="296"/>
      <c r="F9" s="295" t="s">
        <v>1823</v>
      </c>
      <c r="G9" s="295"/>
      <c r="H9" s="296" t="s">
        <v>1824</v>
      </c>
      <c r="I9" s="296"/>
      <c r="J9" s="296"/>
    </row>
    <row r="10" spans="1:10" ht="23.25">
      <c r="A10" s="297"/>
      <c r="B10" s="297"/>
      <c r="C10" s="140" t="s">
        <v>1800</v>
      </c>
      <c r="D10" s="297"/>
      <c r="E10" s="297"/>
      <c r="F10" s="297"/>
      <c r="G10" s="297"/>
      <c r="H10" s="140" t="s">
        <v>1800</v>
      </c>
      <c r="I10" s="297"/>
      <c r="J10" s="297"/>
    </row>
    <row r="11" spans="1:10">
      <c r="A11" s="297"/>
      <c r="B11" s="297"/>
      <c r="C11" s="140" t="s">
        <v>1801</v>
      </c>
      <c r="D11" s="297"/>
      <c r="E11" s="297"/>
      <c r="F11" s="297"/>
      <c r="G11" s="297"/>
      <c r="H11" s="140" t="s">
        <v>1801</v>
      </c>
      <c r="I11" s="297"/>
      <c r="J11" s="297"/>
    </row>
    <row r="12" spans="1:10" ht="15.75" thickBot="1">
      <c r="A12" s="300" t="s">
        <v>1829</v>
      </c>
      <c r="B12" s="141" t="s">
        <v>1830</v>
      </c>
      <c r="C12" s="142">
        <v>132346</v>
      </c>
      <c r="D12" s="143" t="s">
        <v>1831</v>
      </c>
      <c r="E12" s="302" t="s">
        <v>1832</v>
      </c>
      <c r="F12" s="300" t="s">
        <v>1829</v>
      </c>
      <c r="G12" s="141" t="s">
        <v>1830</v>
      </c>
      <c r="H12" s="142">
        <v>93918</v>
      </c>
      <c r="I12" s="143" t="s">
        <v>1831</v>
      </c>
      <c r="J12" s="302" t="s">
        <v>1832</v>
      </c>
    </row>
    <row r="13" spans="1:10" ht="15.75" thickBot="1">
      <c r="A13" s="300"/>
      <c r="B13" s="141" t="s">
        <v>1833</v>
      </c>
      <c r="C13" s="142"/>
      <c r="D13" s="143" t="s">
        <v>1834</v>
      </c>
      <c r="E13" s="302"/>
      <c r="F13" s="300"/>
      <c r="G13" s="141" t="s">
        <v>1833</v>
      </c>
      <c r="H13" s="142"/>
      <c r="I13" s="143" t="s">
        <v>1834</v>
      </c>
      <c r="J13" s="302"/>
    </row>
    <row r="14" spans="1:10" ht="15.75" thickBot="1">
      <c r="A14" s="300"/>
      <c r="B14" s="141" t="s">
        <v>1835</v>
      </c>
      <c r="C14" s="142"/>
      <c r="D14" s="143" t="s">
        <v>1836</v>
      </c>
      <c r="E14" s="302"/>
      <c r="F14" s="300"/>
      <c r="G14" s="141" t="s">
        <v>1835</v>
      </c>
      <c r="H14" s="142"/>
      <c r="I14" s="143" t="s">
        <v>1836</v>
      </c>
      <c r="J14" s="302"/>
    </row>
    <row r="15" spans="1:10" ht="15.75" thickBot="1">
      <c r="A15" s="300"/>
      <c r="B15" s="141" t="s">
        <v>1837</v>
      </c>
      <c r="C15" s="142"/>
      <c r="D15" s="143" t="s">
        <v>1838</v>
      </c>
      <c r="E15" s="302"/>
      <c r="F15" s="300"/>
      <c r="G15" s="141" t="s">
        <v>1837</v>
      </c>
      <c r="H15" s="142"/>
      <c r="I15" s="143" t="s">
        <v>1838</v>
      </c>
      <c r="J15" s="302"/>
    </row>
    <row r="16" spans="1:10" ht="15.75" thickBot="1">
      <c r="A16" s="300"/>
      <c r="B16" s="141" t="s">
        <v>1839</v>
      </c>
      <c r="C16" s="142"/>
      <c r="D16" s="143" t="s">
        <v>1840</v>
      </c>
      <c r="E16" s="302"/>
      <c r="F16" s="300"/>
      <c r="G16" s="141" t="s">
        <v>1839</v>
      </c>
      <c r="H16" s="142"/>
      <c r="I16" s="143" t="s">
        <v>1840</v>
      </c>
      <c r="J16" s="302"/>
    </row>
    <row r="17" spans="1:10" ht="15.75" thickBot="1">
      <c r="A17" s="300"/>
      <c r="B17" s="141" t="s">
        <v>1841</v>
      </c>
      <c r="C17" s="142">
        <v>39802</v>
      </c>
      <c r="D17" s="143" t="s">
        <v>1842</v>
      </c>
      <c r="E17" s="302"/>
      <c r="F17" s="300"/>
      <c r="G17" s="141" t="s">
        <v>1841</v>
      </c>
      <c r="H17" s="142">
        <v>21064</v>
      </c>
      <c r="I17" s="143" t="s">
        <v>1842</v>
      </c>
      <c r="J17" s="302"/>
    </row>
    <row r="18" spans="1:10" ht="15.75" thickBot="1">
      <c r="A18" s="300"/>
      <c r="B18" s="141" t="s">
        <v>1843</v>
      </c>
      <c r="C18" s="142">
        <v>8652</v>
      </c>
      <c r="D18" s="143" t="s">
        <v>1844</v>
      </c>
      <c r="E18" s="302"/>
      <c r="F18" s="300"/>
      <c r="G18" s="141" t="s">
        <v>1843</v>
      </c>
      <c r="H18" s="142">
        <v>8604</v>
      </c>
      <c r="I18" s="143" t="s">
        <v>1844</v>
      </c>
      <c r="J18" s="302"/>
    </row>
    <row r="19" spans="1:10" ht="15.75" thickBot="1">
      <c r="A19" s="300"/>
      <c r="B19" s="141" t="s">
        <v>1845</v>
      </c>
      <c r="C19" s="142"/>
      <c r="D19" s="143" t="s">
        <v>1846</v>
      </c>
      <c r="E19" s="302"/>
      <c r="F19" s="300"/>
      <c r="G19" s="141" t="s">
        <v>1845</v>
      </c>
      <c r="H19" s="142"/>
      <c r="I19" s="143" t="s">
        <v>1846</v>
      </c>
      <c r="J19" s="302"/>
    </row>
    <row r="20" spans="1:10" ht="15.75" thickBot="1">
      <c r="A20" s="300"/>
      <c r="B20" s="141" t="s">
        <v>1847</v>
      </c>
      <c r="C20" s="142"/>
      <c r="D20" s="143" t="s">
        <v>1848</v>
      </c>
      <c r="E20" s="302"/>
      <c r="F20" s="300"/>
      <c r="G20" s="141" t="s">
        <v>1847</v>
      </c>
      <c r="H20" s="142"/>
      <c r="I20" s="143" t="s">
        <v>1848</v>
      </c>
      <c r="J20" s="302"/>
    </row>
    <row r="21" spans="1:10" ht="15.75" thickBot="1">
      <c r="A21" s="300"/>
      <c r="B21" s="141" t="s">
        <v>1849</v>
      </c>
      <c r="C21" s="142"/>
      <c r="D21" s="143" t="s">
        <v>1850</v>
      </c>
      <c r="E21" s="302"/>
      <c r="F21" s="300"/>
      <c r="G21" s="141" t="s">
        <v>1849</v>
      </c>
      <c r="H21" s="142"/>
      <c r="I21" s="143" t="s">
        <v>1850</v>
      </c>
      <c r="J21" s="302"/>
    </row>
    <row r="22" spans="1:10" ht="15.75" thickBot="1">
      <c r="A22" s="300"/>
      <c r="B22" s="141" t="s">
        <v>1851</v>
      </c>
      <c r="C22" s="142"/>
      <c r="D22" s="143" t="s">
        <v>1852</v>
      </c>
      <c r="E22" s="302"/>
      <c r="F22" s="300"/>
      <c r="G22" s="141" t="s">
        <v>1851</v>
      </c>
      <c r="H22" s="142"/>
      <c r="I22" s="143" t="s">
        <v>1852</v>
      </c>
      <c r="J22" s="302"/>
    </row>
    <row r="23" spans="1:10" ht="15.75" thickBot="1">
      <c r="A23" s="300"/>
      <c r="B23" s="141" t="s">
        <v>1853</v>
      </c>
      <c r="C23" s="142"/>
      <c r="D23" s="143" t="s">
        <v>1854</v>
      </c>
      <c r="E23" s="302"/>
      <c r="F23" s="300"/>
      <c r="G23" s="141" t="s">
        <v>1853</v>
      </c>
      <c r="H23" s="142"/>
      <c r="I23" s="143" t="s">
        <v>1854</v>
      </c>
      <c r="J23" s="302"/>
    </row>
    <row r="24" spans="1:10" ht="15.75" thickBot="1">
      <c r="A24" s="300"/>
      <c r="B24" s="141" t="s">
        <v>1855</v>
      </c>
      <c r="C24" s="142"/>
      <c r="D24" s="143" t="s">
        <v>1856</v>
      </c>
      <c r="E24" s="302"/>
      <c r="F24" s="300"/>
      <c r="G24" s="141" t="s">
        <v>1855</v>
      </c>
      <c r="H24" s="142"/>
      <c r="I24" s="143" t="s">
        <v>1856</v>
      </c>
      <c r="J24" s="302"/>
    </row>
    <row r="25" spans="1:10" ht="15.75" thickBot="1">
      <c r="A25" s="300"/>
      <c r="B25" s="141" t="s">
        <v>1857</v>
      </c>
      <c r="C25" s="142"/>
      <c r="D25" s="143" t="s">
        <v>1858</v>
      </c>
      <c r="E25" s="302"/>
      <c r="F25" s="300"/>
      <c r="G25" s="141" t="s">
        <v>1857</v>
      </c>
      <c r="H25" s="142"/>
      <c r="I25" s="143" t="s">
        <v>1858</v>
      </c>
      <c r="J25" s="302"/>
    </row>
    <row r="26" spans="1:10" ht="15.75" thickBot="1">
      <c r="A26" s="300"/>
      <c r="B26" s="141" t="s">
        <v>1859</v>
      </c>
      <c r="C26" s="142"/>
      <c r="D26" s="143" t="s">
        <v>1860</v>
      </c>
      <c r="E26" s="302"/>
      <c r="F26" s="300"/>
      <c r="G26" s="141" t="s">
        <v>1859</v>
      </c>
      <c r="H26" s="142"/>
      <c r="I26" s="143" t="s">
        <v>1860</v>
      </c>
      <c r="J26" s="302"/>
    </row>
    <row r="27" spans="1:10" ht="15.75" thickBot="1">
      <c r="A27" s="300"/>
      <c r="B27" s="141" t="s">
        <v>1861</v>
      </c>
      <c r="C27" s="142"/>
      <c r="D27" s="143" t="s">
        <v>1862</v>
      </c>
      <c r="E27" s="302"/>
      <c r="F27" s="300"/>
      <c r="G27" s="141" t="s">
        <v>1861</v>
      </c>
      <c r="H27" s="142"/>
      <c r="I27" s="143" t="s">
        <v>1862</v>
      </c>
      <c r="J27" s="302"/>
    </row>
    <row r="28" spans="1:10" ht="15.75" thickBot="1">
      <c r="A28" s="300"/>
      <c r="B28" s="141" t="s">
        <v>1863</v>
      </c>
      <c r="C28" s="142"/>
      <c r="D28" s="143" t="s">
        <v>1864</v>
      </c>
      <c r="E28" s="302"/>
      <c r="F28" s="300"/>
      <c r="G28" s="141" t="s">
        <v>1863</v>
      </c>
      <c r="H28" s="142"/>
      <c r="I28" s="143" t="s">
        <v>1864</v>
      </c>
      <c r="J28" s="302"/>
    </row>
    <row r="29" spans="1:10" ht="15.75" thickBot="1">
      <c r="A29" s="300"/>
      <c r="B29" s="141" t="s">
        <v>1865</v>
      </c>
      <c r="C29" s="142"/>
      <c r="D29" s="143" t="s">
        <v>1866</v>
      </c>
      <c r="E29" s="302"/>
      <c r="F29" s="300"/>
      <c r="G29" s="141" t="s">
        <v>1865</v>
      </c>
      <c r="H29" s="142"/>
      <c r="I29" s="143" t="s">
        <v>1866</v>
      </c>
      <c r="J29" s="302"/>
    </row>
    <row r="30" spans="1:10" ht="15.75" thickBot="1">
      <c r="A30" s="300"/>
      <c r="B30" s="141" t="s">
        <v>1867</v>
      </c>
      <c r="C30" s="142"/>
      <c r="D30" s="143" t="s">
        <v>1868</v>
      </c>
      <c r="E30" s="302"/>
      <c r="F30" s="300"/>
      <c r="G30" s="141" t="s">
        <v>1867</v>
      </c>
      <c r="H30" s="142"/>
      <c r="I30" s="143" t="s">
        <v>1868</v>
      </c>
      <c r="J30" s="302"/>
    </row>
    <row r="31" spans="1:10" ht="15.75" thickBot="1">
      <c r="A31" s="300"/>
      <c r="B31" s="141" t="s">
        <v>1869</v>
      </c>
      <c r="C31" s="142"/>
      <c r="D31" s="143" t="s">
        <v>1870</v>
      </c>
      <c r="E31" s="302"/>
      <c r="F31" s="300"/>
      <c r="G31" s="141" t="s">
        <v>1869</v>
      </c>
      <c r="H31" s="142"/>
      <c r="I31" s="143" t="s">
        <v>1870</v>
      </c>
      <c r="J31" s="302"/>
    </row>
    <row r="32" spans="1:10" ht="15.75" thickBot="1">
      <c r="A32" s="300"/>
      <c r="B32" s="141" t="s">
        <v>1871</v>
      </c>
      <c r="C32" s="142"/>
      <c r="D32" s="143" t="s">
        <v>1872</v>
      </c>
      <c r="E32" s="302"/>
      <c r="F32" s="300"/>
      <c r="G32" s="141" t="s">
        <v>1871</v>
      </c>
      <c r="H32" s="142"/>
      <c r="I32" s="143" t="s">
        <v>1872</v>
      </c>
      <c r="J32" s="302"/>
    </row>
    <row r="33" spans="1:14" ht="15.75" thickBot="1">
      <c r="A33" s="300"/>
      <c r="B33" s="141" t="s">
        <v>1873</v>
      </c>
      <c r="C33" s="142"/>
      <c r="D33" s="143" t="s">
        <v>1874</v>
      </c>
      <c r="E33" s="302"/>
      <c r="F33" s="300"/>
      <c r="G33" s="141" t="s">
        <v>1873</v>
      </c>
      <c r="H33" s="142"/>
      <c r="I33" s="143" t="s">
        <v>1874</v>
      </c>
      <c r="J33" s="302"/>
    </row>
    <row r="34" spans="1:14" ht="15.75" thickBot="1">
      <c r="A34" s="300"/>
      <c r="B34" s="141" t="s">
        <v>1875</v>
      </c>
      <c r="C34" s="142">
        <v>8251</v>
      </c>
      <c r="D34" s="143" t="s">
        <v>1876</v>
      </c>
      <c r="E34" s="302"/>
      <c r="F34" s="300"/>
      <c r="G34" s="141" t="s">
        <v>1875</v>
      </c>
      <c r="H34" s="142">
        <v>6289</v>
      </c>
      <c r="I34" s="143" t="s">
        <v>1876</v>
      </c>
      <c r="J34" s="302"/>
    </row>
    <row r="35" spans="1:14" ht="15.75" thickBot="1">
      <c r="A35" s="300"/>
      <c r="B35" s="141" t="s">
        <v>1877</v>
      </c>
      <c r="C35" s="142"/>
      <c r="D35" s="143" t="s">
        <v>1878</v>
      </c>
      <c r="E35" s="302"/>
      <c r="F35" s="300"/>
      <c r="G35" s="141" t="s">
        <v>1877</v>
      </c>
      <c r="H35" s="142"/>
      <c r="I35" s="143" t="s">
        <v>1878</v>
      </c>
      <c r="J35" s="302"/>
    </row>
    <row r="36" spans="1:14" ht="15.75" thickBot="1">
      <c r="A36" s="300"/>
      <c r="B36" s="141" t="s">
        <v>1879</v>
      </c>
      <c r="C36" s="142"/>
      <c r="D36" s="143" t="s">
        <v>1880</v>
      </c>
      <c r="E36" s="302"/>
      <c r="F36" s="300"/>
      <c r="G36" s="141" t="s">
        <v>1879</v>
      </c>
      <c r="H36" s="142"/>
      <c r="I36" s="143" t="s">
        <v>1880</v>
      </c>
      <c r="J36" s="302"/>
    </row>
    <row r="37" spans="1:14" ht="15.75" thickBot="1">
      <c r="A37" s="300"/>
      <c r="B37" s="141" t="s">
        <v>1881</v>
      </c>
      <c r="C37" s="142"/>
      <c r="D37" s="143" t="s">
        <v>1882</v>
      </c>
      <c r="E37" s="302"/>
      <c r="F37" s="300"/>
      <c r="G37" s="141" t="s">
        <v>1881</v>
      </c>
      <c r="H37" s="142"/>
      <c r="I37" s="143" t="s">
        <v>1882</v>
      </c>
      <c r="J37" s="302"/>
    </row>
    <row r="38" spans="1:14" ht="15.75" thickBot="1">
      <c r="A38" s="300"/>
      <c r="B38" s="141" t="s">
        <v>1883</v>
      </c>
      <c r="C38" s="142"/>
      <c r="D38" s="143" t="s">
        <v>1884</v>
      </c>
      <c r="E38" s="302"/>
      <c r="F38" s="300"/>
      <c r="G38" s="141" t="s">
        <v>1883</v>
      </c>
      <c r="H38" s="142"/>
      <c r="I38" s="143" t="s">
        <v>1884</v>
      </c>
      <c r="J38" s="302"/>
    </row>
    <row r="39" spans="1:14" ht="15.75" thickBot="1">
      <c r="A39" s="300"/>
      <c r="B39" s="141" t="s">
        <v>1885</v>
      </c>
      <c r="C39" s="142"/>
      <c r="D39" s="143" t="s">
        <v>1886</v>
      </c>
      <c r="E39" s="302"/>
      <c r="F39" s="300"/>
      <c r="G39" s="141" t="s">
        <v>1885</v>
      </c>
      <c r="H39" s="142"/>
      <c r="I39" s="143" t="s">
        <v>1886</v>
      </c>
      <c r="J39" s="302"/>
    </row>
    <row r="40" spans="1:14" ht="15.75" thickBot="1">
      <c r="A40" s="300"/>
      <c r="B40" s="141" t="s">
        <v>1887</v>
      </c>
      <c r="C40" s="142"/>
      <c r="D40" s="143" t="s">
        <v>1888</v>
      </c>
      <c r="E40" s="302"/>
      <c r="F40" s="300"/>
      <c r="G40" s="141" t="s">
        <v>1887</v>
      </c>
      <c r="H40" s="142"/>
      <c r="I40" s="143" t="s">
        <v>1888</v>
      </c>
      <c r="J40" s="302"/>
    </row>
    <row r="41" spans="1:14" ht="15.75" thickBot="1">
      <c r="A41" s="300"/>
      <c r="B41" s="141" t="s">
        <v>1889</v>
      </c>
      <c r="C41" s="142"/>
      <c r="D41" s="143" t="s">
        <v>1890</v>
      </c>
      <c r="E41" s="302"/>
      <c r="F41" s="300"/>
      <c r="G41" s="141" t="s">
        <v>1889</v>
      </c>
      <c r="H41" s="142"/>
      <c r="I41" s="143" t="s">
        <v>1890</v>
      </c>
      <c r="J41" s="302"/>
    </row>
    <row r="42" spans="1:14" ht="15.75" thickBot="1">
      <c r="A42" s="301"/>
      <c r="B42" s="141" t="s">
        <v>1826</v>
      </c>
      <c r="C42" s="142">
        <v>189051</v>
      </c>
      <c r="D42" s="143" t="s">
        <v>1827</v>
      </c>
      <c r="E42" s="303"/>
      <c r="F42" s="301"/>
      <c r="G42" s="141" t="s">
        <v>1826</v>
      </c>
      <c r="H42" s="142">
        <v>129875</v>
      </c>
      <c r="I42" s="143" t="s">
        <v>1827</v>
      </c>
      <c r="J42" s="303"/>
    </row>
    <row r="43" spans="1:14" ht="17.25" customHeight="1">
      <c r="A43" s="298" t="s">
        <v>19</v>
      </c>
      <c r="B43" s="298"/>
      <c r="C43" s="298"/>
      <c r="D43" s="298"/>
      <c r="E43" s="298"/>
      <c r="F43" s="298"/>
      <c r="G43" s="298"/>
      <c r="H43" s="296" t="s">
        <v>106</v>
      </c>
      <c r="I43" s="296"/>
      <c r="J43" s="296"/>
      <c r="K43" s="296"/>
      <c r="L43" s="296"/>
      <c r="M43" s="296"/>
      <c r="N43" s="296"/>
    </row>
    <row r="44" spans="1:14" ht="17.25" customHeight="1">
      <c r="A44" s="295" t="s">
        <v>1823</v>
      </c>
      <c r="B44" s="295"/>
      <c r="C44" s="295"/>
      <c r="D44" s="296" t="s">
        <v>1824</v>
      </c>
      <c r="E44" s="296"/>
      <c r="F44" s="296"/>
      <c r="G44" s="296"/>
      <c r="H44" s="295" t="s">
        <v>1823</v>
      </c>
      <c r="I44" s="295"/>
      <c r="J44" s="295"/>
      <c r="K44" s="296" t="s">
        <v>1824</v>
      </c>
      <c r="L44" s="296"/>
      <c r="M44" s="296"/>
      <c r="N44" s="296"/>
    </row>
    <row r="45" spans="1:14">
      <c r="A45" s="297"/>
      <c r="B45" s="297"/>
      <c r="C45" s="304" t="s">
        <v>1800</v>
      </c>
      <c r="D45" s="304"/>
      <c r="E45" s="304"/>
      <c r="F45" s="297"/>
      <c r="G45" s="297"/>
      <c r="H45" s="297"/>
      <c r="I45" s="297"/>
      <c r="J45" s="304" t="s">
        <v>1800</v>
      </c>
      <c r="K45" s="304"/>
      <c r="L45" s="304"/>
      <c r="M45" s="297"/>
      <c r="N45" s="297"/>
    </row>
    <row r="46" spans="1:14" ht="23.25">
      <c r="A46" s="297"/>
      <c r="B46" s="297"/>
      <c r="C46" s="140" t="s">
        <v>1801</v>
      </c>
      <c r="D46" s="140" t="s">
        <v>1821</v>
      </c>
      <c r="E46" s="140" t="s">
        <v>453</v>
      </c>
      <c r="F46" s="297"/>
      <c r="G46" s="297"/>
      <c r="H46" s="297"/>
      <c r="I46" s="297"/>
      <c r="J46" s="140" t="s">
        <v>1801</v>
      </c>
      <c r="K46" s="140" t="s">
        <v>1821</v>
      </c>
      <c r="L46" s="140" t="s">
        <v>453</v>
      </c>
      <c r="M46" s="297"/>
      <c r="N46" s="297"/>
    </row>
    <row r="47" spans="1:14" ht="15.75" thickBot="1">
      <c r="A47" s="141" t="s">
        <v>1891</v>
      </c>
      <c r="B47" s="141" t="s">
        <v>1826</v>
      </c>
      <c r="C47" s="142">
        <v>727837</v>
      </c>
      <c r="D47" s="142">
        <v>18571</v>
      </c>
      <c r="E47" s="142">
        <v>709266</v>
      </c>
      <c r="F47" s="143" t="s">
        <v>1827</v>
      </c>
      <c r="G47" s="143" t="s">
        <v>1892</v>
      </c>
      <c r="H47" s="141" t="s">
        <v>1891</v>
      </c>
      <c r="I47" s="141" t="s">
        <v>1826</v>
      </c>
      <c r="J47" s="142">
        <v>570897</v>
      </c>
      <c r="K47" s="142">
        <v>17519</v>
      </c>
      <c r="L47" s="142">
        <v>553378</v>
      </c>
      <c r="M47" s="143" t="s">
        <v>1827</v>
      </c>
      <c r="N47" s="143" t="s">
        <v>1892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2B2DC2-CAF1-42D3-AF16-364ED0F2D62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FB3E4-A34C-4412-B07A-C72AC3699A35}">
  <dimension ref="A1:D78"/>
  <sheetViews>
    <sheetView showGridLines="0" workbookViewId="0"/>
  </sheetViews>
  <sheetFormatPr defaultRowHeight="15"/>
  <cols>
    <col min="1" max="1" width="42.6640625" style="145" bestFit="1" customWidth="1" collapsed="1"/>
    <col min="2" max="2" width="20.5" style="145" bestFit="1" customWidth="1" collapsed="1"/>
    <col min="3" max="3" width="19.6640625" style="145" bestFit="1" customWidth="1" collapsed="1"/>
    <col min="4" max="4" width="42.6640625" style="145" bestFit="1" customWidth="1" collapsed="1"/>
    <col min="5" max="16384" width="9.33203125" style="145" collapsed="1"/>
  </cols>
  <sheetData>
    <row r="1" spans="1:4" ht="17.25">
      <c r="A1" s="144" t="s">
        <v>1893</v>
      </c>
    </row>
    <row r="3" spans="1:4" ht="17.25" customHeight="1">
      <c r="A3" s="305" t="s">
        <v>1894</v>
      </c>
      <c r="B3" s="305"/>
      <c r="C3" s="306" t="s">
        <v>1895</v>
      </c>
      <c r="D3" s="306"/>
    </row>
    <row r="4" spans="1:4" ht="23.25">
      <c r="A4" s="146"/>
      <c r="B4" s="147" t="s">
        <v>19</v>
      </c>
      <c r="C4" s="147" t="s">
        <v>106</v>
      </c>
    </row>
    <row r="5" spans="1:4" ht="15.75" thickBot="1">
      <c r="A5" s="148" t="s">
        <v>1894</v>
      </c>
      <c r="B5" s="149"/>
      <c r="C5" s="149"/>
      <c r="D5" s="150" t="s">
        <v>1895</v>
      </c>
    </row>
    <row r="6" spans="1:4" ht="15.75" thickBot="1">
      <c r="A6" s="151" t="s">
        <v>1896</v>
      </c>
      <c r="B6" s="149"/>
      <c r="C6" s="149"/>
      <c r="D6" s="150" t="s">
        <v>1897</v>
      </c>
    </row>
    <row r="7" spans="1:4" ht="15.75" thickBot="1">
      <c r="A7" s="152" t="s">
        <v>1898</v>
      </c>
      <c r="B7" s="149"/>
      <c r="C7" s="149"/>
      <c r="D7" s="150" t="s">
        <v>1899</v>
      </c>
    </row>
    <row r="8" spans="1:4" ht="15.75" thickBot="1">
      <c r="A8" s="153" t="s">
        <v>1900</v>
      </c>
      <c r="B8" s="154"/>
      <c r="C8" s="154"/>
      <c r="D8" s="150" t="s">
        <v>1901</v>
      </c>
    </row>
    <row r="9" spans="1:4" ht="15.75" thickBot="1">
      <c r="A9" s="153" t="s">
        <v>1902</v>
      </c>
      <c r="B9" s="154"/>
      <c r="C9" s="154"/>
      <c r="D9" s="150" t="s">
        <v>1903</v>
      </c>
    </row>
    <row r="10" spans="1:4" ht="15.75" thickBot="1">
      <c r="A10" s="153" t="s">
        <v>1904</v>
      </c>
      <c r="B10" s="154"/>
      <c r="C10" s="154"/>
      <c r="D10" s="150" t="s">
        <v>1905</v>
      </c>
    </row>
    <row r="11" spans="1:4" ht="15.75" thickBot="1">
      <c r="A11" s="153" t="s">
        <v>1906</v>
      </c>
      <c r="B11" s="154"/>
      <c r="C11" s="154"/>
      <c r="D11" s="150" t="s">
        <v>1907</v>
      </c>
    </row>
    <row r="12" spans="1:4" ht="15.75" thickBot="1">
      <c r="A12" s="153" t="s">
        <v>1908</v>
      </c>
      <c r="B12" s="154"/>
      <c r="C12" s="154"/>
      <c r="D12" s="150" t="s">
        <v>1909</v>
      </c>
    </row>
    <row r="13" spans="1:4" ht="15.75" thickBot="1">
      <c r="A13" s="153" t="s">
        <v>1910</v>
      </c>
      <c r="B13" s="154"/>
      <c r="C13" s="154"/>
      <c r="D13" s="150" t="s">
        <v>1911</v>
      </c>
    </row>
    <row r="14" spans="1:4" ht="26.25" thickBot="1">
      <c r="A14" s="153" t="s">
        <v>1912</v>
      </c>
      <c r="B14" s="155"/>
      <c r="C14" s="155"/>
      <c r="D14" s="150" t="s">
        <v>1913</v>
      </c>
    </row>
    <row r="15" spans="1:4" ht="15.75" thickBot="1">
      <c r="A15" s="153" t="s">
        <v>1896</v>
      </c>
      <c r="B15" s="154"/>
      <c r="C15" s="154"/>
      <c r="D15" s="150" t="s">
        <v>1914</v>
      </c>
    </row>
    <row r="16" spans="1:4" ht="15.75" thickBot="1">
      <c r="A16" s="153" t="s">
        <v>497</v>
      </c>
      <c r="B16" s="154"/>
      <c r="C16" s="154"/>
      <c r="D16" s="150" t="s">
        <v>1915</v>
      </c>
    </row>
    <row r="17" spans="1:4" ht="26.25" thickBot="1">
      <c r="A17" s="153" t="s">
        <v>595</v>
      </c>
      <c r="B17" s="154"/>
      <c r="C17" s="154"/>
      <c r="D17" s="150" t="s">
        <v>1916</v>
      </c>
    </row>
    <row r="18" spans="1:4" ht="15.75" thickBot="1">
      <c r="A18" s="151" t="s">
        <v>1917</v>
      </c>
      <c r="B18" s="149"/>
      <c r="C18" s="149"/>
      <c r="D18" s="150" t="s">
        <v>1918</v>
      </c>
    </row>
    <row r="19" spans="1:4" ht="15.75" thickBot="1">
      <c r="A19" s="152" t="s">
        <v>1919</v>
      </c>
      <c r="B19" s="149"/>
      <c r="C19" s="149"/>
      <c r="D19" s="150" t="s">
        <v>1920</v>
      </c>
    </row>
    <row r="20" spans="1:4" ht="15.75" thickBot="1">
      <c r="A20" s="153" t="s">
        <v>1921</v>
      </c>
      <c r="B20" s="154"/>
      <c r="C20" s="154"/>
      <c r="D20" s="150" t="s">
        <v>1922</v>
      </c>
    </row>
    <row r="21" spans="1:4" ht="26.25" thickBot="1">
      <c r="A21" s="153" t="s">
        <v>1923</v>
      </c>
      <c r="B21" s="154"/>
      <c r="C21" s="154"/>
      <c r="D21" s="150" t="s">
        <v>1924</v>
      </c>
    </row>
    <row r="22" spans="1:4" ht="26.25" thickBot="1">
      <c r="A22" s="153" t="s">
        <v>1925</v>
      </c>
      <c r="B22" s="154"/>
      <c r="C22" s="154"/>
      <c r="D22" s="150" t="s">
        <v>1926</v>
      </c>
    </row>
    <row r="23" spans="1:4" ht="15.75" thickBot="1">
      <c r="A23" s="153" t="s">
        <v>1927</v>
      </c>
      <c r="B23" s="154"/>
      <c r="C23" s="154"/>
      <c r="D23" s="150" t="s">
        <v>1928</v>
      </c>
    </row>
    <row r="24" spans="1:4" ht="15.75" thickBot="1">
      <c r="A24" s="153" t="s">
        <v>1929</v>
      </c>
      <c r="B24" s="154"/>
      <c r="C24" s="154"/>
      <c r="D24" s="150" t="s">
        <v>1930</v>
      </c>
    </row>
    <row r="25" spans="1:4" ht="15.75" thickBot="1">
      <c r="A25" s="153" t="s">
        <v>1931</v>
      </c>
      <c r="B25" s="154"/>
      <c r="C25" s="154"/>
      <c r="D25" s="150" t="s">
        <v>1932</v>
      </c>
    </row>
    <row r="26" spans="1:4" ht="15.75" thickBot="1">
      <c r="A26" s="153" t="s">
        <v>1933</v>
      </c>
      <c r="B26" s="154"/>
      <c r="C26" s="154"/>
      <c r="D26" s="150" t="s">
        <v>1934</v>
      </c>
    </row>
    <row r="27" spans="1:4" ht="26.25" thickBot="1">
      <c r="A27" s="153" t="s">
        <v>1935</v>
      </c>
      <c r="B27" s="155"/>
      <c r="C27" s="155"/>
      <c r="D27" s="150" t="s">
        <v>1936</v>
      </c>
    </row>
    <row r="28" spans="1:4" ht="15.75" thickBot="1">
      <c r="A28" s="153" t="s">
        <v>1917</v>
      </c>
      <c r="B28" s="154"/>
      <c r="C28" s="154"/>
      <c r="D28" s="150" t="s">
        <v>1937</v>
      </c>
    </row>
    <row r="29" spans="1:4" ht="15.75" thickBot="1">
      <c r="A29" s="153" t="s">
        <v>499</v>
      </c>
      <c r="B29" s="154"/>
      <c r="C29" s="154"/>
      <c r="D29" s="150" t="s">
        <v>500</v>
      </c>
    </row>
    <row r="30" spans="1:4" ht="15.75" thickBot="1">
      <c r="A30" s="153" t="s">
        <v>597</v>
      </c>
      <c r="B30" s="154"/>
      <c r="C30" s="154"/>
      <c r="D30" s="150" t="s">
        <v>598</v>
      </c>
    </row>
    <row r="31" spans="1:4" ht="15.75" thickBot="1">
      <c r="A31" s="151" t="s">
        <v>1538</v>
      </c>
      <c r="B31" s="149"/>
      <c r="C31" s="149"/>
      <c r="D31" s="150" t="s">
        <v>1540</v>
      </c>
    </row>
    <row r="32" spans="1:4" ht="15.75" thickBot="1">
      <c r="A32" s="152" t="s">
        <v>1938</v>
      </c>
      <c r="B32" s="149"/>
      <c r="C32" s="149"/>
      <c r="D32" s="150" t="s">
        <v>1939</v>
      </c>
    </row>
    <row r="33" spans="1:4" ht="15.75" thickBot="1">
      <c r="A33" s="153" t="s">
        <v>1940</v>
      </c>
      <c r="B33" s="154">
        <v>225205</v>
      </c>
      <c r="C33" s="154">
        <v>285133</v>
      </c>
      <c r="D33" s="150" t="s">
        <v>1941</v>
      </c>
    </row>
    <row r="34" spans="1:4" ht="15.75" thickBot="1">
      <c r="A34" s="153" t="s">
        <v>1942</v>
      </c>
      <c r="B34" s="154">
        <v>18995</v>
      </c>
      <c r="C34" s="154">
        <v>17258</v>
      </c>
      <c r="D34" s="150" t="s">
        <v>1943</v>
      </c>
    </row>
    <row r="35" spans="1:4" ht="15.75" thickBot="1">
      <c r="A35" s="153" t="s">
        <v>1944</v>
      </c>
      <c r="B35" s="154">
        <v>299616</v>
      </c>
      <c r="C35" s="154">
        <v>242379</v>
      </c>
      <c r="D35" s="150" t="s">
        <v>1945</v>
      </c>
    </row>
    <row r="36" spans="1:4" ht="15.75" thickBot="1">
      <c r="A36" s="153" t="s">
        <v>1946</v>
      </c>
      <c r="B36" s="154">
        <v>241970</v>
      </c>
      <c r="C36" s="154">
        <v>249683</v>
      </c>
      <c r="D36" s="150" t="s">
        <v>1947</v>
      </c>
    </row>
    <row r="37" spans="1:4" ht="15.75" thickBot="1">
      <c r="A37" s="153" t="s">
        <v>1948</v>
      </c>
      <c r="B37" s="154"/>
      <c r="C37" s="154"/>
      <c r="D37" s="150" t="s">
        <v>1949</v>
      </c>
    </row>
    <row r="38" spans="1:4" ht="15.75" thickBot="1">
      <c r="A38" s="153" t="s">
        <v>1950</v>
      </c>
      <c r="B38" s="154"/>
      <c r="C38" s="154"/>
      <c r="D38" s="150" t="s">
        <v>1951</v>
      </c>
    </row>
    <row r="39" spans="1:4" ht="15.75" thickBot="1">
      <c r="A39" s="153" t="s">
        <v>1952</v>
      </c>
      <c r="B39" s="154"/>
      <c r="C39" s="154"/>
      <c r="D39" s="150" t="s">
        <v>1953</v>
      </c>
    </row>
    <row r="40" spans="1:4" ht="15.75" thickBot="1">
      <c r="A40" s="153" t="s">
        <v>1954</v>
      </c>
      <c r="B40" s="154"/>
      <c r="C40" s="154"/>
      <c r="D40" s="150" t="s">
        <v>1955</v>
      </c>
    </row>
    <row r="41" spans="1:4" ht="15.75" thickBot="1">
      <c r="A41" s="153" t="s">
        <v>1956</v>
      </c>
      <c r="B41" s="154"/>
      <c r="C41" s="154"/>
      <c r="D41" s="150" t="s">
        <v>1957</v>
      </c>
    </row>
    <row r="42" spans="1:4" ht="15.75" thickBot="1">
      <c r="A42" s="153" t="s">
        <v>1958</v>
      </c>
      <c r="B42" s="154"/>
      <c r="C42" s="154"/>
      <c r="D42" s="150" t="s">
        <v>1959</v>
      </c>
    </row>
    <row r="43" spans="1:4" ht="15.75" thickBot="1">
      <c r="A43" s="153" t="s">
        <v>1960</v>
      </c>
      <c r="B43" s="154"/>
      <c r="C43" s="154"/>
      <c r="D43" s="150" t="s">
        <v>1961</v>
      </c>
    </row>
    <row r="44" spans="1:4" ht="15.75" thickBot="1">
      <c r="A44" s="153" t="s">
        <v>1962</v>
      </c>
      <c r="B44" s="154"/>
      <c r="C44" s="154"/>
      <c r="D44" s="150" t="s">
        <v>1963</v>
      </c>
    </row>
    <row r="45" spans="1:4" ht="15.75" thickBot="1">
      <c r="A45" s="153" t="s">
        <v>1964</v>
      </c>
      <c r="B45" s="154"/>
      <c r="C45" s="154"/>
      <c r="D45" s="150" t="s">
        <v>1965</v>
      </c>
    </row>
    <row r="46" spans="1:4" ht="15.75" thickBot="1">
      <c r="A46" s="153" t="s">
        <v>1966</v>
      </c>
      <c r="B46" s="154"/>
      <c r="C46" s="154"/>
      <c r="D46" s="150" t="s">
        <v>1967</v>
      </c>
    </row>
    <row r="47" spans="1:4" ht="26.25" thickBot="1">
      <c r="A47" s="153" t="s">
        <v>1968</v>
      </c>
      <c r="B47" s="154"/>
      <c r="C47" s="154"/>
      <c r="D47" s="150" t="s">
        <v>1969</v>
      </c>
    </row>
    <row r="48" spans="1:4" ht="26.25" thickBot="1">
      <c r="A48" s="153" t="s">
        <v>1970</v>
      </c>
      <c r="B48" s="154"/>
      <c r="C48" s="154"/>
      <c r="D48" s="150" t="s">
        <v>1971</v>
      </c>
    </row>
    <row r="49" spans="1:4" ht="15.75" thickBot="1">
      <c r="A49" s="153" t="s">
        <v>1972</v>
      </c>
      <c r="B49" s="154"/>
      <c r="C49" s="154"/>
      <c r="D49" s="150" t="s">
        <v>1973</v>
      </c>
    </row>
    <row r="50" spans="1:4" ht="15.75" thickBot="1">
      <c r="A50" s="153" t="s">
        <v>1974</v>
      </c>
      <c r="B50" s="154"/>
      <c r="C50" s="154"/>
      <c r="D50" s="150" t="s">
        <v>1975</v>
      </c>
    </row>
    <row r="51" spans="1:4" ht="15.75" thickBot="1">
      <c r="A51" s="153" t="s">
        <v>1976</v>
      </c>
      <c r="B51" s="154"/>
      <c r="C51" s="154"/>
      <c r="D51" s="150" t="s">
        <v>1977</v>
      </c>
    </row>
    <row r="52" spans="1:4" ht="15.75" thickBot="1">
      <c r="A52" s="153" t="s">
        <v>1978</v>
      </c>
      <c r="B52" s="154"/>
      <c r="C52" s="154"/>
      <c r="D52" s="150" t="s">
        <v>1979</v>
      </c>
    </row>
    <row r="53" spans="1:4" ht="15.75" thickBot="1">
      <c r="A53" s="153" t="s">
        <v>1980</v>
      </c>
      <c r="B53" s="154"/>
      <c r="C53" s="154"/>
      <c r="D53" s="150" t="s">
        <v>1981</v>
      </c>
    </row>
    <row r="54" spans="1:4" ht="15.75" thickBot="1">
      <c r="A54" s="153" t="s">
        <v>1982</v>
      </c>
      <c r="B54" s="154"/>
      <c r="C54" s="154"/>
      <c r="D54" s="150" t="s">
        <v>1983</v>
      </c>
    </row>
    <row r="55" spans="1:4" ht="15.75" thickBot="1">
      <c r="A55" s="153" t="s">
        <v>1984</v>
      </c>
      <c r="B55" s="154"/>
      <c r="C55" s="154"/>
      <c r="D55" s="150" t="s">
        <v>1985</v>
      </c>
    </row>
    <row r="56" spans="1:4" ht="15.75" thickBot="1">
      <c r="A56" s="153" t="s">
        <v>1986</v>
      </c>
      <c r="B56" s="154"/>
      <c r="C56" s="154"/>
      <c r="D56" s="150" t="s">
        <v>1987</v>
      </c>
    </row>
    <row r="57" spans="1:4" ht="15.75" thickBot="1">
      <c r="A57" s="153" t="s">
        <v>1988</v>
      </c>
      <c r="B57" s="154"/>
      <c r="C57" s="154"/>
      <c r="D57" s="150" t="s">
        <v>1989</v>
      </c>
    </row>
    <row r="58" spans="1:4" ht="15.75" thickBot="1">
      <c r="A58" s="153" t="s">
        <v>1990</v>
      </c>
      <c r="B58" s="154"/>
      <c r="C58" s="154"/>
      <c r="D58" s="150" t="s">
        <v>1991</v>
      </c>
    </row>
    <row r="59" spans="1:4" ht="15.75" thickBot="1">
      <c r="A59" s="153" t="s">
        <v>1992</v>
      </c>
      <c r="B59" s="154">
        <v>785786</v>
      </c>
      <c r="C59" s="154">
        <v>794453</v>
      </c>
      <c r="D59" s="150" t="s">
        <v>1993</v>
      </c>
    </row>
    <row r="60" spans="1:4" ht="26.25" thickBot="1">
      <c r="A60" s="153" t="s">
        <v>1994</v>
      </c>
      <c r="B60" s="155">
        <v>4865</v>
      </c>
      <c r="C60" s="155">
        <v>4567</v>
      </c>
      <c r="D60" s="150" t="s">
        <v>1995</v>
      </c>
    </row>
    <row r="61" spans="1:4" ht="15.75" thickBot="1">
      <c r="A61" s="153" t="s">
        <v>1538</v>
      </c>
      <c r="B61" s="154">
        <v>780921</v>
      </c>
      <c r="C61" s="154">
        <v>789886</v>
      </c>
      <c r="D61" s="150" t="s">
        <v>1540</v>
      </c>
    </row>
    <row r="62" spans="1:4" ht="15.75" thickBot="1">
      <c r="A62" s="153" t="s">
        <v>495</v>
      </c>
      <c r="B62" s="154">
        <v>780921</v>
      </c>
      <c r="C62" s="154">
        <v>789886</v>
      </c>
      <c r="D62" s="150" t="s">
        <v>496</v>
      </c>
    </row>
    <row r="63" spans="1:4" ht="15.75" thickBot="1">
      <c r="A63" s="153" t="s">
        <v>599</v>
      </c>
      <c r="B63" s="154"/>
      <c r="C63" s="154"/>
      <c r="D63" s="150" t="s">
        <v>594</v>
      </c>
    </row>
    <row r="64" spans="1:4" ht="17.25" customHeight="1">
      <c r="A64" s="307" t="s">
        <v>1994</v>
      </c>
      <c r="B64" s="307"/>
      <c r="C64" s="308" t="s">
        <v>1995</v>
      </c>
      <c r="D64" s="308"/>
    </row>
    <row r="65" spans="1:4" ht="23.25">
      <c r="A65" s="146"/>
      <c r="B65" s="147" t="s">
        <v>104</v>
      </c>
      <c r="C65" s="147" t="s">
        <v>106</v>
      </c>
    </row>
    <row r="66" spans="1:4" ht="15.75" thickBot="1">
      <c r="A66" s="148" t="s">
        <v>1994</v>
      </c>
      <c r="B66" s="149"/>
      <c r="C66" s="149"/>
      <c r="D66" s="150" t="s">
        <v>1995</v>
      </c>
    </row>
    <row r="67" spans="1:4" ht="26.25" thickBot="1">
      <c r="A67" s="151" t="s">
        <v>1996</v>
      </c>
      <c r="B67" s="149"/>
      <c r="C67" s="149"/>
      <c r="D67" s="150" t="s">
        <v>1997</v>
      </c>
    </row>
    <row r="68" spans="1:4" ht="26.25" thickBot="1">
      <c r="A68" s="152" t="s">
        <v>1998</v>
      </c>
      <c r="B68" s="154">
        <v>4567</v>
      </c>
      <c r="C68" s="154">
        <v>4660</v>
      </c>
      <c r="D68" s="150" t="s">
        <v>1999</v>
      </c>
    </row>
    <row r="69" spans="1:4" ht="26.25" thickBot="1">
      <c r="A69" s="152" t="s">
        <v>2000</v>
      </c>
      <c r="B69" s="154">
        <v>298</v>
      </c>
      <c r="C69" s="154">
        <v>-93</v>
      </c>
      <c r="D69" s="150" t="s">
        <v>2001</v>
      </c>
    </row>
    <row r="70" spans="1:4" ht="26.25" thickBot="1">
      <c r="A70" s="152" t="s">
        <v>2002</v>
      </c>
      <c r="B70" s="154">
        <v>4865</v>
      </c>
      <c r="C70" s="154">
        <v>4567</v>
      </c>
      <c r="D70" s="150" t="s">
        <v>2003</v>
      </c>
    </row>
    <row r="71" spans="1:4" ht="26.25" thickBot="1">
      <c r="A71" s="151" t="s">
        <v>2004</v>
      </c>
      <c r="B71" s="149"/>
      <c r="C71" s="149"/>
      <c r="D71" s="150" t="s">
        <v>2005</v>
      </c>
    </row>
    <row r="72" spans="1:4" ht="26.25" thickBot="1">
      <c r="A72" s="152" t="s">
        <v>2006</v>
      </c>
      <c r="B72" s="154"/>
      <c r="C72" s="154"/>
      <c r="D72" s="150" t="s">
        <v>2007</v>
      </c>
    </row>
    <row r="73" spans="1:4" ht="39" thickBot="1">
      <c r="A73" s="152" t="s">
        <v>2008</v>
      </c>
      <c r="B73" s="154"/>
      <c r="C73" s="154"/>
      <c r="D73" s="150" t="s">
        <v>2009</v>
      </c>
    </row>
    <row r="74" spans="1:4" ht="26.25" thickBot="1">
      <c r="A74" s="152" t="s">
        <v>2010</v>
      </c>
      <c r="B74" s="154"/>
      <c r="C74" s="154"/>
      <c r="D74" s="150" t="s">
        <v>2011</v>
      </c>
    </row>
    <row r="75" spans="1:4" ht="26.25" thickBot="1">
      <c r="A75" s="151" t="s">
        <v>2012</v>
      </c>
      <c r="B75" s="149"/>
      <c r="C75" s="149"/>
      <c r="D75" s="150" t="s">
        <v>2013</v>
      </c>
    </row>
    <row r="76" spans="1:4" ht="26.25" thickBot="1">
      <c r="A76" s="152" t="s">
        <v>2014</v>
      </c>
      <c r="B76" s="154"/>
      <c r="C76" s="154"/>
      <c r="D76" s="150" t="s">
        <v>2015</v>
      </c>
    </row>
    <row r="77" spans="1:4" ht="26.25" thickBot="1">
      <c r="A77" s="152" t="s">
        <v>2016</v>
      </c>
      <c r="B77" s="154"/>
      <c r="C77" s="154"/>
      <c r="D77" s="150" t="s">
        <v>2017</v>
      </c>
    </row>
    <row r="78" spans="1:4" ht="26.25" thickBot="1">
      <c r="A78" s="152" t="s">
        <v>2018</v>
      </c>
      <c r="B78" s="154"/>
      <c r="C78" s="154"/>
      <c r="D78" s="150" t="s">
        <v>2019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B2AC8D7-D573-4B9A-9EF0-E9377EA0C9A1}">
      <formula1>-9.99999999999999E+33</formula1>
      <formula2>9.99999999999999E+33</formula2>
    </dataValidation>
  </dataValidations>
  <pageMargins left="0.15" right="0.15" top="0.15" bottom="0.15" header="0.5" footer="0.5"/>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5EEDA-10B7-4EC0-8A61-5294BB6BE428}">
  <dimension ref="A1:C6"/>
  <sheetViews>
    <sheetView showGridLines="0" workbookViewId="0">
      <selection sqref="A1:C1"/>
    </sheetView>
  </sheetViews>
  <sheetFormatPr defaultRowHeight="15"/>
  <cols>
    <col min="1" max="1" width="41.83203125" style="156" bestFit="1" customWidth="1" collapsed="1"/>
    <col min="2" max="2" width="33.33203125" style="156" customWidth="1" collapsed="1"/>
    <col min="3" max="3" width="34.1640625" style="156" bestFit="1" customWidth="1" collapsed="1"/>
    <col min="4" max="16384" width="9.33203125" style="156" collapsed="1"/>
  </cols>
  <sheetData>
    <row r="1" spans="1:3" ht="34.5" customHeight="1">
      <c r="A1" s="309" t="s">
        <v>2020</v>
      </c>
      <c r="B1" s="310"/>
      <c r="C1" s="310"/>
    </row>
    <row r="3" spans="1:3" ht="17.25" customHeight="1">
      <c r="A3" s="157" t="s">
        <v>1737</v>
      </c>
      <c r="B3" s="311" t="s">
        <v>1738</v>
      </c>
      <c r="C3" s="311"/>
    </row>
    <row r="4" spans="1:3">
      <c r="A4" s="158"/>
      <c r="B4" s="159" t="s">
        <v>104</v>
      </c>
    </row>
    <row r="5" spans="1:3" ht="15.75" thickBot="1">
      <c r="A5" s="160" t="s">
        <v>1737</v>
      </c>
      <c r="B5" s="161"/>
      <c r="C5" s="162" t="s">
        <v>1738</v>
      </c>
    </row>
    <row r="6" spans="1:3" ht="75" customHeight="1" thickBot="1">
      <c r="A6" s="163" t="s">
        <v>2021</v>
      </c>
      <c r="B6" s="164" t="s">
        <v>2022</v>
      </c>
      <c r="C6" s="162" t="s">
        <v>2023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C2B39A-784C-453F-8BE0-7F16CC6B6626}">
      <formula1>0</formula1>
    </dataValidation>
  </dataValidations>
  <pageMargins left="0.15" right="0.15" top="0.15" bottom="0.15" header="0.5" footer="0.5"/>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75E3A-6161-42B0-8DAD-2E1708B94952}">
  <dimension ref="A1:J32"/>
  <sheetViews>
    <sheetView showGridLines="0" workbookViewId="0"/>
  </sheetViews>
  <sheetFormatPr defaultRowHeight="15"/>
  <cols>
    <col min="1" max="1" width="22.5" style="166" customWidth="1" collapsed="1"/>
    <col min="2" max="2" width="28.83203125" style="166" customWidth="1" collapsed="1"/>
    <col min="3" max="3" width="30" style="166" bestFit="1" customWidth="1" collapsed="1"/>
    <col min="4" max="4" width="15.6640625" style="166" bestFit="1" customWidth="1" collapsed="1"/>
    <col min="5" max="5" width="14" style="166" bestFit="1" customWidth="1" collapsed="1"/>
    <col min="6" max="6" width="22.5" style="166" customWidth="1" collapsed="1"/>
    <col min="7" max="7" width="28.83203125" style="166" customWidth="1" collapsed="1"/>
    <col min="8" max="8" width="30" style="166" bestFit="1" customWidth="1" collapsed="1"/>
    <col min="9" max="9" width="15.6640625" style="166" bestFit="1" customWidth="1" collapsed="1"/>
    <col min="10" max="10" width="14" style="166" bestFit="1" customWidth="1" collapsed="1"/>
    <col min="11" max="16384" width="9.33203125" style="166" collapsed="1"/>
  </cols>
  <sheetData>
    <row r="1" spans="1:10" ht="17.25">
      <c r="A1" s="165" t="s">
        <v>2024</v>
      </c>
    </row>
    <row r="3" spans="1:10" ht="17.25" customHeight="1">
      <c r="A3" s="319" t="s">
        <v>19</v>
      </c>
      <c r="B3" s="319"/>
      <c r="C3" s="319"/>
      <c r="D3" s="319"/>
      <c r="E3" s="319"/>
      <c r="F3" s="320" t="s">
        <v>106</v>
      </c>
      <c r="G3" s="320"/>
      <c r="H3" s="320"/>
      <c r="I3" s="320"/>
      <c r="J3" s="320"/>
    </row>
    <row r="4" spans="1:10" ht="34.5" customHeight="1">
      <c r="A4" s="319" t="s">
        <v>2025</v>
      </c>
      <c r="B4" s="319"/>
      <c r="C4" s="320" t="s">
        <v>2026</v>
      </c>
      <c r="D4" s="320"/>
      <c r="E4" s="320"/>
      <c r="F4" s="319" t="s">
        <v>2025</v>
      </c>
      <c r="G4" s="319"/>
      <c r="H4" s="320" t="s">
        <v>2026</v>
      </c>
      <c r="I4" s="320"/>
      <c r="J4" s="320"/>
    </row>
    <row r="5" spans="1:10" ht="23.25">
      <c r="A5" s="318"/>
      <c r="B5" s="318"/>
      <c r="C5" s="167" t="s">
        <v>2027</v>
      </c>
      <c r="D5" s="318"/>
      <c r="E5" s="318"/>
      <c r="F5" s="318"/>
      <c r="G5" s="318"/>
      <c r="H5" s="167" t="s">
        <v>2027</v>
      </c>
      <c r="I5" s="318"/>
      <c r="J5" s="318"/>
    </row>
    <row r="6" spans="1:10">
      <c r="A6" s="318"/>
      <c r="B6" s="318"/>
      <c r="C6" s="167" t="s">
        <v>681</v>
      </c>
      <c r="D6" s="318"/>
      <c r="E6" s="318"/>
      <c r="F6" s="318"/>
      <c r="G6" s="318"/>
      <c r="H6" s="167" t="s">
        <v>681</v>
      </c>
      <c r="I6" s="318"/>
      <c r="J6" s="318"/>
    </row>
    <row r="7" spans="1:10" ht="15.75" thickBot="1">
      <c r="A7" s="313" t="s">
        <v>1802</v>
      </c>
      <c r="B7" s="168" t="s">
        <v>1803</v>
      </c>
      <c r="C7" s="169">
        <v>105156</v>
      </c>
      <c r="D7" s="170" t="s">
        <v>1803</v>
      </c>
      <c r="E7" s="316" t="s">
        <v>1804</v>
      </c>
      <c r="F7" s="313" t="s">
        <v>1802</v>
      </c>
      <c r="G7" s="168" t="s">
        <v>1803</v>
      </c>
      <c r="H7" s="169">
        <v>139716</v>
      </c>
      <c r="I7" s="170" t="s">
        <v>1803</v>
      </c>
      <c r="J7" s="316" t="s">
        <v>1804</v>
      </c>
    </row>
    <row r="8" spans="1:10" ht="15.75" thickBot="1">
      <c r="A8" s="313"/>
      <c r="B8" s="168" t="s">
        <v>1805</v>
      </c>
      <c r="C8" s="169"/>
      <c r="D8" s="170" t="s">
        <v>1805</v>
      </c>
      <c r="E8" s="316"/>
      <c r="F8" s="313"/>
      <c r="G8" s="168" t="s">
        <v>1805</v>
      </c>
      <c r="H8" s="169"/>
      <c r="I8" s="170" t="s">
        <v>1805</v>
      </c>
      <c r="J8" s="316"/>
    </row>
    <row r="9" spans="1:10" ht="15.75" thickBot="1">
      <c r="A9" s="313"/>
      <c r="B9" s="168" t="s">
        <v>1806</v>
      </c>
      <c r="C9" s="169"/>
      <c r="D9" s="170" t="s">
        <v>1806</v>
      </c>
      <c r="E9" s="316"/>
      <c r="F9" s="313"/>
      <c r="G9" s="168" t="s">
        <v>1806</v>
      </c>
      <c r="H9" s="169"/>
      <c r="I9" s="170" t="s">
        <v>1806</v>
      </c>
      <c r="J9" s="316"/>
    </row>
    <row r="10" spans="1:10" ht="15.75" thickBot="1">
      <c r="A10" s="313"/>
      <c r="B10" s="168" t="s">
        <v>1807</v>
      </c>
      <c r="C10" s="169">
        <v>282</v>
      </c>
      <c r="D10" s="170" t="s">
        <v>1807</v>
      </c>
      <c r="E10" s="316"/>
      <c r="F10" s="313"/>
      <c r="G10" s="168" t="s">
        <v>1807</v>
      </c>
      <c r="H10" s="169"/>
      <c r="I10" s="170" t="s">
        <v>1807</v>
      </c>
      <c r="J10" s="316"/>
    </row>
    <row r="11" spans="1:10" ht="15.75" thickBot="1">
      <c r="A11" s="313"/>
      <c r="B11" s="168" t="s">
        <v>1808</v>
      </c>
      <c r="C11" s="169">
        <v>1249</v>
      </c>
      <c r="D11" s="170" t="s">
        <v>1808</v>
      </c>
      <c r="E11" s="316"/>
      <c r="F11" s="313"/>
      <c r="G11" s="168" t="s">
        <v>1808</v>
      </c>
      <c r="H11" s="169">
        <v>476</v>
      </c>
      <c r="I11" s="170" t="s">
        <v>1808</v>
      </c>
      <c r="J11" s="316"/>
    </row>
    <row r="12" spans="1:10" ht="15.75" thickBot="1">
      <c r="A12" s="313"/>
      <c r="B12" s="168" t="s">
        <v>1809</v>
      </c>
      <c r="C12" s="169"/>
      <c r="D12" s="170" t="s">
        <v>1809</v>
      </c>
      <c r="E12" s="316"/>
      <c r="F12" s="313"/>
      <c r="G12" s="168" t="s">
        <v>1809</v>
      </c>
      <c r="H12" s="169"/>
      <c r="I12" s="170" t="s">
        <v>1809</v>
      </c>
      <c r="J12" s="316"/>
    </row>
    <row r="13" spans="1:10" ht="15.75" thickBot="1">
      <c r="A13" s="313"/>
      <c r="B13" s="168" t="s">
        <v>1810</v>
      </c>
      <c r="C13" s="169"/>
      <c r="D13" s="170" t="s">
        <v>1810</v>
      </c>
      <c r="E13" s="316"/>
      <c r="F13" s="313"/>
      <c r="G13" s="168" t="s">
        <v>1810</v>
      </c>
      <c r="H13" s="169"/>
      <c r="I13" s="170" t="s">
        <v>1810</v>
      </c>
      <c r="J13" s="316"/>
    </row>
    <row r="14" spans="1:10" ht="15.75" thickBot="1">
      <c r="A14" s="313"/>
      <c r="B14" s="168" t="s">
        <v>1811</v>
      </c>
      <c r="C14" s="169">
        <v>3099</v>
      </c>
      <c r="D14" s="170" t="s">
        <v>1811</v>
      </c>
      <c r="E14" s="316"/>
      <c r="F14" s="313"/>
      <c r="G14" s="168" t="s">
        <v>1811</v>
      </c>
      <c r="H14" s="169"/>
      <c r="I14" s="170" t="s">
        <v>1811</v>
      </c>
      <c r="J14" s="316"/>
    </row>
    <row r="15" spans="1:10" ht="15.75" thickBot="1">
      <c r="A15" s="313"/>
      <c r="B15" s="168" t="s">
        <v>1812</v>
      </c>
      <c r="C15" s="169"/>
      <c r="D15" s="170" t="s">
        <v>1812</v>
      </c>
      <c r="E15" s="316"/>
      <c r="F15" s="313"/>
      <c r="G15" s="168" t="s">
        <v>1812</v>
      </c>
      <c r="H15" s="169">
        <v>71</v>
      </c>
      <c r="I15" s="170" t="s">
        <v>1812</v>
      </c>
      <c r="J15" s="316"/>
    </row>
    <row r="16" spans="1:10" ht="15.75" thickBot="1">
      <c r="A16" s="313"/>
      <c r="B16" s="168" t="s">
        <v>1813</v>
      </c>
      <c r="C16" s="169"/>
      <c r="D16" s="170" t="s">
        <v>1813</v>
      </c>
      <c r="E16" s="316"/>
      <c r="F16" s="313"/>
      <c r="G16" s="168" t="s">
        <v>1813</v>
      </c>
      <c r="H16" s="169"/>
      <c r="I16" s="170" t="s">
        <v>1813</v>
      </c>
      <c r="J16" s="316"/>
    </row>
    <row r="17" spans="1:10" ht="15.75" thickBot="1">
      <c r="A17" s="313"/>
      <c r="B17" s="168" t="s">
        <v>1814</v>
      </c>
      <c r="C17" s="169">
        <v>233862</v>
      </c>
      <c r="D17" s="170" t="s">
        <v>1814</v>
      </c>
      <c r="E17" s="316"/>
      <c r="F17" s="313"/>
      <c r="G17" s="168" t="s">
        <v>1814</v>
      </c>
      <c r="H17" s="169">
        <v>185493</v>
      </c>
      <c r="I17" s="170" t="s">
        <v>1814</v>
      </c>
      <c r="J17" s="316"/>
    </row>
    <row r="18" spans="1:10" ht="15.75" thickBot="1">
      <c r="A18" s="313"/>
      <c r="B18" s="168" t="s">
        <v>1815</v>
      </c>
      <c r="C18" s="169"/>
      <c r="D18" s="170" t="s">
        <v>1816</v>
      </c>
      <c r="E18" s="316"/>
      <c r="F18" s="313"/>
      <c r="G18" s="168" t="s">
        <v>1815</v>
      </c>
      <c r="H18" s="169"/>
      <c r="I18" s="170" t="s">
        <v>1816</v>
      </c>
      <c r="J18" s="316"/>
    </row>
    <row r="19" spans="1:10" ht="15.75" thickBot="1">
      <c r="A19" s="314"/>
      <c r="B19" s="168" t="s">
        <v>1817</v>
      </c>
      <c r="C19" s="169">
        <v>343648</v>
      </c>
      <c r="D19" s="170" t="s">
        <v>1818</v>
      </c>
      <c r="E19" s="317"/>
      <c r="F19" s="314"/>
      <c r="G19" s="168" t="s">
        <v>1817</v>
      </c>
      <c r="H19" s="169">
        <v>325756</v>
      </c>
      <c r="I19" s="170" t="s">
        <v>1818</v>
      </c>
      <c r="J19" s="317"/>
    </row>
    <row r="20" spans="1:10" ht="15.75" thickBot="1">
      <c r="A20" s="312" t="s">
        <v>1819</v>
      </c>
      <c r="B20" s="168" t="s">
        <v>1803</v>
      </c>
      <c r="C20" s="169"/>
      <c r="D20" s="170" t="s">
        <v>1803</v>
      </c>
      <c r="E20" s="315" t="s">
        <v>1820</v>
      </c>
      <c r="F20" s="312" t="s">
        <v>1819</v>
      </c>
      <c r="G20" s="168" t="s">
        <v>1803</v>
      </c>
      <c r="H20" s="169"/>
      <c r="I20" s="170" t="s">
        <v>1803</v>
      </c>
      <c r="J20" s="315" t="s">
        <v>1820</v>
      </c>
    </row>
    <row r="21" spans="1:10" ht="15.75" thickBot="1">
      <c r="A21" s="313"/>
      <c r="B21" s="168" t="s">
        <v>1805</v>
      </c>
      <c r="C21" s="169"/>
      <c r="D21" s="170" t="s">
        <v>1805</v>
      </c>
      <c r="E21" s="316"/>
      <c r="F21" s="313"/>
      <c r="G21" s="168" t="s">
        <v>1805</v>
      </c>
      <c r="H21" s="169"/>
      <c r="I21" s="170" t="s">
        <v>1805</v>
      </c>
      <c r="J21" s="316"/>
    </row>
    <row r="22" spans="1:10" ht="15.75" thickBot="1">
      <c r="A22" s="313"/>
      <c r="B22" s="168" t="s">
        <v>1806</v>
      </c>
      <c r="C22" s="169"/>
      <c r="D22" s="170" t="s">
        <v>1806</v>
      </c>
      <c r="E22" s="316"/>
      <c r="F22" s="313"/>
      <c r="G22" s="168" t="s">
        <v>1806</v>
      </c>
      <c r="H22" s="169"/>
      <c r="I22" s="170" t="s">
        <v>1806</v>
      </c>
      <c r="J22" s="316"/>
    </row>
    <row r="23" spans="1:10" ht="15.75" thickBot="1">
      <c r="A23" s="313"/>
      <c r="B23" s="168" t="s">
        <v>1807</v>
      </c>
      <c r="C23" s="169"/>
      <c r="D23" s="170" t="s">
        <v>1807</v>
      </c>
      <c r="E23" s="316"/>
      <c r="F23" s="313"/>
      <c r="G23" s="168" t="s">
        <v>1807</v>
      </c>
      <c r="H23" s="169"/>
      <c r="I23" s="170" t="s">
        <v>1807</v>
      </c>
      <c r="J23" s="316"/>
    </row>
    <row r="24" spans="1:10" ht="15.75" thickBot="1">
      <c r="A24" s="313"/>
      <c r="B24" s="168" t="s">
        <v>1808</v>
      </c>
      <c r="C24" s="169"/>
      <c r="D24" s="170" t="s">
        <v>1808</v>
      </c>
      <c r="E24" s="316"/>
      <c r="F24" s="313"/>
      <c r="G24" s="168" t="s">
        <v>1808</v>
      </c>
      <c r="H24" s="169"/>
      <c r="I24" s="170" t="s">
        <v>1808</v>
      </c>
      <c r="J24" s="316"/>
    </row>
    <row r="25" spans="1:10" ht="15.75" thickBot="1">
      <c r="A25" s="313"/>
      <c r="B25" s="168" t="s">
        <v>1809</v>
      </c>
      <c r="C25" s="169"/>
      <c r="D25" s="170" t="s">
        <v>1809</v>
      </c>
      <c r="E25" s="316"/>
      <c r="F25" s="313"/>
      <c r="G25" s="168" t="s">
        <v>1809</v>
      </c>
      <c r="H25" s="169"/>
      <c r="I25" s="170" t="s">
        <v>1809</v>
      </c>
      <c r="J25" s="316"/>
    </row>
    <row r="26" spans="1:10" ht="15.75" thickBot="1">
      <c r="A26" s="313"/>
      <c r="B26" s="168" t="s">
        <v>1810</v>
      </c>
      <c r="C26" s="169"/>
      <c r="D26" s="170" t="s">
        <v>1810</v>
      </c>
      <c r="E26" s="316"/>
      <c r="F26" s="313"/>
      <c r="G26" s="168" t="s">
        <v>1810</v>
      </c>
      <c r="H26" s="169"/>
      <c r="I26" s="170" t="s">
        <v>1810</v>
      </c>
      <c r="J26" s="316"/>
    </row>
    <row r="27" spans="1:10" ht="15.75" thickBot="1">
      <c r="A27" s="313"/>
      <c r="B27" s="168" t="s">
        <v>1811</v>
      </c>
      <c r="C27" s="169"/>
      <c r="D27" s="170" t="s">
        <v>1811</v>
      </c>
      <c r="E27" s="316"/>
      <c r="F27" s="313"/>
      <c r="G27" s="168" t="s">
        <v>1811</v>
      </c>
      <c r="H27" s="169"/>
      <c r="I27" s="170" t="s">
        <v>1811</v>
      </c>
      <c r="J27" s="316"/>
    </row>
    <row r="28" spans="1:10" ht="15.75" thickBot="1">
      <c r="A28" s="313"/>
      <c r="B28" s="168" t="s">
        <v>1812</v>
      </c>
      <c r="C28" s="169"/>
      <c r="D28" s="170" t="s">
        <v>1812</v>
      </c>
      <c r="E28" s="316"/>
      <c r="F28" s="313"/>
      <c r="G28" s="168" t="s">
        <v>1812</v>
      </c>
      <c r="H28" s="169"/>
      <c r="I28" s="170" t="s">
        <v>1812</v>
      </c>
      <c r="J28" s="316"/>
    </row>
    <row r="29" spans="1:10" ht="15.75" thickBot="1">
      <c r="A29" s="313"/>
      <c r="B29" s="168" t="s">
        <v>1813</v>
      </c>
      <c r="C29" s="169"/>
      <c r="D29" s="170" t="s">
        <v>1813</v>
      </c>
      <c r="E29" s="316"/>
      <c r="F29" s="313"/>
      <c r="G29" s="168" t="s">
        <v>1813</v>
      </c>
      <c r="H29" s="169"/>
      <c r="I29" s="170" t="s">
        <v>1813</v>
      </c>
      <c r="J29" s="316"/>
    </row>
    <row r="30" spans="1:10" ht="15.75" thickBot="1">
      <c r="A30" s="313"/>
      <c r="B30" s="168" t="s">
        <v>1814</v>
      </c>
      <c r="C30" s="169"/>
      <c r="D30" s="170" t="s">
        <v>1814</v>
      </c>
      <c r="E30" s="316"/>
      <c r="F30" s="313"/>
      <c r="G30" s="168" t="s">
        <v>1814</v>
      </c>
      <c r="H30" s="169"/>
      <c r="I30" s="170" t="s">
        <v>1814</v>
      </c>
      <c r="J30" s="316"/>
    </row>
    <row r="31" spans="1:10" ht="15.75" thickBot="1">
      <c r="A31" s="313"/>
      <c r="B31" s="168" t="s">
        <v>1815</v>
      </c>
      <c r="C31" s="169"/>
      <c r="D31" s="170" t="s">
        <v>1816</v>
      </c>
      <c r="E31" s="316"/>
      <c r="F31" s="313"/>
      <c r="G31" s="168" t="s">
        <v>1815</v>
      </c>
      <c r="H31" s="169"/>
      <c r="I31" s="170" t="s">
        <v>1816</v>
      </c>
      <c r="J31" s="316"/>
    </row>
    <row r="32" spans="1:10" ht="15.75" thickBot="1">
      <c r="A32" s="314"/>
      <c r="B32" s="168" t="s">
        <v>1817</v>
      </c>
      <c r="C32" s="169">
        <v>0</v>
      </c>
      <c r="D32" s="170" t="s">
        <v>1818</v>
      </c>
      <c r="E32" s="317"/>
      <c r="F32" s="314"/>
      <c r="G32" s="168" t="s">
        <v>1817</v>
      </c>
      <c r="H32" s="169">
        <v>0</v>
      </c>
      <c r="I32" s="170" t="s">
        <v>1818</v>
      </c>
      <c r="J32" s="31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617358D8-CF4B-45A9-9666-40159C687D9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2C33F-848E-4557-A176-6837A47BFF30}">
  <dimension ref="A1:J47"/>
  <sheetViews>
    <sheetView showGridLines="0" workbookViewId="0"/>
  </sheetViews>
  <sheetFormatPr defaultRowHeight="15"/>
  <cols>
    <col min="1" max="1" width="23.6640625" style="172" customWidth="1" collapsed="1"/>
    <col min="2" max="2" width="23" style="172" customWidth="1" collapsed="1"/>
    <col min="3" max="3" width="30" style="172" bestFit="1" customWidth="1" collapsed="1"/>
    <col min="4" max="4" width="20.6640625" style="172" bestFit="1" customWidth="1" collapsed="1"/>
    <col min="5" max="5" width="12.33203125" style="172" bestFit="1" customWidth="1" collapsed="1"/>
    <col min="6" max="6" width="23.6640625" style="172" customWidth="1" collapsed="1"/>
    <col min="7" max="7" width="23" style="172" customWidth="1" collapsed="1"/>
    <col min="8" max="8" width="30" style="172" bestFit="1" customWidth="1" collapsed="1"/>
    <col min="9" max="9" width="20.6640625" style="172" bestFit="1" customWidth="1" collapsed="1"/>
    <col min="10" max="10" width="12.33203125" style="172" bestFit="1" customWidth="1" collapsed="1"/>
    <col min="11" max="16384" width="9.33203125" style="172" collapsed="1"/>
  </cols>
  <sheetData>
    <row r="1" spans="1:10" ht="17.25">
      <c r="A1" s="171" t="s">
        <v>2028</v>
      </c>
    </row>
    <row r="3" spans="1:10" ht="17.25" customHeight="1">
      <c r="A3" s="321" t="s">
        <v>19</v>
      </c>
      <c r="B3" s="321"/>
      <c r="C3" s="321"/>
      <c r="D3" s="321"/>
      <c r="E3" s="321"/>
      <c r="F3" s="322" t="s">
        <v>106</v>
      </c>
      <c r="G3" s="322"/>
      <c r="H3" s="322"/>
      <c r="I3" s="322"/>
      <c r="J3" s="322"/>
    </row>
    <row r="4" spans="1:10" ht="17.25" customHeight="1">
      <c r="A4" s="321" t="s">
        <v>2029</v>
      </c>
      <c r="B4" s="321"/>
      <c r="C4" s="322" t="s">
        <v>2030</v>
      </c>
      <c r="D4" s="322"/>
      <c r="E4" s="322"/>
      <c r="F4" s="321" t="s">
        <v>2029</v>
      </c>
      <c r="G4" s="321"/>
      <c r="H4" s="322" t="s">
        <v>2030</v>
      </c>
      <c r="I4" s="322"/>
      <c r="J4" s="322"/>
    </row>
    <row r="5" spans="1:10" ht="23.25">
      <c r="A5" s="323"/>
      <c r="B5" s="323"/>
      <c r="C5" s="173" t="s">
        <v>2027</v>
      </c>
      <c r="D5" s="323"/>
      <c r="E5" s="323"/>
      <c r="F5" s="323"/>
      <c r="G5" s="323"/>
      <c r="H5" s="173" t="s">
        <v>2027</v>
      </c>
      <c r="I5" s="323"/>
      <c r="J5" s="323"/>
    </row>
    <row r="6" spans="1:10">
      <c r="A6" s="323"/>
      <c r="B6" s="323"/>
      <c r="C6" s="173" t="s">
        <v>681</v>
      </c>
      <c r="D6" s="323"/>
      <c r="E6" s="323"/>
      <c r="F6" s="323"/>
      <c r="G6" s="323"/>
      <c r="H6" s="173" t="s">
        <v>681</v>
      </c>
      <c r="I6" s="323"/>
      <c r="J6" s="323"/>
    </row>
    <row r="7" spans="1:10" ht="15.75" thickBot="1">
      <c r="A7" s="324" t="s">
        <v>1829</v>
      </c>
      <c r="B7" s="174" t="s">
        <v>1830</v>
      </c>
      <c r="C7" s="175">
        <v>18122</v>
      </c>
      <c r="D7" s="176" t="s">
        <v>1831</v>
      </c>
      <c r="E7" s="326" t="s">
        <v>1832</v>
      </c>
      <c r="F7" s="324" t="s">
        <v>1829</v>
      </c>
      <c r="G7" s="174" t="s">
        <v>1830</v>
      </c>
      <c r="H7" s="175">
        <v>16587</v>
      </c>
      <c r="I7" s="176" t="s">
        <v>1831</v>
      </c>
      <c r="J7" s="326" t="s">
        <v>1832</v>
      </c>
    </row>
    <row r="8" spans="1:10" ht="15.75" thickBot="1">
      <c r="A8" s="324"/>
      <c r="B8" s="174" t="s">
        <v>1833</v>
      </c>
      <c r="C8" s="175"/>
      <c r="D8" s="176" t="s">
        <v>1834</v>
      </c>
      <c r="E8" s="326"/>
      <c r="F8" s="324"/>
      <c r="G8" s="174" t="s">
        <v>1833</v>
      </c>
      <c r="H8" s="175"/>
      <c r="I8" s="176" t="s">
        <v>1834</v>
      </c>
      <c r="J8" s="326"/>
    </row>
    <row r="9" spans="1:10" ht="15.75" thickBot="1">
      <c r="A9" s="324"/>
      <c r="B9" s="174" t="s">
        <v>1835</v>
      </c>
      <c r="C9" s="175"/>
      <c r="D9" s="176" t="s">
        <v>1836</v>
      </c>
      <c r="E9" s="326"/>
      <c r="F9" s="324"/>
      <c r="G9" s="174" t="s">
        <v>1835</v>
      </c>
      <c r="H9" s="175"/>
      <c r="I9" s="176" t="s">
        <v>1836</v>
      </c>
      <c r="J9" s="326"/>
    </row>
    <row r="10" spans="1:10" ht="15.75" thickBot="1">
      <c r="A10" s="324"/>
      <c r="B10" s="174" t="s">
        <v>1837</v>
      </c>
      <c r="C10" s="175"/>
      <c r="D10" s="176" t="s">
        <v>1838</v>
      </c>
      <c r="E10" s="326"/>
      <c r="F10" s="324"/>
      <c r="G10" s="174" t="s">
        <v>1837</v>
      </c>
      <c r="H10" s="175"/>
      <c r="I10" s="176" t="s">
        <v>1838</v>
      </c>
      <c r="J10" s="326"/>
    </row>
    <row r="11" spans="1:10" ht="15.75" thickBot="1">
      <c r="A11" s="324"/>
      <c r="B11" s="174" t="s">
        <v>1839</v>
      </c>
      <c r="C11" s="175"/>
      <c r="D11" s="176" t="s">
        <v>1840</v>
      </c>
      <c r="E11" s="326"/>
      <c r="F11" s="324"/>
      <c r="G11" s="174" t="s">
        <v>1839</v>
      </c>
      <c r="H11" s="175"/>
      <c r="I11" s="176" t="s">
        <v>1840</v>
      </c>
      <c r="J11" s="326"/>
    </row>
    <row r="12" spans="1:10" ht="15.75" thickBot="1">
      <c r="A12" s="324"/>
      <c r="B12" s="174" t="s">
        <v>1841</v>
      </c>
      <c r="C12" s="175">
        <v>161</v>
      </c>
      <c r="D12" s="176" t="s">
        <v>1842</v>
      </c>
      <c r="E12" s="326"/>
      <c r="F12" s="324"/>
      <c r="G12" s="174" t="s">
        <v>1841</v>
      </c>
      <c r="H12" s="175">
        <v>9359</v>
      </c>
      <c r="I12" s="176" t="s">
        <v>1842</v>
      </c>
      <c r="J12" s="326"/>
    </row>
    <row r="13" spans="1:10" ht="15.75" thickBot="1">
      <c r="A13" s="324"/>
      <c r="B13" s="174" t="s">
        <v>1843</v>
      </c>
      <c r="C13" s="175"/>
      <c r="D13" s="176" t="s">
        <v>1844</v>
      </c>
      <c r="E13" s="326"/>
      <c r="F13" s="324"/>
      <c r="G13" s="174" t="s">
        <v>1843</v>
      </c>
      <c r="H13" s="175"/>
      <c r="I13" s="176" t="s">
        <v>1844</v>
      </c>
      <c r="J13" s="326"/>
    </row>
    <row r="14" spans="1:10" ht="15.75" thickBot="1">
      <c r="A14" s="324"/>
      <c r="B14" s="174" t="s">
        <v>1845</v>
      </c>
      <c r="C14" s="175"/>
      <c r="D14" s="176" t="s">
        <v>1846</v>
      </c>
      <c r="E14" s="326"/>
      <c r="F14" s="324"/>
      <c r="G14" s="174" t="s">
        <v>1845</v>
      </c>
      <c r="H14" s="175"/>
      <c r="I14" s="176" t="s">
        <v>1846</v>
      </c>
      <c r="J14" s="326"/>
    </row>
    <row r="15" spans="1:10" ht="15.75" thickBot="1">
      <c r="A15" s="324"/>
      <c r="B15" s="174" t="s">
        <v>1847</v>
      </c>
      <c r="C15" s="175"/>
      <c r="D15" s="176" t="s">
        <v>1848</v>
      </c>
      <c r="E15" s="326"/>
      <c r="F15" s="324"/>
      <c r="G15" s="174" t="s">
        <v>1847</v>
      </c>
      <c r="H15" s="175"/>
      <c r="I15" s="176" t="s">
        <v>1848</v>
      </c>
      <c r="J15" s="326"/>
    </row>
    <row r="16" spans="1:10" ht="15.75" thickBot="1">
      <c r="A16" s="324"/>
      <c r="B16" s="174" t="s">
        <v>1849</v>
      </c>
      <c r="C16" s="175"/>
      <c r="D16" s="176" t="s">
        <v>1850</v>
      </c>
      <c r="E16" s="326"/>
      <c r="F16" s="324"/>
      <c r="G16" s="174" t="s">
        <v>1849</v>
      </c>
      <c r="H16" s="175"/>
      <c r="I16" s="176" t="s">
        <v>1850</v>
      </c>
      <c r="J16" s="326"/>
    </row>
    <row r="17" spans="1:10" ht="15.75" thickBot="1">
      <c r="A17" s="324"/>
      <c r="B17" s="174" t="s">
        <v>1851</v>
      </c>
      <c r="C17" s="175"/>
      <c r="D17" s="176" t="s">
        <v>1852</v>
      </c>
      <c r="E17" s="326"/>
      <c r="F17" s="324"/>
      <c r="G17" s="174" t="s">
        <v>1851</v>
      </c>
      <c r="H17" s="175"/>
      <c r="I17" s="176" t="s">
        <v>1852</v>
      </c>
      <c r="J17" s="326"/>
    </row>
    <row r="18" spans="1:10" ht="15.75" thickBot="1">
      <c r="A18" s="324"/>
      <c r="B18" s="174" t="s">
        <v>1853</v>
      </c>
      <c r="C18" s="175"/>
      <c r="D18" s="176" t="s">
        <v>1854</v>
      </c>
      <c r="E18" s="326"/>
      <c r="F18" s="324"/>
      <c r="G18" s="174" t="s">
        <v>1853</v>
      </c>
      <c r="H18" s="175"/>
      <c r="I18" s="176" t="s">
        <v>1854</v>
      </c>
      <c r="J18" s="326"/>
    </row>
    <row r="19" spans="1:10" ht="15.75" thickBot="1">
      <c r="A19" s="324"/>
      <c r="B19" s="174" t="s">
        <v>1855</v>
      </c>
      <c r="C19" s="175"/>
      <c r="D19" s="176" t="s">
        <v>1856</v>
      </c>
      <c r="E19" s="326"/>
      <c r="F19" s="324"/>
      <c r="G19" s="174" t="s">
        <v>1855</v>
      </c>
      <c r="H19" s="175"/>
      <c r="I19" s="176" t="s">
        <v>1856</v>
      </c>
      <c r="J19" s="326"/>
    </row>
    <row r="20" spans="1:10" ht="15.75" thickBot="1">
      <c r="A20" s="324"/>
      <c r="B20" s="174" t="s">
        <v>1857</v>
      </c>
      <c r="C20" s="175"/>
      <c r="D20" s="176" t="s">
        <v>1858</v>
      </c>
      <c r="E20" s="326"/>
      <c r="F20" s="324"/>
      <c r="G20" s="174" t="s">
        <v>1857</v>
      </c>
      <c r="H20" s="175"/>
      <c r="I20" s="176" t="s">
        <v>1858</v>
      </c>
      <c r="J20" s="326"/>
    </row>
    <row r="21" spans="1:10" ht="15.75" thickBot="1">
      <c r="A21" s="324"/>
      <c r="B21" s="174" t="s">
        <v>1859</v>
      </c>
      <c r="C21" s="175"/>
      <c r="D21" s="176" t="s">
        <v>1860</v>
      </c>
      <c r="E21" s="326"/>
      <c r="F21" s="324"/>
      <c r="G21" s="174" t="s">
        <v>1859</v>
      </c>
      <c r="H21" s="175"/>
      <c r="I21" s="176" t="s">
        <v>1860</v>
      </c>
      <c r="J21" s="326"/>
    </row>
    <row r="22" spans="1:10" ht="15.75" thickBot="1">
      <c r="A22" s="324"/>
      <c r="B22" s="174" t="s">
        <v>1861</v>
      </c>
      <c r="C22" s="175"/>
      <c r="D22" s="176" t="s">
        <v>1862</v>
      </c>
      <c r="E22" s="326"/>
      <c r="F22" s="324"/>
      <c r="G22" s="174" t="s">
        <v>1861</v>
      </c>
      <c r="H22" s="175"/>
      <c r="I22" s="176" t="s">
        <v>1862</v>
      </c>
      <c r="J22" s="326"/>
    </row>
    <row r="23" spans="1:10" ht="15.75" thickBot="1">
      <c r="A23" s="324"/>
      <c r="B23" s="174" t="s">
        <v>1863</v>
      </c>
      <c r="C23" s="175"/>
      <c r="D23" s="176" t="s">
        <v>1864</v>
      </c>
      <c r="E23" s="326"/>
      <c r="F23" s="324"/>
      <c r="G23" s="174" t="s">
        <v>1863</v>
      </c>
      <c r="H23" s="175"/>
      <c r="I23" s="176" t="s">
        <v>1864</v>
      </c>
      <c r="J23" s="326"/>
    </row>
    <row r="24" spans="1:10" ht="15.75" thickBot="1">
      <c r="A24" s="324"/>
      <c r="B24" s="174" t="s">
        <v>1865</v>
      </c>
      <c r="C24" s="175"/>
      <c r="D24" s="176" t="s">
        <v>1866</v>
      </c>
      <c r="E24" s="326"/>
      <c r="F24" s="324"/>
      <c r="G24" s="174" t="s">
        <v>1865</v>
      </c>
      <c r="H24" s="175"/>
      <c r="I24" s="176" t="s">
        <v>1866</v>
      </c>
      <c r="J24" s="326"/>
    </row>
    <row r="25" spans="1:10" ht="15.75" thickBot="1">
      <c r="A25" s="324"/>
      <c r="B25" s="174" t="s">
        <v>1867</v>
      </c>
      <c r="C25" s="175"/>
      <c r="D25" s="176" t="s">
        <v>1868</v>
      </c>
      <c r="E25" s="326"/>
      <c r="F25" s="324"/>
      <c r="G25" s="174" t="s">
        <v>1867</v>
      </c>
      <c r="H25" s="175"/>
      <c r="I25" s="176" t="s">
        <v>1868</v>
      </c>
      <c r="J25" s="326"/>
    </row>
    <row r="26" spans="1:10" ht="15.75" thickBot="1">
      <c r="A26" s="324"/>
      <c r="B26" s="174" t="s">
        <v>1869</v>
      </c>
      <c r="C26" s="175"/>
      <c r="D26" s="176" t="s">
        <v>1870</v>
      </c>
      <c r="E26" s="326"/>
      <c r="F26" s="324"/>
      <c r="G26" s="174" t="s">
        <v>1869</v>
      </c>
      <c r="H26" s="175"/>
      <c r="I26" s="176" t="s">
        <v>1870</v>
      </c>
      <c r="J26" s="326"/>
    </row>
    <row r="27" spans="1:10" ht="15.75" thickBot="1">
      <c r="A27" s="324"/>
      <c r="B27" s="174" t="s">
        <v>1871</v>
      </c>
      <c r="C27" s="175"/>
      <c r="D27" s="176" t="s">
        <v>1872</v>
      </c>
      <c r="E27" s="326"/>
      <c r="F27" s="324"/>
      <c r="G27" s="174" t="s">
        <v>1871</v>
      </c>
      <c r="H27" s="175"/>
      <c r="I27" s="176" t="s">
        <v>1872</v>
      </c>
      <c r="J27" s="326"/>
    </row>
    <row r="28" spans="1:10" ht="15.75" thickBot="1">
      <c r="A28" s="324"/>
      <c r="B28" s="174" t="s">
        <v>1873</v>
      </c>
      <c r="C28" s="175"/>
      <c r="D28" s="176" t="s">
        <v>1874</v>
      </c>
      <c r="E28" s="326"/>
      <c r="F28" s="324"/>
      <c r="G28" s="174" t="s">
        <v>1873</v>
      </c>
      <c r="H28" s="175"/>
      <c r="I28" s="176" t="s">
        <v>1874</v>
      </c>
      <c r="J28" s="326"/>
    </row>
    <row r="29" spans="1:10" ht="15.75" thickBot="1">
      <c r="A29" s="324"/>
      <c r="B29" s="174" t="s">
        <v>1875</v>
      </c>
      <c r="C29" s="175"/>
      <c r="D29" s="176" t="s">
        <v>1876</v>
      </c>
      <c r="E29" s="326"/>
      <c r="F29" s="324"/>
      <c r="G29" s="174" t="s">
        <v>1875</v>
      </c>
      <c r="H29" s="175"/>
      <c r="I29" s="176" t="s">
        <v>1876</v>
      </c>
      <c r="J29" s="326"/>
    </row>
    <row r="30" spans="1:10" ht="15.75" thickBot="1">
      <c r="A30" s="324"/>
      <c r="B30" s="174" t="s">
        <v>1877</v>
      </c>
      <c r="C30" s="175"/>
      <c r="D30" s="176" t="s">
        <v>1878</v>
      </c>
      <c r="E30" s="326"/>
      <c r="F30" s="324"/>
      <c r="G30" s="174" t="s">
        <v>1877</v>
      </c>
      <c r="H30" s="175"/>
      <c r="I30" s="176" t="s">
        <v>1878</v>
      </c>
      <c r="J30" s="326"/>
    </row>
    <row r="31" spans="1:10" ht="15.75" thickBot="1">
      <c r="A31" s="324"/>
      <c r="B31" s="174" t="s">
        <v>1879</v>
      </c>
      <c r="C31" s="175"/>
      <c r="D31" s="176" t="s">
        <v>1880</v>
      </c>
      <c r="E31" s="326"/>
      <c r="F31" s="324"/>
      <c r="G31" s="174" t="s">
        <v>1879</v>
      </c>
      <c r="H31" s="175"/>
      <c r="I31" s="176" t="s">
        <v>1880</v>
      </c>
      <c r="J31" s="326"/>
    </row>
    <row r="32" spans="1:10" ht="15.75" thickBot="1">
      <c r="A32" s="324"/>
      <c r="B32" s="174" t="s">
        <v>1881</v>
      </c>
      <c r="C32" s="175"/>
      <c r="D32" s="176" t="s">
        <v>1882</v>
      </c>
      <c r="E32" s="326"/>
      <c r="F32" s="324"/>
      <c r="G32" s="174" t="s">
        <v>1881</v>
      </c>
      <c r="H32" s="175"/>
      <c r="I32" s="176" t="s">
        <v>1882</v>
      </c>
      <c r="J32" s="326"/>
    </row>
    <row r="33" spans="1:10" ht="15.75" thickBot="1">
      <c r="A33" s="324"/>
      <c r="B33" s="174" t="s">
        <v>1883</v>
      </c>
      <c r="C33" s="175"/>
      <c r="D33" s="176" t="s">
        <v>1884</v>
      </c>
      <c r="E33" s="326"/>
      <c r="F33" s="324"/>
      <c r="G33" s="174" t="s">
        <v>1883</v>
      </c>
      <c r="H33" s="175"/>
      <c r="I33" s="176" t="s">
        <v>1884</v>
      </c>
      <c r="J33" s="326"/>
    </row>
    <row r="34" spans="1:10" ht="15.75" thickBot="1">
      <c r="A34" s="324"/>
      <c r="B34" s="174" t="s">
        <v>1885</v>
      </c>
      <c r="C34" s="175"/>
      <c r="D34" s="176" t="s">
        <v>1886</v>
      </c>
      <c r="E34" s="326"/>
      <c r="F34" s="324"/>
      <c r="G34" s="174" t="s">
        <v>1885</v>
      </c>
      <c r="H34" s="175"/>
      <c r="I34" s="176" t="s">
        <v>1886</v>
      </c>
      <c r="J34" s="326"/>
    </row>
    <row r="35" spans="1:10" ht="15.75" thickBot="1">
      <c r="A35" s="324"/>
      <c r="B35" s="174" t="s">
        <v>1887</v>
      </c>
      <c r="C35" s="175"/>
      <c r="D35" s="176" t="s">
        <v>1888</v>
      </c>
      <c r="E35" s="326"/>
      <c r="F35" s="324"/>
      <c r="G35" s="174" t="s">
        <v>1887</v>
      </c>
      <c r="H35" s="175"/>
      <c r="I35" s="176" t="s">
        <v>1888</v>
      </c>
      <c r="J35" s="326"/>
    </row>
    <row r="36" spans="1:10" ht="15.75" thickBot="1">
      <c r="A36" s="324"/>
      <c r="B36" s="174" t="s">
        <v>1889</v>
      </c>
      <c r="C36" s="175"/>
      <c r="D36" s="176" t="s">
        <v>1890</v>
      </c>
      <c r="E36" s="326"/>
      <c r="F36" s="324"/>
      <c r="G36" s="174" t="s">
        <v>1889</v>
      </c>
      <c r="H36" s="175"/>
      <c r="I36" s="176" t="s">
        <v>1890</v>
      </c>
      <c r="J36" s="326"/>
    </row>
    <row r="37" spans="1:10" ht="15.75" thickBot="1">
      <c r="A37" s="325"/>
      <c r="B37" s="174" t="s">
        <v>1826</v>
      </c>
      <c r="C37" s="175">
        <v>18283</v>
      </c>
      <c r="D37" s="176" t="s">
        <v>1827</v>
      </c>
      <c r="E37" s="327"/>
      <c r="F37" s="325"/>
      <c r="G37" s="174" t="s">
        <v>1826</v>
      </c>
      <c r="H37" s="175">
        <v>25946</v>
      </c>
      <c r="I37" s="176" t="s">
        <v>1827</v>
      </c>
      <c r="J37" s="327"/>
    </row>
    <row r="38" spans="1:10" ht="17.25" customHeight="1">
      <c r="A38" s="328" t="s">
        <v>19</v>
      </c>
      <c r="B38" s="328"/>
      <c r="C38" s="328"/>
      <c r="D38" s="328"/>
      <c r="E38" s="328"/>
      <c r="F38" s="329" t="s">
        <v>106</v>
      </c>
      <c r="G38" s="329"/>
      <c r="H38" s="329"/>
      <c r="I38" s="329"/>
      <c r="J38" s="329"/>
    </row>
    <row r="39" spans="1:10" ht="17.25" customHeight="1">
      <c r="A39" s="321" t="s">
        <v>2029</v>
      </c>
      <c r="B39" s="321"/>
      <c r="C39" s="322" t="s">
        <v>2030</v>
      </c>
      <c r="D39" s="322"/>
      <c r="E39" s="322"/>
      <c r="F39" s="321" t="s">
        <v>2029</v>
      </c>
      <c r="G39" s="321"/>
      <c r="H39" s="322" t="s">
        <v>2030</v>
      </c>
      <c r="I39" s="322"/>
      <c r="J39" s="322"/>
    </row>
    <row r="40" spans="1:10" ht="23.25">
      <c r="A40" s="323"/>
      <c r="B40" s="323"/>
      <c r="C40" s="173" t="s">
        <v>2027</v>
      </c>
      <c r="D40" s="323"/>
      <c r="E40" s="323"/>
      <c r="F40" s="323"/>
      <c r="G40" s="323"/>
      <c r="H40" s="173" t="s">
        <v>2027</v>
      </c>
      <c r="I40" s="323"/>
      <c r="J40" s="323"/>
    </row>
    <row r="41" spans="1:10">
      <c r="A41" s="323"/>
      <c r="B41" s="323"/>
      <c r="C41" s="173" t="s">
        <v>681</v>
      </c>
      <c r="D41" s="323"/>
      <c r="E41" s="323"/>
      <c r="F41" s="323"/>
      <c r="G41" s="323"/>
      <c r="H41" s="173" t="s">
        <v>681</v>
      </c>
      <c r="I41" s="323"/>
      <c r="J41" s="323"/>
    </row>
    <row r="42" spans="1:10" ht="15.75" thickBot="1">
      <c r="A42" s="174" t="s">
        <v>1825</v>
      </c>
      <c r="B42" s="174" t="s">
        <v>1826</v>
      </c>
      <c r="C42" s="175">
        <v>325365</v>
      </c>
      <c r="D42" s="176" t="s">
        <v>1827</v>
      </c>
      <c r="E42" s="176" t="s">
        <v>1828</v>
      </c>
      <c r="F42" s="174" t="s">
        <v>1825</v>
      </c>
      <c r="G42" s="174" t="s">
        <v>1826</v>
      </c>
      <c r="H42" s="175">
        <v>299810</v>
      </c>
      <c r="I42" s="176" t="s">
        <v>1827</v>
      </c>
      <c r="J42" s="176" t="s">
        <v>1828</v>
      </c>
    </row>
    <row r="43" spans="1:10" ht="17.25" customHeight="1">
      <c r="A43" s="328" t="s">
        <v>19</v>
      </c>
      <c r="B43" s="328"/>
      <c r="C43" s="328"/>
      <c r="D43" s="328"/>
      <c r="E43" s="328"/>
      <c r="F43" s="329" t="s">
        <v>106</v>
      </c>
      <c r="G43" s="329"/>
      <c r="H43" s="329"/>
      <c r="I43" s="329"/>
      <c r="J43" s="329"/>
    </row>
    <row r="44" spans="1:10" ht="17.25" customHeight="1">
      <c r="A44" s="321" t="s">
        <v>2029</v>
      </c>
      <c r="B44" s="321"/>
      <c r="C44" s="322" t="s">
        <v>2030</v>
      </c>
      <c r="D44" s="322"/>
      <c r="E44" s="322"/>
      <c r="F44" s="321" t="s">
        <v>2029</v>
      </c>
      <c r="G44" s="321"/>
      <c r="H44" s="322" t="s">
        <v>2030</v>
      </c>
      <c r="I44" s="322"/>
      <c r="J44" s="322"/>
    </row>
    <row r="45" spans="1:10" ht="23.25">
      <c r="A45" s="323"/>
      <c r="B45" s="323"/>
      <c r="C45" s="173" t="s">
        <v>2027</v>
      </c>
      <c r="D45" s="323"/>
      <c r="E45" s="323"/>
      <c r="F45" s="323"/>
      <c r="G45" s="323"/>
      <c r="H45" s="173" t="s">
        <v>2027</v>
      </c>
      <c r="I45" s="323"/>
      <c r="J45" s="323"/>
    </row>
    <row r="46" spans="1:10">
      <c r="A46" s="323"/>
      <c r="B46" s="323"/>
      <c r="C46" s="173" t="s">
        <v>681</v>
      </c>
      <c r="D46" s="323"/>
      <c r="E46" s="323"/>
      <c r="F46" s="323"/>
      <c r="G46" s="323"/>
      <c r="H46" s="173" t="s">
        <v>681</v>
      </c>
      <c r="I46" s="323"/>
      <c r="J46" s="323"/>
    </row>
    <row r="47" spans="1:10" ht="15.75" thickBot="1">
      <c r="A47" s="174" t="s">
        <v>1891</v>
      </c>
      <c r="B47" s="174" t="s">
        <v>1826</v>
      </c>
      <c r="C47" s="175">
        <v>343648</v>
      </c>
      <c r="D47" s="176" t="s">
        <v>1827</v>
      </c>
      <c r="E47" s="176" t="s">
        <v>1892</v>
      </c>
      <c r="F47" s="174" t="s">
        <v>1891</v>
      </c>
      <c r="G47" s="174" t="s">
        <v>1826</v>
      </c>
      <c r="H47" s="175">
        <v>325756</v>
      </c>
      <c r="I47" s="176" t="s">
        <v>1827</v>
      </c>
      <c r="J47" s="176" t="s">
        <v>1892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DA19C12C-D589-4BA5-831A-652F871DD68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9061F-505B-4D1B-A9AA-0A2BFBA33438}">
  <dimension ref="A1:D39"/>
  <sheetViews>
    <sheetView showGridLines="0" workbookViewId="0"/>
  </sheetViews>
  <sheetFormatPr defaultRowHeight="15"/>
  <cols>
    <col min="1" max="1" width="42.6640625" style="178" bestFit="1" customWidth="1" collapsed="1"/>
    <col min="2" max="3" width="33.33203125" style="178" customWidth="1" collapsed="1"/>
    <col min="4" max="4" width="42.6640625" style="178" bestFit="1" customWidth="1" collapsed="1"/>
    <col min="5" max="16384" width="9.33203125" style="178" collapsed="1"/>
  </cols>
  <sheetData>
    <row r="1" spans="1:4" ht="17.25">
      <c r="A1" s="177" t="s">
        <v>2031</v>
      </c>
    </row>
    <row r="3" spans="1:4" ht="17.25" customHeight="1">
      <c r="A3" s="330" t="s">
        <v>2032</v>
      </c>
      <c r="B3" s="330"/>
      <c r="C3" s="331" t="s">
        <v>2033</v>
      </c>
      <c r="D3" s="331"/>
    </row>
    <row r="4" spans="1:4">
      <c r="A4" s="179"/>
      <c r="B4" s="180" t="s">
        <v>19</v>
      </c>
      <c r="C4" s="180" t="s">
        <v>108</v>
      </c>
    </row>
    <row r="5" spans="1:4" ht="15.75" thickBot="1">
      <c r="A5" s="181" t="s">
        <v>2032</v>
      </c>
      <c r="B5" s="182"/>
      <c r="C5" s="182"/>
      <c r="D5" s="183" t="s">
        <v>2033</v>
      </c>
    </row>
    <row r="6" spans="1:4" ht="15.75" thickBot="1">
      <c r="A6" s="184" t="s">
        <v>2034</v>
      </c>
      <c r="B6" s="185"/>
      <c r="C6" s="185"/>
      <c r="D6" s="183" t="s">
        <v>2035</v>
      </c>
    </row>
    <row r="7" spans="1:4" ht="15.75" thickBot="1">
      <c r="A7" s="184" t="s">
        <v>2036</v>
      </c>
      <c r="B7" s="186"/>
      <c r="C7" s="186"/>
      <c r="D7" s="183" t="s">
        <v>2037</v>
      </c>
    </row>
    <row r="8" spans="1:4" ht="15.75" thickBot="1">
      <c r="A8" s="184" t="s">
        <v>2038</v>
      </c>
      <c r="B8" s="185"/>
      <c r="C8" s="185"/>
      <c r="D8" s="183" t="s">
        <v>2039</v>
      </c>
    </row>
    <row r="9" spans="1:4" ht="15.75" thickBot="1">
      <c r="A9" s="184" t="s">
        <v>2040</v>
      </c>
      <c r="B9" s="186"/>
      <c r="C9" s="186"/>
      <c r="D9" s="183" t="s">
        <v>2041</v>
      </c>
    </row>
    <row r="10" spans="1:4" ht="15.75" thickBot="1">
      <c r="A10" s="184" t="s">
        <v>2042</v>
      </c>
      <c r="B10" s="186"/>
      <c r="C10" s="186"/>
      <c r="D10" s="183" t="s">
        <v>2043</v>
      </c>
    </row>
    <row r="11" spans="1:4" ht="15.75" thickBot="1">
      <c r="A11" s="184" t="s">
        <v>2044</v>
      </c>
      <c r="B11" s="186"/>
      <c r="C11" s="186"/>
      <c r="D11" s="183" t="s">
        <v>2045</v>
      </c>
    </row>
    <row r="12" spans="1:4" ht="15.75" thickBot="1">
      <c r="A12" s="184" t="s">
        <v>2046</v>
      </c>
      <c r="B12" s="186">
        <v>1109783</v>
      </c>
      <c r="C12" s="186">
        <v>933051</v>
      </c>
      <c r="D12" s="183" t="s">
        <v>2047</v>
      </c>
    </row>
    <row r="13" spans="1:4" ht="15.75" thickBot="1">
      <c r="A13" s="184" t="s">
        <v>2048</v>
      </c>
      <c r="B13" s="186"/>
      <c r="C13" s="186"/>
      <c r="D13" s="183" t="s">
        <v>2049</v>
      </c>
    </row>
    <row r="14" spans="1:4" ht="15.75" thickBot="1">
      <c r="A14" s="184" t="s">
        <v>2050</v>
      </c>
      <c r="B14" s="186"/>
      <c r="C14" s="186"/>
      <c r="D14" s="183" t="s">
        <v>2051</v>
      </c>
    </row>
    <row r="15" spans="1:4" ht="15.75" thickBot="1">
      <c r="A15" s="184" t="s">
        <v>2052</v>
      </c>
      <c r="B15" s="186"/>
      <c r="C15" s="186"/>
      <c r="D15" s="183" t="s">
        <v>2053</v>
      </c>
    </row>
    <row r="16" spans="1:4" ht="26.25" thickBot="1">
      <c r="A16" s="184" t="s">
        <v>2054</v>
      </c>
      <c r="B16" s="186"/>
      <c r="C16" s="186"/>
      <c r="D16" s="183" t="s">
        <v>2055</v>
      </c>
    </row>
    <row r="17" spans="1:4" ht="15.75" thickBot="1">
      <c r="A17" s="184" t="s">
        <v>2056</v>
      </c>
      <c r="B17" s="186"/>
      <c r="C17" s="186"/>
      <c r="D17" s="183" t="s">
        <v>2057</v>
      </c>
    </row>
    <row r="18" spans="1:4" ht="15.75" thickBot="1">
      <c r="A18" s="184" t="s">
        <v>2058</v>
      </c>
      <c r="B18" s="186"/>
      <c r="C18" s="186"/>
      <c r="D18" s="183" t="s">
        <v>2059</v>
      </c>
    </row>
    <row r="19" spans="1:4" ht="15.75" thickBot="1">
      <c r="A19" s="184" t="s">
        <v>2060</v>
      </c>
      <c r="B19" s="186">
        <v>29983</v>
      </c>
      <c r="C19" s="186">
        <v>30001</v>
      </c>
      <c r="D19" s="183" t="s">
        <v>2061</v>
      </c>
    </row>
    <row r="20" spans="1:4" ht="15.75" thickBot="1">
      <c r="A20" s="184" t="s">
        <v>2062</v>
      </c>
      <c r="B20" s="186"/>
      <c r="C20" s="186"/>
      <c r="D20" s="183" t="s">
        <v>2063</v>
      </c>
    </row>
    <row r="21" spans="1:4" ht="15.75" thickBot="1">
      <c r="A21" s="184" t="s">
        <v>2064</v>
      </c>
      <c r="B21" s="186"/>
      <c r="C21" s="186"/>
      <c r="D21" s="183" t="s">
        <v>2065</v>
      </c>
    </row>
    <row r="22" spans="1:4" ht="15.75" thickBot="1">
      <c r="A22" s="184" t="s">
        <v>2066</v>
      </c>
      <c r="B22" s="186"/>
      <c r="C22" s="186"/>
      <c r="D22" s="183" t="s">
        <v>2067</v>
      </c>
    </row>
    <row r="23" spans="1:4" ht="15.75" thickBot="1">
      <c r="A23" s="184" t="s">
        <v>2068</v>
      </c>
      <c r="B23" s="186"/>
      <c r="C23" s="186"/>
      <c r="D23" s="183" t="s">
        <v>2069</v>
      </c>
    </row>
    <row r="24" spans="1:4" ht="15.75" thickBot="1">
      <c r="A24" s="184" t="s">
        <v>2070</v>
      </c>
      <c r="B24" s="186"/>
      <c r="C24" s="186"/>
      <c r="D24" s="183" t="s">
        <v>2071</v>
      </c>
    </row>
    <row r="25" spans="1:4" ht="15.75" thickBot="1">
      <c r="A25" s="184" t="s">
        <v>2072</v>
      </c>
      <c r="B25" s="186"/>
      <c r="C25" s="186"/>
      <c r="D25" s="183" t="s">
        <v>2073</v>
      </c>
    </row>
    <row r="26" spans="1:4" ht="15.75" thickBot="1">
      <c r="A26" s="184" t="s">
        <v>2074</v>
      </c>
      <c r="B26" s="186"/>
      <c r="C26" s="186"/>
      <c r="D26" s="183" t="s">
        <v>2075</v>
      </c>
    </row>
    <row r="27" spans="1:4" ht="15.75" thickBot="1">
      <c r="A27" s="184" t="s">
        <v>2076</v>
      </c>
      <c r="B27" s="186">
        <v>357582</v>
      </c>
      <c r="C27" s="186">
        <v>341107</v>
      </c>
      <c r="D27" s="183" t="s">
        <v>2077</v>
      </c>
    </row>
    <row r="28" spans="1:4" ht="15.75" thickBot="1">
      <c r="A28" s="184" t="s">
        <v>2078</v>
      </c>
      <c r="B28" s="186">
        <v>1497348</v>
      </c>
      <c r="C28" s="186">
        <v>1304159</v>
      </c>
      <c r="D28" s="183" t="s">
        <v>2079</v>
      </c>
    </row>
    <row r="29" spans="1:4" ht="15.75" thickBot="1">
      <c r="A29" s="184" t="s">
        <v>2080</v>
      </c>
      <c r="B29" s="185">
        <v>17258</v>
      </c>
      <c r="C29" s="185">
        <v>16141</v>
      </c>
      <c r="D29" s="183" t="s">
        <v>2081</v>
      </c>
    </row>
    <row r="30" spans="1:4" ht="15.75" thickBot="1">
      <c r="A30" s="184" t="s">
        <v>2082</v>
      </c>
      <c r="B30" s="185">
        <v>18995</v>
      </c>
      <c r="C30" s="185">
        <v>16770</v>
      </c>
      <c r="D30" s="183" t="s">
        <v>2083</v>
      </c>
    </row>
    <row r="31" spans="1:4" ht="15.75" thickBot="1">
      <c r="A31" s="184" t="s">
        <v>2084</v>
      </c>
      <c r="B31" s="186">
        <v>1495611</v>
      </c>
      <c r="C31" s="186">
        <v>1303530</v>
      </c>
      <c r="D31" s="183" t="s">
        <v>2085</v>
      </c>
    </row>
    <row r="32" spans="1:4" ht="15.75" thickBot="1">
      <c r="A32" s="184" t="s">
        <v>2086</v>
      </c>
      <c r="B32" s="185">
        <v>285133</v>
      </c>
      <c r="C32" s="185">
        <v>315517</v>
      </c>
      <c r="D32" s="183" t="s">
        <v>2087</v>
      </c>
    </row>
    <row r="33" spans="1:4" ht="15.75" thickBot="1">
      <c r="A33" s="184" t="s">
        <v>2088</v>
      </c>
      <c r="B33" s="186"/>
      <c r="C33" s="186"/>
      <c r="D33" s="183" t="s">
        <v>2089</v>
      </c>
    </row>
    <row r="34" spans="1:4" ht="15.75" thickBot="1">
      <c r="A34" s="184" t="s">
        <v>2090</v>
      </c>
      <c r="B34" s="185">
        <v>225205</v>
      </c>
      <c r="C34" s="185">
        <v>311379</v>
      </c>
      <c r="D34" s="183" t="s">
        <v>2091</v>
      </c>
    </row>
    <row r="35" spans="1:4" ht="15.75" thickBot="1">
      <c r="A35" s="184" t="s">
        <v>2092</v>
      </c>
      <c r="B35" s="186"/>
      <c r="C35" s="186"/>
      <c r="D35" s="183" t="s">
        <v>2093</v>
      </c>
    </row>
    <row r="36" spans="1:4" ht="26.25" thickBot="1">
      <c r="A36" s="184" t="s">
        <v>2094</v>
      </c>
      <c r="B36" s="186"/>
      <c r="C36" s="186"/>
      <c r="D36" s="183" t="s">
        <v>2095</v>
      </c>
    </row>
    <row r="37" spans="1:4" ht="15.75" thickBot="1">
      <c r="A37" s="184" t="s">
        <v>2096</v>
      </c>
      <c r="B37" s="186"/>
      <c r="C37" s="186"/>
      <c r="D37" s="183" t="s">
        <v>2097</v>
      </c>
    </row>
    <row r="38" spans="1:4" ht="15.75" thickBot="1">
      <c r="A38" s="184" t="s">
        <v>2098</v>
      </c>
      <c r="B38" s="186"/>
      <c r="C38" s="186"/>
      <c r="D38" s="183" t="s">
        <v>2099</v>
      </c>
    </row>
    <row r="39" spans="1:4" ht="15.75" thickBot="1">
      <c r="A39" s="184" t="s">
        <v>966</v>
      </c>
      <c r="B39" s="186">
        <v>1555539</v>
      </c>
      <c r="C39" s="186">
        <v>1307668</v>
      </c>
      <c r="D39" s="183"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C8FD2BE-731D-42DD-96B6-EA56B3E31BC3}">
      <formula1>-9.99999999999999E+33</formula1>
      <formula2>9.99999999999999E+33</formula2>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4D783-E9A9-4D02-B2FB-DEF896FAA177}">
  <dimension ref="A1:C6"/>
  <sheetViews>
    <sheetView showGridLines="0" workbookViewId="0">
      <selection sqref="A1:C1"/>
    </sheetView>
  </sheetViews>
  <sheetFormatPr defaultRowHeight="15"/>
  <cols>
    <col min="1" max="1" width="42.6640625" style="187" bestFit="1" customWidth="1" collapsed="1"/>
    <col min="2" max="2" width="33.33203125" style="187" customWidth="1" collapsed="1"/>
    <col min="3" max="3" width="42" style="187" bestFit="1" customWidth="1" collapsed="1"/>
    <col min="4" max="16384" width="9.33203125" style="187" collapsed="1"/>
  </cols>
  <sheetData>
    <row r="1" spans="1:3" ht="34.5" customHeight="1">
      <c r="A1" s="332" t="s">
        <v>2100</v>
      </c>
      <c r="B1" s="333"/>
      <c r="C1" s="333"/>
    </row>
    <row r="3" spans="1:3" ht="17.25" customHeight="1">
      <c r="A3" s="188" t="s">
        <v>1737</v>
      </c>
      <c r="B3" s="334" t="s">
        <v>1738</v>
      </c>
      <c r="C3" s="334"/>
    </row>
    <row r="4" spans="1:3">
      <c r="A4" s="189"/>
      <c r="B4" s="190" t="s">
        <v>104</v>
      </c>
    </row>
    <row r="5" spans="1:3" ht="15.75" thickBot="1">
      <c r="A5" s="191" t="s">
        <v>1737</v>
      </c>
      <c r="B5" s="192"/>
      <c r="C5" s="193" t="s">
        <v>1738</v>
      </c>
    </row>
    <row r="6" spans="1:3" ht="75" customHeight="1" thickBot="1">
      <c r="A6" s="194" t="s">
        <v>2101</v>
      </c>
      <c r="B6" s="195"/>
      <c r="C6" s="193" t="s">
        <v>2102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2059D78-5BCE-414D-9A8D-3D10B5466799}">
      <formula1>0</formula1>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110A4-73DF-42FE-BEB5-2D07E938D751}">
  <dimension ref="A1:L318"/>
  <sheetViews>
    <sheetView showGridLines="0" workbookViewId="0"/>
  </sheetViews>
  <sheetFormatPr defaultRowHeight="15"/>
  <cols>
    <col min="1" max="1" width="42.6640625" style="197" bestFit="1" customWidth="1" collapsed="1"/>
    <col min="2" max="2" width="19" style="197" customWidth="1" collapsed="1"/>
    <col min="3" max="4" width="38.33203125" style="197" bestFit="1" customWidth="1" collapsed="1"/>
    <col min="5" max="5" width="42.6640625" style="197" bestFit="1" customWidth="1" collapsed="1"/>
    <col min="6" max="6" width="15.6640625" style="197" bestFit="1" customWidth="1" collapsed="1"/>
    <col min="7" max="7" width="42.6640625" style="197" bestFit="1" customWidth="1" collapsed="1"/>
    <col min="8" max="8" width="19" style="197" bestFit="1" customWidth="1" collapsed="1"/>
    <col min="9" max="9" width="38.33203125" style="197" bestFit="1" customWidth="1" collapsed="1"/>
    <col min="10" max="10" width="25" style="197" bestFit="1" customWidth="1" collapsed="1"/>
    <col min="11" max="11" width="42.6640625" style="197" bestFit="1" customWidth="1" collapsed="1"/>
    <col min="12" max="12" width="15.6640625" style="197" bestFit="1" customWidth="1" collapsed="1"/>
    <col min="13" max="16384" width="9.33203125" style="197" collapsed="1"/>
  </cols>
  <sheetData>
    <row r="1" spans="1:12" ht="17.25">
      <c r="A1" s="196" t="s">
        <v>2103</v>
      </c>
    </row>
    <row r="3" spans="1:12" ht="17.25" customHeight="1">
      <c r="A3" s="337" t="s">
        <v>19</v>
      </c>
      <c r="B3" s="337"/>
      <c r="C3" s="337"/>
      <c r="D3" s="337"/>
      <c r="E3" s="337"/>
      <c r="F3" s="337"/>
      <c r="G3" s="338" t="s">
        <v>106</v>
      </c>
      <c r="H3" s="338"/>
      <c r="I3" s="338"/>
      <c r="J3" s="338"/>
      <c r="K3" s="338"/>
      <c r="L3" s="338"/>
    </row>
    <row r="4" spans="1:12" ht="17.25" customHeight="1">
      <c r="A4" s="337" t="s">
        <v>2104</v>
      </c>
      <c r="B4" s="337"/>
      <c r="C4" s="337"/>
      <c r="D4" s="338" t="s">
        <v>2105</v>
      </c>
      <c r="E4" s="338"/>
      <c r="F4" s="338"/>
      <c r="G4" s="337" t="s">
        <v>2104</v>
      </c>
      <c r="H4" s="337"/>
      <c r="I4" s="337"/>
      <c r="J4" s="338" t="s">
        <v>2105</v>
      </c>
      <c r="K4" s="338"/>
      <c r="L4" s="338"/>
    </row>
    <row r="5" spans="1:12">
      <c r="A5" s="339"/>
      <c r="B5" s="339"/>
      <c r="C5" s="340" t="s">
        <v>2106</v>
      </c>
      <c r="D5" s="340"/>
      <c r="E5" s="339"/>
      <c r="F5" s="339"/>
      <c r="G5" s="339"/>
      <c r="H5" s="339"/>
      <c r="I5" s="340" t="s">
        <v>2106</v>
      </c>
      <c r="J5" s="340"/>
      <c r="K5" s="339"/>
      <c r="L5" s="339"/>
    </row>
    <row r="6" spans="1:12" ht="23.25">
      <c r="A6" s="339"/>
      <c r="B6" s="339"/>
      <c r="C6" s="198" t="s">
        <v>2107</v>
      </c>
      <c r="D6" s="198" t="s">
        <v>2108</v>
      </c>
      <c r="E6" s="339"/>
      <c r="F6" s="339"/>
      <c r="G6" s="339"/>
      <c r="H6" s="339"/>
      <c r="I6" s="198" t="s">
        <v>2107</v>
      </c>
      <c r="J6" s="198" t="s">
        <v>2108</v>
      </c>
      <c r="K6" s="339"/>
      <c r="L6" s="339"/>
    </row>
    <row r="7" spans="1:12" ht="15.75" thickBot="1">
      <c r="A7" s="342" t="s">
        <v>2109</v>
      </c>
      <c r="B7" s="199" t="s">
        <v>1803</v>
      </c>
      <c r="C7" s="200"/>
      <c r="D7" s="200"/>
      <c r="E7" s="345" t="s">
        <v>2109</v>
      </c>
      <c r="F7" s="201" t="s">
        <v>1803</v>
      </c>
      <c r="G7" s="342" t="s">
        <v>2109</v>
      </c>
      <c r="H7" s="199" t="s">
        <v>1803</v>
      </c>
      <c r="I7" s="200"/>
      <c r="J7" s="200"/>
      <c r="K7" s="345" t="s">
        <v>2109</v>
      </c>
      <c r="L7" s="201" t="s">
        <v>1803</v>
      </c>
    </row>
    <row r="8" spans="1:12" ht="15.75" thickBot="1">
      <c r="A8" s="342"/>
      <c r="B8" s="199" t="s">
        <v>1805</v>
      </c>
      <c r="C8" s="200"/>
      <c r="D8" s="200"/>
      <c r="E8" s="345"/>
      <c r="F8" s="201" t="s">
        <v>1805</v>
      </c>
      <c r="G8" s="342"/>
      <c r="H8" s="199" t="s">
        <v>1805</v>
      </c>
      <c r="I8" s="200"/>
      <c r="J8" s="200"/>
      <c r="K8" s="345"/>
      <c r="L8" s="201" t="s">
        <v>1805</v>
      </c>
    </row>
    <row r="9" spans="1:12" ht="15.75" thickBot="1">
      <c r="A9" s="342"/>
      <c r="B9" s="199" t="s">
        <v>1806</v>
      </c>
      <c r="C9" s="200"/>
      <c r="D9" s="200"/>
      <c r="E9" s="345"/>
      <c r="F9" s="201" t="s">
        <v>1806</v>
      </c>
      <c r="G9" s="342"/>
      <c r="H9" s="199" t="s">
        <v>1806</v>
      </c>
      <c r="I9" s="200"/>
      <c r="J9" s="200"/>
      <c r="K9" s="345"/>
      <c r="L9" s="201" t="s">
        <v>1806</v>
      </c>
    </row>
    <row r="10" spans="1:12" ht="15.75" thickBot="1">
      <c r="A10" s="342"/>
      <c r="B10" s="199" t="s">
        <v>1807</v>
      </c>
      <c r="C10" s="200"/>
      <c r="D10" s="200"/>
      <c r="E10" s="345"/>
      <c r="F10" s="201" t="s">
        <v>1807</v>
      </c>
      <c r="G10" s="342"/>
      <c r="H10" s="199" t="s">
        <v>1807</v>
      </c>
      <c r="I10" s="200"/>
      <c r="J10" s="200"/>
      <c r="K10" s="345"/>
      <c r="L10" s="201" t="s">
        <v>1807</v>
      </c>
    </row>
    <row r="11" spans="1:12" ht="15.75" thickBot="1">
      <c r="A11" s="342"/>
      <c r="B11" s="199" t="s">
        <v>1808</v>
      </c>
      <c r="C11" s="200"/>
      <c r="D11" s="200"/>
      <c r="E11" s="345"/>
      <c r="F11" s="201" t="s">
        <v>1808</v>
      </c>
      <c r="G11" s="342"/>
      <c r="H11" s="199" t="s">
        <v>1808</v>
      </c>
      <c r="I11" s="200"/>
      <c r="J11" s="200"/>
      <c r="K11" s="345"/>
      <c r="L11" s="201" t="s">
        <v>1808</v>
      </c>
    </row>
    <row r="12" spans="1:12" ht="15.75" thickBot="1">
      <c r="A12" s="342"/>
      <c r="B12" s="199" t="s">
        <v>1809</v>
      </c>
      <c r="C12" s="200"/>
      <c r="D12" s="200"/>
      <c r="E12" s="345"/>
      <c r="F12" s="201" t="s">
        <v>1809</v>
      </c>
      <c r="G12" s="342"/>
      <c r="H12" s="199" t="s">
        <v>1809</v>
      </c>
      <c r="I12" s="200"/>
      <c r="J12" s="200"/>
      <c r="K12" s="345"/>
      <c r="L12" s="201" t="s">
        <v>1809</v>
      </c>
    </row>
    <row r="13" spans="1:12" ht="15.75" thickBot="1">
      <c r="A13" s="342"/>
      <c r="B13" s="199" t="s">
        <v>1810</v>
      </c>
      <c r="C13" s="200"/>
      <c r="D13" s="200"/>
      <c r="E13" s="345"/>
      <c r="F13" s="201" t="s">
        <v>1810</v>
      </c>
      <c r="G13" s="342"/>
      <c r="H13" s="199" t="s">
        <v>1810</v>
      </c>
      <c r="I13" s="200"/>
      <c r="J13" s="200"/>
      <c r="K13" s="345"/>
      <c r="L13" s="201" t="s">
        <v>1810</v>
      </c>
    </row>
    <row r="14" spans="1:12" ht="15.75" thickBot="1">
      <c r="A14" s="342"/>
      <c r="B14" s="199" t="s">
        <v>1811</v>
      </c>
      <c r="C14" s="200"/>
      <c r="D14" s="200"/>
      <c r="E14" s="345"/>
      <c r="F14" s="201" t="s">
        <v>1811</v>
      </c>
      <c r="G14" s="342"/>
      <c r="H14" s="199" t="s">
        <v>1811</v>
      </c>
      <c r="I14" s="200"/>
      <c r="J14" s="200"/>
      <c r="K14" s="345"/>
      <c r="L14" s="201" t="s">
        <v>1811</v>
      </c>
    </row>
    <row r="15" spans="1:12" ht="15.75" thickBot="1">
      <c r="A15" s="342"/>
      <c r="B15" s="199" t="s">
        <v>1812</v>
      </c>
      <c r="C15" s="200"/>
      <c r="D15" s="200"/>
      <c r="E15" s="345"/>
      <c r="F15" s="201" t="s">
        <v>1812</v>
      </c>
      <c r="G15" s="342"/>
      <c r="H15" s="199" t="s">
        <v>1812</v>
      </c>
      <c r="I15" s="200"/>
      <c r="J15" s="200"/>
      <c r="K15" s="345"/>
      <c r="L15" s="201" t="s">
        <v>1812</v>
      </c>
    </row>
    <row r="16" spans="1:12" ht="15.75" thickBot="1">
      <c r="A16" s="342"/>
      <c r="B16" s="199" t="s">
        <v>1813</v>
      </c>
      <c r="C16" s="200"/>
      <c r="D16" s="200"/>
      <c r="E16" s="345"/>
      <c r="F16" s="201" t="s">
        <v>1813</v>
      </c>
      <c r="G16" s="342"/>
      <c r="H16" s="199" t="s">
        <v>1813</v>
      </c>
      <c r="I16" s="200"/>
      <c r="J16" s="200"/>
      <c r="K16" s="345"/>
      <c r="L16" s="201" t="s">
        <v>1813</v>
      </c>
    </row>
    <row r="17" spans="1:12" ht="15.75" thickBot="1">
      <c r="A17" s="342"/>
      <c r="B17" s="199" t="s">
        <v>1814</v>
      </c>
      <c r="C17" s="200">
        <v>12673300</v>
      </c>
      <c r="D17" s="200">
        <v>208108</v>
      </c>
      <c r="E17" s="345"/>
      <c r="F17" s="201" t="s">
        <v>1814</v>
      </c>
      <c r="G17" s="342"/>
      <c r="H17" s="199" t="s">
        <v>1814</v>
      </c>
      <c r="I17" s="200">
        <v>14493000</v>
      </c>
      <c r="J17" s="200">
        <v>223424</v>
      </c>
      <c r="K17" s="345"/>
      <c r="L17" s="201" t="s">
        <v>1814</v>
      </c>
    </row>
    <row r="18" spans="1:12" ht="26.25" thickBot="1">
      <c r="A18" s="342"/>
      <c r="B18" s="199" t="s">
        <v>1815</v>
      </c>
      <c r="C18" s="200"/>
      <c r="D18" s="200"/>
      <c r="E18" s="345"/>
      <c r="F18" s="201" t="s">
        <v>1816</v>
      </c>
      <c r="G18" s="342"/>
      <c r="H18" s="199" t="s">
        <v>1815</v>
      </c>
      <c r="I18" s="200"/>
      <c r="J18" s="200"/>
      <c r="K18" s="345"/>
      <c r="L18" s="201" t="s">
        <v>1816</v>
      </c>
    </row>
    <row r="19" spans="1:12" ht="15.75" thickBot="1">
      <c r="A19" s="343"/>
      <c r="B19" s="199" t="s">
        <v>1817</v>
      </c>
      <c r="C19" s="200"/>
      <c r="D19" s="200">
        <v>208108</v>
      </c>
      <c r="E19" s="346"/>
      <c r="F19" s="201" t="s">
        <v>1818</v>
      </c>
      <c r="G19" s="343"/>
      <c r="H19" s="199" t="s">
        <v>1817</v>
      </c>
      <c r="I19" s="200"/>
      <c r="J19" s="200">
        <v>223424</v>
      </c>
      <c r="K19" s="346"/>
      <c r="L19" s="201" t="s">
        <v>1818</v>
      </c>
    </row>
    <row r="20" spans="1:12" ht="15.75" thickBot="1">
      <c r="A20" s="341" t="s">
        <v>2110</v>
      </c>
      <c r="B20" s="199" t="s">
        <v>1803</v>
      </c>
      <c r="C20" s="200"/>
      <c r="D20" s="200"/>
      <c r="E20" s="344" t="s">
        <v>2110</v>
      </c>
      <c r="F20" s="201" t="s">
        <v>1803</v>
      </c>
      <c r="G20" s="341" t="s">
        <v>2110</v>
      </c>
      <c r="H20" s="199" t="s">
        <v>1803</v>
      </c>
      <c r="I20" s="200"/>
      <c r="J20" s="200"/>
      <c r="K20" s="344" t="s">
        <v>2110</v>
      </c>
      <c r="L20" s="201" t="s">
        <v>1803</v>
      </c>
    </row>
    <row r="21" spans="1:12" ht="15.75" thickBot="1">
      <c r="A21" s="342"/>
      <c r="B21" s="199" t="s">
        <v>1805</v>
      </c>
      <c r="C21" s="200"/>
      <c r="D21" s="200"/>
      <c r="E21" s="345"/>
      <c r="F21" s="201" t="s">
        <v>1805</v>
      </c>
      <c r="G21" s="342"/>
      <c r="H21" s="199" t="s">
        <v>1805</v>
      </c>
      <c r="I21" s="200"/>
      <c r="J21" s="200"/>
      <c r="K21" s="345"/>
      <c r="L21" s="201" t="s">
        <v>1805</v>
      </c>
    </row>
    <row r="22" spans="1:12" ht="15.75" thickBot="1">
      <c r="A22" s="342"/>
      <c r="B22" s="199" t="s">
        <v>1806</v>
      </c>
      <c r="C22" s="200"/>
      <c r="D22" s="200"/>
      <c r="E22" s="345"/>
      <c r="F22" s="201" t="s">
        <v>1806</v>
      </c>
      <c r="G22" s="342"/>
      <c r="H22" s="199" t="s">
        <v>1806</v>
      </c>
      <c r="I22" s="200"/>
      <c r="J22" s="200"/>
      <c r="K22" s="345"/>
      <c r="L22" s="201" t="s">
        <v>1806</v>
      </c>
    </row>
    <row r="23" spans="1:12" ht="15.75" thickBot="1">
      <c r="A23" s="342"/>
      <c r="B23" s="199" t="s">
        <v>1807</v>
      </c>
      <c r="C23" s="200"/>
      <c r="D23" s="200"/>
      <c r="E23" s="345"/>
      <c r="F23" s="201" t="s">
        <v>1807</v>
      </c>
      <c r="G23" s="342"/>
      <c r="H23" s="199" t="s">
        <v>1807</v>
      </c>
      <c r="I23" s="200"/>
      <c r="J23" s="200"/>
      <c r="K23" s="345"/>
      <c r="L23" s="201" t="s">
        <v>1807</v>
      </c>
    </row>
    <row r="24" spans="1:12" ht="15.75" thickBot="1">
      <c r="A24" s="342"/>
      <c r="B24" s="199" t="s">
        <v>1808</v>
      </c>
      <c r="C24" s="200"/>
      <c r="D24" s="200"/>
      <c r="E24" s="345"/>
      <c r="F24" s="201" t="s">
        <v>1808</v>
      </c>
      <c r="G24" s="342"/>
      <c r="H24" s="199" t="s">
        <v>1808</v>
      </c>
      <c r="I24" s="200"/>
      <c r="J24" s="200"/>
      <c r="K24" s="345"/>
      <c r="L24" s="201" t="s">
        <v>1808</v>
      </c>
    </row>
    <row r="25" spans="1:12" ht="15.75" thickBot="1">
      <c r="A25" s="342"/>
      <c r="B25" s="199" t="s">
        <v>1809</v>
      </c>
      <c r="C25" s="200"/>
      <c r="D25" s="200"/>
      <c r="E25" s="345"/>
      <c r="F25" s="201" t="s">
        <v>1809</v>
      </c>
      <c r="G25" s="342"/>
      <c r="H25" s="199" t="s">
        <v>1809</v>
      </c>
      <c r="I25" s="200"/>
      <c r="J25" s="200"/>
      <c r="K25" s="345"/>
      <c r="L25" s="201" t="s">
        <v>1809</v>
      </c>
    </row>
    <row r="26" spans="1:12" ht="15.75" thickBot="1">
      <c r="A26" s="342"/>
      <c r="B26" s="199" t="s">
        <v>1810</v>
      </c>
      <c r="C26" s="200"/>
      <c r="D26" s="200"/>
      <c r="E26" s="345"/>
      <c r="F26" s="201" t="s">
        <v>1810</v>
      </c>
      <c r="G26" s="342"/>
      <c r="H26" s="199" t="s">
        <v>1810</v>
      </c>
      <c r="I26" s="200"/>
      <c r="J26" s="200"/>
      <c r="K26" s="345"/>
      <c r="L26" s="201" t="s">
        <v>1810</v>
      </c>
    </row>
    <row r="27" spans="1:12" ht="15.75" thickBot="1">
      <c r="A27" s="342"/>
      <c r="B27" s="199" t="s">
        <v>1811</v>
      </c>
      <c r="C27" s="200"/>
      <c r="D27" s="200"/>
      <c r="E27" s="345"/>
      <c r="F27" s="201" t="s">
        <v>1811</v>
      </c>
      <c r="G27" s="342"/>
      <c r="H27" s="199" t="s">
        <v>1811</v>
      </c>
      <c r="I27" s="200"/>
      <c r="J27" s="200"/>
      <c r="K27" s="345"/>
      <c r="L27" s="201" t="s">
        <v>1811</v>
      </c>
    </row>
    <row r="28" spans="1:12" ht="15.75" thickBot="1">
      <c r="A28" s="342"/>
      <c r="B28" s="199" t="s">
        <v>1812</v>
      </c>
      <c r="C28" s="200"/>
      <c r="D28" s="200"/>
      <c r="E28" s="345"/>
      <c r="F28" s="201" t="s">
        <v>1812</v>
      </c>
      <c r="G28" s="342"/>
      <c r="H28" s="199" t="s">
        <v>1812</v>
      </c>
      <c r="I28" s="200"/>
      <c r="J28" s="200"/>
      <c r="K28" s="345"/>
      <c r="L28" s="201" t="s">
        <v>1812</v>
      </c>
    </row>
    <row r="29" spans="1:12" ht="15.75" thickBot="1">
      <c r="A29" s="342"/>
      <c r="B29" s="199" t="s">
        <v>1813</v>
      </c>
      <c r="C29" s="200"/>
      <c r="D29" s="200"/>
      <c r="E29" s="345"/>
      <c r="F29" s="201" t="s">
        <v>1813</v>
      </c>
      <c r="G29" s="342"/>
      <c r="H29" s="199" t="s">
        <v>1813</v>
      </c>
      <c r="I29" s="200"/>
      <c r="J29" s="200"/>
      <c r="K29" s="345"/>
      <c r="L29" s="201" t="s">
        <v>1813</v>
      </c>
    </row>
    <row r="30" spans="1:12" ht="15.75" thickBot="1">
      <c r="A30" s="342"/>
      <c r="B30" s="199" t="s">
        <v>1814</v>
      </c>
      <c r="C30" s="200"/>
      <c r="D30" s="200"/>
      <c r="E30" s="345"/>
      <c r="F30" s="201" t="s">
        <v>1814</v>
      </c>
      <c r="G30" s="342"/>
      <c r="H30" s="199" t="s">
        <v>1814</v>
      </c>
      <c r="I30" s="200"/>
      <c r="J30" s="200"/>
      <c r="K30" s="345"/>
      <c r="L30" s="201" t="s">
        <v>1814</v>
      </c>
    </row>
    <row r="31" spans="1:12" ht="26.25" thickBot="1">
      <c r="A31" s="342"/>
      <c r="B31" s="199" t="s">
        <v>1815</v>
      </c>
      <c r="C31" s="200"/>
      <c r="D31" s="200"/>
      <c r="E31" s="345"/>
      <c r="F31" s="201" t="s">
        <v>1816</v>
      </c>
      <c r="G31" s="342"/>
      <c r="H31" s="199" t="s">
        <v>1815</v>
      </c>
      <c r="I31" s="200"/>
      <c r="J31" s="200"/>
      <c r="K31" s="345"/>
      <c r="L31" s="201" t="s">
        <v>1816</v>
      </c>
    </row>
    <row r="32" spans="1:12" ht="15.75" thickBot="1">
      <c r="A32" s="343"/>
      <c r="B32" s="199" t="s">
        <v>1817</v>
      </c>
      <c r="C32" s="200"/>
      <c r="D32" s="200"/>
      <c r="E32" s="346"/>
      <c r="F32" s="201" t="s">
        <v>1818</v>
      </c>
      <c r="G32" s="343"/>
      <c r="H32" s="199" t="s">
        <v>1817</v>
      </c>
      <c r="I32" s="200"/>
      <c r="J32" s="200"/>
      <c r="K32" s="346"/>
      <c r="L32" s="201" t="s">
        <v>1818</v>
      </c>
    </row>
    <row r="33" spans="1:12" ht="15.75" thickBot="1">
      <c r="A33" s="341" t="s">
        <v>2111</v>
      </c>
      <c r="B33" s="199" t="s">
        <v>1803</v>
      </c>
      <c r="C33" s="200"/>
      <c r="D33" s="200"/>
      <c r="E33" s="344" t="s">
        <v>2111</v>
      </c>
      <c r="F33" s="201" t="s">
        <v>1803</v>
      </c>
      <c r="G33" s="341" t="s">
        <v>2111</v>
      </c>
      <c r="H33" s="199" t="s">
        <v>1803</v>
      </c>
      <c r="I33" s="200"/>
      <c r="J33" s="200"/>
      <c r="K33" s="344" t="s">
        <v>2111</v>
      </c>
      <c r="L33" s="201" t="s">
        <v>1803</v>
      </c>
    </row>
    <row r="34" spans="1:12" ht="15.75" thickBot="1">
      <c r="A34" s="342"/>
      <c r="B34" s="199" t="s">
        <v>1805</v>
      </c>
      <c r="C34" s="200"/>
      <c r="D34" s="200"/>
      <c r="E34" s="345"/>
      <c r="F34" s="201" t="s">
        <v>1805</v>
      </c>
      <c r="G34" s="342"/>
      <c r="H34" s="199" t="s">
        <v>1805</v>
      </c>
      <c r="I34" s="200"/>
      <c r="J34" s="200"/>
      <c r="K34" s="345"/>
      <c r="L34" s="201" t="s">
        <v>1805</v>
      </c>
    </row>
    <row r="35" spans="1:12" ht="15.75" thickBot="1">
      <c r="A35" s="342"/>
      <c r="B35" s="199" t="s">
        <v>1806</v>
      </c>
      <c r="C35" s="200"/>
      <c r="D35" s="200"/>
      <c r="E35" s="345"/>
      <c r="F35" s="201" t="s">
        <v>1806</v>
      </c>
      <c r="G35" s="342"/>
      <c r="H35" s="199" t="s">
        <v>1806</v>
      </c>
      <c r="I35" s="200"/>
      <c r="J35" s="200"/>
      <c r="K35" s="345"/>
      <c r="L35" s="201" t="s">
        <v>1806</v>
      </c>
    </row>
    <row r="36" spans="1:12" ht="15.75" thickBot="1">
      <c r="A36" s="342"/>
      <c r="B36" s="199" t="s">
        <v>1807</v>
      </c>
      <c r="C36" s="200"/>
      <c r="D36" s="200"/>
      <c r="E36" s="345"/>
      <c r="F36" s="201" t="s">
        <v>1807</v>
      </c>
      <c r="G36" s="342"/>
      <c r="H36" s="199" t="s">
        <v>1807</v>
      </c>
      <c r="I36" s="200"/>
      <c r="J36" s="200"/>
      <c r="K36" s="345"/>
      <c r="L36" s="201" t="s">
        <v>1807</v>
      </c>
    </row>
    <row r="37" spans="1:12" ht="15.75" thickBot="1">
      <c r="A37" s="342"/>
      <c r="B37" s="199" t="s">
        <v>1808</v>
      </c>
      <c r="C37" s="200"/>
      <c r="D37" s="200"/>
      <c r="E37" s="345"/>
      <c r="F37" s="201" t="s">
        <v>1808</v>
      </c>
      <c r="G37" s="342"/>
      <c r="H37" s="199" t="s">
        <v>1808</v>
      </c>
      <c r="I37" s="200"/>
      <c r="J37" s="200"/>
      <c r="K37" s="345"/>
      <c r="L37" s="201" t="s">
        <v>1808</v>
      </c>
    </row>
    <row r="38" spans="1:12" ht="15.75" thickBot="1">
      <c r="A38" s="342"/>
      <c r="B38" s="199" t="s">
        <v>1809</v>
      </c>
      <c r="C38" s="200"/>
      <c r="D38" s="200"/>
      <c r="E38" s="345"/>
      <c r="F38" s="201" t="s">
        <v>1809</v>
      </c>
      <c r="G38" s="342"/>
      <c r="H38" s="199" t="s">
        <v>1809</v>
      </c>
      <c r="I38" s="200"/>
      <c r="J38" s="200"/>
      <c r="K38" s="345"/>
      <c r="L38" s="201" t="s">
        <v>1809</v>
      </c>
    </row>
    <row r="39" spans="1:12" ht="15.75" thickBot="1">
      <c r="A39" s="342"/>
      <c r="B39" s="199" t="s">
        <v>1810</v>
      </c>
      <c r="C39" s="200"/>
      <c r="D39" s="200"/>
      <c r="E39" s="345"/>
      <c r="F39" s="201" t="s">
        <v>1810</v>
      </c>
      <c r="G39" s="342"/>
      <c r="H39" s="199" t="s">
        <v>1810</v>
      </c>
      <c r="I39" s="200"/>
      <c r="J39" s="200"/>
      <c r="K39" s="345"/>
      <c r="L39" s="201" t="s">
        <v>1810</v>
      </c>
    </row>
    <row r="40" spans="1:12" ht="15.75" thickBot="1">
      <c r="A40" s="342"/>
      <c r="B40" s="199" t="s">
        <v>1811</v>
      </c>
      <c r="C40" s="200"/>
      <c r="D40" s="200"/>
      <c r="E40" s="345"/>
      <c r="F40" s="201" t="s">
        <v>1811</v>
      </c>
      <c r="G40" s="342"/>
      <c r="H40" s="199" t="s">
        <v>1811</v>
      </c>
      <c r="I40" s="200"/>
      <c r="J40" s="200"/>
      <c r="K40" s="345"/>
      <c r="L40" s="201" t="s">
        <v>1811</v>
      </c>
    </row>
    <row r="41" spans="1:12" ht="15.75" thickBot="1">
      <c r="A41" s="342"/>
      <c r="B41" s="199" t="s">
        <v>1812</v>
      </c>
      <c r="C41" s="200"/>
      <c r="D41" s="200"/>
      <c r="E41" s="345"/>
      <c r="F41" s="201" t="s">
        <v>1812</v>
      </c>
      <c r="G41" s="342"/>
      <c r="H41" s="199" t="s">
        <v>1812</v>
      </c>
      <c r="I41" s="200"/>
      <c r="J41" s="200"/>
      <c r="K41" s="345"/>
      <c r="L41" s="201" t="s">
        <v>1812</v>
      </c>
    </row>
    <row r="42" spans="1:12" ht="15.75" thickBot="1">
      <c r="A42" s="342"/>
      <c r="B42" s="199" t="s">
        <v>1813</v>
      </c>
      <c r="C42" s="200"/>
      <c r="D42" s="200"/>
      <c r="E42" s="345"/>
      <c r="F42" s="201" t="s">
        <v>1813</v>
      </c>
      <c r="G42" s="342"/>
      <c r="H42" s="199" t="s">
        <v>1813</v>
      </c>
      <c r="I42" s="200"/>
      <c r="J42" s="200"/>
      <c r="K42" s="345"/>
      <c r="L42" s="201" t="s">
        <v>1813</v>
      </c>
    </row>
    <row r="43" spans="1:12" ht="15.75" thickBot="1">
      <c r="A43" s="342"/>
      <c r="B43" s="199" t="s">
        <v>1814</v>
      </c>
      <c r="C43" s="200"/>
      <c r="D43" s="200"/>
      <c r="E43" s="345"/>
      <c r="F43" s="201" t="s">
        <v>1814</v>
      </c>
      <c r="G43" s="342"/>
      <c r="H43" s="199" t="s">
        <v>1814</v>
      </c>
      <c r="I43" s="200"/>
      <c r="J43" s="200"/>
      <c r="K43" s="345"/>
      <c r="L43" s="201" t="s">
        <v>1814</v>
      </c>
    </row>
    <row r="44" spans="1:12" ht="26.25" thickBot="1">
      <c r="A44" s="342"/>
      <c r="B44" s="199" t="s">
        <v>1815</v>
      </c>
      <c r="C44" s="200"/>
      <c r="D44" s="200"/>
      <c r="E44" s="345"/>
      <c r="F44" s="201" t="s">
        <v>1816</v>
      </c>
      <c r="G44" s="342"/>
      <c r="H44" s="199" t="s">
        <v>1815</v>
      </c>
      <c r="I44" s="200"/>
      <c r="J44" s="200"/>
      <c r="K44" s="345"/>
      <c r="L44" s="201" t="s">
        <v>1816</v>
      </c>
    </row>
    <row r="45" spans="1:12" ht="15.75" thickBot="1">
      <c r="A45" s="343"/>
      <c r="B45" s="199" t="s">
        <v>1817</v>
      </c>
      <c r="C45" s="200"/>
      <c r="D45" s="200"/>
      <c r="E45" s="346"/>
      <c r="F45" s="201" t="s">
        <v>1818</v>
      </c>
      <c r="G45" s="343"/>
      <c r="H45" s="199" t="s">
        <v>1817</v>
      </c>
      <c r="I45" s="200"/>
      <c r="J45" s="200"/>
      <c r="K45" s="346"/>
      <c r="L45" s="201" t="s">
        <v>1818</v>
      </c>
    </row>
    <row r="46" spans="1:12" ht="15.75" thickBot="1">
      <c r="A46" s="341" t="s">
        <v>2112</v>
      </c>
      <c r="B46" s="199" t="s">
        <v>1803</v>
      </c>
      <c r="C46" s="200"/>
      <c r="D46" s="200"/>
      <c r="E46" s="344" t="s">
        <v>2112</v>
      </c>
      <c r="F46" s="201" t="s">
        <v>1803</v>
      </c>
      <c r="G46" s="341" t="s">
        <v>2112</v>
      </c>
      <c r="H46" s="199" t="s">
        <v>1803</v>
      </c>
      <c r="I46" s="200"/>
      <c r="J46" s="200"/>
      <c r="K46" s="344" t="s">
        <v>2112</v>
      </c>
      <c r="L46" s="201" t="s">
        <v>1803</v>
      </c>
    </row>
    <row r="47" spans="1:12" ht="15.75" thickBot="1">
      <c r="A47" s="342"/>
      <c r="B47" s="199" t="s">
        <v>1805</v>
      </c>
      <c r="C47" s="200"/>
      <c r="D47" s="200"/>
      <c r="E47" s="345"/>
      <c r="F47" s="201" t="s">
        <v>1805</v>
      </c>
      <c r="G47" s="342"/>
      <c r="H47" s="199" t="s">
        <v>1805</v>
      </c>
      <c r="I47" s="200"/>
      <c r="J47" s="200"/>
      <c r="K47" s="345"/>
      <c r="L47" s="201" t="s">
        <v>1805</v>
      </c>
    </row>
    <row r="48" spans="1:12" ht="15.75" thickBot="1">
      <c r="A48" s="342"/>
      <c r="B48" s="199" t="s">
        <v>1806</v>
      </c>
      <c r="C48" s="200"/>
      <c r="D48" s="200"/>
      <c r="E48" s="345"/>
      <c r="F48" s="201" t="s">
        <v>1806</v>
      </c>
      <c r="G48" s="342"/>
      <c r="H48" s="199" t="s">
        <v>1806</v>
      </c>
      <c r="I48" s="200"/>
      <c r="J48" s="200"/>
      <c r="K48" s="345"/>
      <c r="L48" s="201" t="s">
        <v>1806</v>
      </c>
    </row>
    <row r="49" spans="1:12" ht="15.75" thickBot="1">
      <c r="A49" s="342"/>
      <c r="B49" s="199" t="s">
        <v>1807</v>
      </c>
      <c r="C49" s="200"/>
      <c r="D49" s="200"/>
      <c r="E49" s="345"/>
      <c r="F49" s="201" t="s">
        <v>1807</v>
      </c>
      <c r="G49" s="342"/>
      <c r="H49" s="199" t="s">
        <v>1807</v>
      </c>
      <c r="I49" s="200"/>
      <c r="J49" s="200"/>
      <c r="K49" s="345"/>
      <c r="L49" s="201" t="s">
        <v>1807</v>
      </c>
    </row>
    <row r="50" spans="1:12" ht="15.75" thickBot="1">
      <c r="A50" s="342"/>
      <c r="B50" s="199" t="s">
        <v>1808</v>
      </c>
      <c r="C50" s="200"/>
      <c r="D50" s="200"/>
      <c r="E50" s="345"/>
      <c r="F50" s="201" t="s">
        <v>1808</v>
      </c>
      <c r="G50" s="342"/>
      <c r="H50" s="199" t="s">
        <v>1808</v>
      </c>
      <c r="I50" s="200"/>
      <c r="J50" s="200"/>
      <c r="K50" s="345"/>
      <c r="L50" s="201" t="s">
        <v>1808</v>
      </c>
    </row>
    <row r="51" spans="1:12" ht="15.75" thickBot="1">
      <c r="A51" s="342"/>
      <c r="B51" s="199" t="s">
        <v>1809</v>
      </c>
      <c r="C51" s="200"/>
      <c r="D51" s="200"/>
      <c r="E51" s="345"/>
      <c r="F51" s="201" t="s">
        <v>1809</v>
      </c>
      <c r="G51" s="342"/>
      <c r="H51" s="199" t="s">
        <v>1809</v>
      </c>
      <c r="I51" s="200"/>
      <c r="J51" s="200"/>
      <c r="K51" s="345"/>
      <c r="L51" s="201" t="s">
        <v>1809</v>
      </c>
    </row>
    <row r="52" spans="1:12" ht="15.75" thickBot="1">
      <c r="A52" s="342"/>
      <c r="B52" s="199" t="s">
        <v>1810</v>
      </c>
      <c r="C52" s="200"/>
      <c r="D52" s="200"/>
      <c r="E52" s="345"/>
      <c r="F52" s="201" t="s">
        <v>1810</v>
      </c>
      <c r="G52" s="342"/>
      <c r="H52" s="199" t="s">
        <v>1810</v>
      </c>
      <c r="I52" s="200"/>
      <c r="J52" s="200"/>
      <c r="K52" s="345"/>
      <c r="L52" s="201" t="s">
        <v>1810</v>
      </c>
    </row>
    <row r="53" spans="1:12" ht="15.75" thickBot="1">
      <c r="A53" s="342"/>
      <c r="B53" s="199" t="s">
        <v>1811</v>
      </c>
      <c r="C53" s="200"/>
      <c r="D53" s="200"/>
      <c r="E53" s="345"/>
      <c r="F53" s="201" t="s">
        <v>1811</v>
      </c>
      <c r="G53" s="342"/>
      <c r="H53" s="199" t="s">
        <v>1811</v>
      </c>
      <c r="I53" s="200"/>
      <c r="J53" s="200"/>
      <c r="K53" s="345"/>
      <c r="L53" s="201" t="s">
        <v>1811</v>
      </c>
    </row>
    <row r="54" spans="1:12" ht="15.75" thickBot="1">
      <c r="A54" s="342"/>
      <c r="B54" s="199" t="s">
        <v>1812</v>
      </c>
      <c r="C54" s="200"/>
      <c r="D54" s="200"/>
      <c r="E54" s="345"/>
      <c r="F54" s="201" t="s">
        <v>1812</v>
      </c>
      <c r="G54" s="342"/>
      <c r="H54" s="199" t="s">
        <v>1812</v>
      </c>
      <c r="I54" s="200"/>
      <c r="J54" s="200"/>
      <c r="K54" s="345"/>
      <c r="L54" s="201" t="s">
        <v>1812</v>
      </c>
    </row>
    <row r="55" spans="1:12" ht="15.75" thickBot="1">
      <c r="A55" s="342"/>
      <c r="B55" s="199" t="s">
        <v>1813</v>
      </c>
      <c r="C55" s="200"/>
      <c r="D55" s="200"/>
      <c r="E55" s="345"/>
      <c r="F55" s="201" t="s">
        <v>1813</v>
      </c>
      <c r="G55" s="342"/>
      <c r="H55" s="199" t="s">
        <v>1813</v>
      </c>
      <c r="I55" s="200"/>
      <c r="J55" s="200"/>
      <c r="K55" s="345"/>
      <c r="L55" s="201" t="s">
        <v>1813</v>
      </c>
    </row>
    <row r="56" spans="1:12" ht="15.75" thickBot="1">
      <c r="A56" s="342"/>
      <c r="B56" s="199" t="s">
        <v>1814</v>
      </c>
      <c r="C56" s="200"/>
      <c r="D56" s="200"/>
      <c r="E56" s="345"/>
      <c r="F56" s="201" t="s">
        <v>1814</v>
      </c>
      <c r="G56" s="342"/>
      <c r="H56" s="199" t="s">
        <v>1814</v>
      </c>
      <c r="I56" s="200"/>
      <c r="J56" s="200"/>
      <c r="K56" s="345"/>
      <c r="L56" s="201" t="s">
        <v>1814</v>
      </c>
    </row>
    <row r="57" spans="1:12" ht="26.25" thickBot="1">
      <c r="A57" s="342"/>
      <c r="B57" s="199" t="s">
        <v>1815</v>
      </c>
      <c r="C57" s="200"/>
      <c r="D57" s="200"/>
      <c r="E57" s="345"/>
      <c r="F57" s="201" t="s">
        <v>1816</v>
      </c>
      <c r="G57" s="342"/>
      <c r="H57" s="199" t="s">
        <v>1815</v>
      </c>
      <c r="I57" s="200"/>
      <c r="J57" s="200"/>
      <c r="K57" s="345"/>
      <c r="L57" s="201" t="s">
        <v>1816</v>
      </c>
    </row>
    <row r="58" spans="1:12" ht="15.75" thickBot="1">
      <c r="A58" s="343"/>
      <c r="B58" s="199" t="s">
        <v>1817</v>
      </c>
      <c r="C58" s="200"/>
      <c r="D58" s="200"/>
      <c r="E58" s="346"/>
      <c r="F58" s="201" t="s">
        <v>1818</v>
      </c>
      <c r="G58" s="343"/>
      <c r="H58" s="199" t="s">
        <v>1817</v>
      </c>
      <c r="I58" s="200"/>
      <c r="J58" s="200"/>
      <c r="K58" s="346"/>
      <c r="L58" s="201" t="s">
        <v>1818</v>
      </c>
    </row>
    <row r="59" spans="1:12" ht="15.75" thickBot="1">
      <c r="A59" s="341" t="s">
        <v>2113</v>
      </c>
      <c r="B59" s="199" t="s">
        <v>1803</v>
      </c>
      <c r="C59" s="200"/>
      <c r="D59" s="200"/>
      <c r="E59" s="344" t="s">
        <v>2113</v>
      </c>
      <c r="F59" s="201" t="s">
        <v>1803</v>
      </c>
      <c r="G59" s="341" t="s">
        <v>2113</v>
      </c>
      <c r="H59" s="199" t="s">
        <v>1803</v>
      </c>
      <c r="I59" s="200"/>
      <c r="J59" s="200"/>
      <c r="K59" s="344" t="s">
        <v>2113</v>
      </c>
      <c r="L59" s="201" t="s">
        <v>1803</v>
      </c>
    </row>
    <row r="60" spans="1:12" ht="15.75" thickBot="1">
      <c r="A60" s="342"/>
      <c r="B60" s="199" t="s">
        <v>1805</v>
      </c>
      <c r="C60" s="200"/>
      <c r="D60" s="200"/>
      <c r="E60" s="345"/>
      <c r="F60" s="201" t="s">
        <v>1805</v>
      </c>
      <c r="G60" s="342"/>
      <c r="H60" s="199" t="s">
        <v>1805</v>
      </c>
      <c r="I60" s="200"/>
      <c r="J60" s="200"/>
      <c r="K60" s="345"/>
      <c r="L60" s="201" t="s">
        <v>1805</v>
      </c>
    </row>
    <row r="61" spans="1:12" ht="15.75" thickBot="1">
      <c r="A61" s="342"/>
      <c r="B61" s="199" t="s">
        <v>1806</v>
      </c>
      <c r="C61" s="200"/>
      <c r="D61" s="200"/>
      <c r="E61" s="345"/>
      <c r="F61" s="201" t="s">
        <v>1806</v>
      </c>
      <c r="G61" s="342"/>
      <c r="H61" s="199" t="s">
        <v>1806</v>
      </c>
      <c r="I61" s="200"/>
      <c r="J61" s="200"/>
      <c r="K61" s="345"/>
      <c r="L61" s="201" t="s">
        <v>1806</v>
      </c>
    </row>
    <row r="62" spans="1:12" ht="15.75" thickBot="1">
      <c r="A62" s="342"/>
      <c r="B62" s="199" t="s">
        <v>1807</v>
      </c>
      <c r="C62" s="200"/>
      <c r="D62" s="200"/>
      <c r="E62" s="345"/>
      <c r="F62" s="201" t="s">
        <v>1807</v>
      </c>
      <c r="G62" s="342"/>
      <c r="H62" s="199" t="s">
        <v>1807</v>
      </c>
      <c r="I62" s="200"/>
      <c r="J62" s="200"/>
      <c r="K62" s="345"/>
      <c r="L62" s="201" t="s">
        <v>1807</v>
      </c>
    </row>
    <row r="63" spans="1:12" ht="15.75" thickBot="1">
      <c r="A63" s="342"/>
      <c r="B63" s="199" t="s">
        <v>1808</v>
      </c>
      <c r="C63" s="200"/>
      <c r="D63" s="200"/>
      <c r="E63" s="345"/>
      <c r="F63" s="201" t="s">
        <v>1808</v>
      </c>
      <c r="G63" s="342"/>
      <c r="H63" s="199" t="s">
        <v>1808</v>
      </c>
      <c r="I63" s="200"/>
      <c r="J63" s="200"/>
      <c r="K63" s="345"/>
      <c r="L63" s="201" t="s">
        <v>1808</v>
      </c>
    </row>
    <row r="64" spans="1:12" ht="15.75" thickBot="1">
      <c r="A64" s="342"/>
      <c r="B64" s="199" t="s">
        <v>1809</v>
      </c>
      <c r="C64" s="200"/>
      <c r="D64" s="200"/>
      <c r="E64" s="345"/>
      <c r="F64" s="201" t="s">
        <v>1809</v>
      </c>
      <c r="G64" s="342"/>
      <c r="H64" s="199" t="s">
        <v>1809</v>
      </c>
      <c r="I64" s="200"/>
      <c r="J64" s="200"/>
      <c r="K64" s="345"/>
      <c r="L64" s="201" t="s">
        <v>1809</v>
      </c>
    </row>
    <row r="65" spans="1:12" ht="15.75" thickBot="1">
      <c r="A65" s="342"/>
      <c r="B65" s="199" t="s">
        <v>1810</v>
      </c>
      <c r="C65" s="200"/>
      <c r="D65" s="200"/>
      <c r="E65" s="345"/>
      <c r="F65" s="201" t="s">
        <v>1810</v>
      </c>
      <c r="G65" s="342"/>
      <c r="H65" s="199" t="s">
        <v>1810</v>
      </c>
      <c r="I65" s="200"/>
      <c r="J65" s="200"/>
      <c r="K65" s="345"/>
      <c r="L65" s="201" t="s">
        <v>1810</v>
      </c>
    </row>
    <row r="66" spans="1:12" ht="15.75" thickBot="1">
      <c r="A66" s="342"/>
      <c r="B66" s="199" t="s">
        <v>1811</v>
      </c>
      <c r="C66" s="200"/>
      <c r="D66" s="200"/>
      <c r="E66" s="345"/>
      <c r="F66" s="201" t="s">
        <v>1811</v>
      </c>
      <c r="G66" s="342"/>
      <c r="H66" s="199" t="s">
        <v>1811</v>
      </c>
      <c r="I66" s="200"/>
      <c r="J66" s="200"/>
      <c r="K66" s="345"/>
      <c r="L66" s="201" t="s">
        <v>1811</v>
      </c>
    </row>
    <row r="67" spans="1:12" ht="15.75" thickBot="1">
      <c r="A67" s="342"/>
      <c r="B67" s="199" t="s">
        <v>1812</v>
      </c>
      <c r="C67" s="200"/>
      <c r="D67" s="200"/>
      <c r="E67" s="345"/>
      <c r="F67" s="201" t="s">
        <v>1812</v>
      </c>
      <c r="G67" s="342"/>
      <c r="H67" s="199" t="s">
        <v>1812</v>
      </c>
      <c r="I67" s="200"/>
      <c r="J67" s="200"/>
      <c r="K67" s="345"/>
      <c r="L67" s="201" t="s">
        <v>1812</v>
      </c>
    </row>
    <row r="68" spans="1:12" ht="15.75" thickBot="1">
      <c r="A68" s="342"/>
      <c r="B68" s="199" t="s">
        <v>1813</v>
      </c>
      <c r="C68" s="200"/>
      <c r="D68" s="200"/>
      <c r="E68" s="345"/>
      <c r="F68" s="201" t="s">
        <v>1813</v>
      </c>
      <c r="G68" s="342"/>
      <c r="H68" s="199" t="s">
        <v>1813</v>
      </c>
      <c r="I68" s="200"/>
      <c r="J68" s="200"/>
      <c r="K68" s="345"/>
      <c r="L68" s="201" t="s">
        <v>1813</v>
      </c>
    </row>
    <row r="69" spans="1:12" ht="15.75" thickBot="1">
      <c r="A69" s="342"/>
      <c r="B69" s="199" t="s">
        <v>1814</v>
      </c>
      <c r="C69" s="200"/>
      <c r="D69" s="200"/>
      <c r="E69" s="345"/>
      <c r="F69" s="201" t="s">
        <v>1814</v>
      </c>
      <c r="G69" s="342"/>
      <c r="H69" s="199" t="s">
        <v>1814</v>
      </c>
      <c r="I69" s="200"/>
      <c r="J69" s="200"/>
      <c r="K69" s="345"/>
      <c r="L69" s="201" t="s">
        <v>1814</v>
      </c>
    </row>
    <row r="70" spans="1:12" ht="26.25" thickBot="1">
      <c r="A70" s="342"/>
      <c r="B70" s="199" t="s">
        <v>1815</v>
      </c>
      <c r="C70" s="200"/>
      <c r="D70" s="200"/>
      <c r="E70" s="345"/>
      <c r="F70" s="201" t="s">
        <v>1816</v>
      </c>
      <c r="G70" s="342"/>
      <c r="H70" s="199" t="s">
        <v>1815</v>
      </c>
      <c r="I70" s="200"/>
      <c r="J70" s="200"/>
      <c r="K70" s="345"/>
      <c r="L70" s="201" t="s">
        <v>1816</v>
      </c>
    </row>
    <row r="71" spans="1:12" ht="15.75" thickBot="1">
      <c r="A71" s="343"/>
      <c r="B71" s="199" t="s">
        <v>1817</v>
      </c>
      <c r="C71" s="200"/>
      <c r="D71" s="200"/>
      <c r="E71" s="346"/>
      <c r="F71" s="201" t="s">
        <v>1818</v>
      </c>
      <c r="G71" s="343"/>
      <c r="H71" s="199" t="s">
        <v>1817</v>
      </c>
      <c r="I71" s="200"/>
      <c r="J71" s="200"/>
      <c r="K71" s="346"/>
      <c r="L71" s="201" t="s">
        <v>1818</v>
      </c>
    </row>
    <row r="72" spans="1:12" ht="15.75" thickBot="1">
      <c r="A72" s="341" t="s">
        <v>2114</v>
      </c>
      <c r="B72" s="199" t="s">
        <v>1803</v>
      </c>
      <c r="C72" s="200"/>
      <c r="D72" s="200"/>
      <c r="E72" s="344" t="s">
        <v>2114</v>
      </c>
      <c r="F72" s="201" t="s">
        <v>1803</v>
      </c>
      <c r="G72" s="341" t="s">
        <v>2114</v>
      </c>
      <c r="H72" s="199" t="s">
        <v>1803</v>
      </c>
      <c r="I72" s="200"/>
      <c r="J72" s="200"/>
      <c r="K72" s="344" t="s">
        <v>2114</v>
      </c>
      <c r="L72" s="201" t="s">
        <v>1803</v>
      </c>
    </row>
    <row r="73" spans="1:12" ht="15.75" thickBot="1">
      <c r="A73" s="342"/>
      <c r="B73" s="199" t="s">
        <v>1805</v>
      </c>
      <c r="C73" s="200"/>
      <c r="D73" s="200"/>
      <c r="E73" s="345"/>
      <c r="F73" s="201" t="s">
        <v>1805</v>
      </c>
      <c r="G73" s="342"/>
      <c r="H73" s="199" t="s">
        <v>1805</v>
      </c>
      <c r="I73" s="200"/>
      <c r="J73" s="200"/>
      <c r="K73" s="345"/>
      <c r="L73" s="201" t="s">
        <v>1805</v>
      </c>
    </row>
    <row r="74" spans="1:12" ht="15.75" thickBot="1">
      <c r="A74" s="342"/>
      <c r="B74" s="199" t="s">
        <v>1806</v>
      </c>
      <c r="C74" s="200"/>
      <c r="D74" s="200"/>
      <c r="E74" s="345"/>
      <c r="F74" s="201" t="s">
        <v>1806</v>
      </c>
      <c r="G74" s="342"/>
      <c r="H74" s="199" t="s">
        <v>1806</v>
      </c>
      <c r="I74" s="200"/>
      <c r="J74" s="200"/>
      <c r="K74" s="345"/>
      <c r="L74" s="201" t="s">
        <v>1806</v>
      </c>
    </row>
    <row r="75" spans="1:12" ht="15.75" thickBot="1">
      <c r="A75" s="342"/>
      <c r="B75" s="199" t="s">
        <v>1807</v>
      </c>
      <c r="C75" s="200"/>
      <c r="D75" s="200"/>
      <c r="E75" s="345"/>
      <c r="F75" s="201" t="s">
        <v>1807</v>
      </c>
      <c r="G75" s="342"/>
      <c r="H75" s="199" t="s">
        <v>1807</v>
      </c>
      <c r="I75" s="200"/>
      <c r="J75" s="200"/>
      <c r="K75" s="345"/>
      <c r="L75" s="201" t="s">
        <v>1807</v>
      </c>
    </row>
    <row r="76" spans="1:12" ht="15.75" thickBot="1">
      <c r="A76" s="342"/>
      <c r="B76" s="199" t="s">
        <v>1808</v>
      </c>
      <c r="C76" s="200"/>
      <c r="D76" s="200"/>
      <c r="E76" s="345"/>
      <c r="F76" s="201" t="s">
        <v>1808</v>
      </c>
      <c r="G76" s="342"/>
      <c r="H76" s="199" t="s">
        <v>1808</v>
      </c>
      <c r="I76" s="200"/>
      <c r="J76" s="200"/>
      <c r="K76" s="345"/>
      <c r="L76" s="201" t="s">
        <v>1808</v>
      </c>
    </row>
    <row r="77" spans="1:12" ht="15.75" thickBot="1">
      <c r="A77" s="342"/>
      <c r="B77" s="199" t="s">
        <v>1809</v>
      </c>
      <c r="C77" s="200"/>
      <c r="D77" s="200"/>
      <c r="E77" s="345"/>
      <c r="F77" s="201" t="s">
        <v>1809</v>
      </c>
      <c r="G77" s="342"/>
      <c r="H77" s="199" t="s">
        <v>1809</v>
      </c>
      <c r="I77" s="200"/>
      <c r="J77" s="200"/>
      <c r="K77" s="345"/>
      <c r="L77" s="201" t="s">
        <v>1809</v>
      </c>
    </row>
    <row r="78" spans="1:12" ht="15.75" thickBot="1">
      <c r="A78" s="342"/>
      <c r="B78" s="199" t="s">
        <v>1810</v>
      </c>
      <c r="C78" s="200"/>
      <c r="D78" s="200"/>
      <c r="E78" s="345"/>
      <c r="F78" s="201" t="s">
        <v>1810</v>
      </c>
      <c r="G78" s="342"/>
      <c r="H78" s="199" t="s">
        <v>1810</v>
      </c>
      <c r="I78" s="200"/>
      <c r="J78" s="200"/>
      <c r="K78" s="345"/>
      <c r="L78" s="201" t="s">
        <v>1810</v>
      </c>
    </row>
    <row r="79" spans="1:12" ht="15.75" thickBot="1">
      <c r="A79" s="342"/>
      <c r="B79" s="199" t="s">
        <v>1811</v>
      </c>
      <c r="C79" s="200"/>
      <c r="D79" s="200"/>
      <c r="E79" s="345"/>
      <c r="F79" s="201" t="s">
        <v>1811</v>
      </c>
      <c r="G79" s="342"/>
      <c r="H79" s="199" t="s">
        <v>1811</v>
      </c>
      <c r="I79" s="200"/>
      <c r="J79" s="200"/>
      <c r="K79" s="345"/>
      <c r="L79" s="201" t="s">
        <v>1811</v>
      </c>
    </row>
    <row r="80" spans="1:12" ht="15.75" thickBot="1">
      <c r="A80" s="342"/>
      <c r="B80" s="199" t="s">
        <v>1812</v>
      </c>
      <c r="C80" s="200"/>
      <c r="D80" s="200"/>
      <c r="E80" s="345"/>
      <c r="F80" s="201" t="s">
        <v>1812</v>
      </c>
      <c r="G80" s="342"/>
      <c r="H80" s="199" t="s">
        <v>1812</v>
      </c>
      <c r="I80" s="200"/>
      <c r="J80" s="200"/>
      <c r="K80" s="345"/>
      <c r="L80" s="201" t="s">
        <v>1812</v>
      </c>
    </row>
    <row r="81" spans="1:12" ht="15.75" thickBot="1">
      <c r="A81" s="342"/>
      <c r="B81" s="199" t="s">
        <v>1813</v>
      </c>
      <c r="C81" s="200"/>
      <c r="D81" s="200"/>
      <c r="E81" s="345"/>
      <c r="F81" s="201" t="s">
        <v>1813</v>
      </c>
      <c r="G81" s="342"/>
      <c r="H81" s="199" t="s">
        <v>1813</v>
      </c>
      <c r="I81" s="200"/>
      <c r="J81" s="200"/>
      <c r="K81" s="345"/>
      <c r="L81" s="201" t="s">
        <v>1813</v>
      </c>
    </row>
    <row r="82" spans="1:12" ht="15.75" thickBot="1">
      <c r="A82" s="342"/>
      <c r="B82" s="199" t="s">
        <v>1814</v>
      </c>
      <c r="C82" s="200"/>
      <c r="D82" s="200"/>
      <c r="E82" s="345"/>
      <c r="F82" s="201" t="s">
        <v>1814</v>
      </c>
      <c r="G82" s="342"/>
      <c r="H82" s="199" t="s">
        <v>1814</v>
      </c>
      <c r="I82" s="200"/>
      <c r="J82" s="200"/>
      <c r="K82" s="345"/>
      <c r="L82" s="201" t="s">
        <v>1814</v>
      </c>
    </row>
    <row r="83" spans="1:12" ht="26.25" thickBot="1">
      <c r="A83" s="342"/>
      <c r="B83" s="199" t="s">
        <v>1815</v>
      </c>
      <c r="C83" s="200"/>
      <c r="D83" s="200"/>
      <c r="E83" s="345"/>
      <c r="F83" s="201" t="s">
        <v>1816</v>
      </c>
      <c r="G83" s="342"/>
      <c r="H83" s="199" t="s">
        <v>1815</v>
      </c>
      <c r="I83" s="200"/>
      <c r="J83" s="200"/>
      <c r="K83" s="345"/>
      <c r="L83" s="201" t="s">
        <v>1816</v>
      </c>
    </row>
    <row r="84" spans="1:12" ht="15.75" thickBot="1">
      <c r="A84" s="343"/>
      <c r="B84" s="199" t="s">
        <v>1817</v>
      </c>
      <c r="C84" s="200"/>
      <c r="D84" s="200"/>
      <c r="E84" s="346"/>
      <c r="F84" s="201" t="s">
        <v>1818</v>
      </c>
      <c r="G84" s="343"/>
      <c r="H84" s="199" t="s">
        <v>1817</v>
      </c>
      <c r="I84" s="200"/>
      <c r="J84" s="200"/>
      <c r="K84" s="346"/>
      <c r="L84" s="201" t="s">
        <v>1818</v>
      </c>
    </row>
    <row r="85" spans="1:12" ht="15.75" thickBot="1">
      <c r="A85" s="341" t="s">
        <v>2115</v>
      </c>
      <c r="B85" s="199" t="s">
        <v>1803</v>
      </c>
      <c r="C85" s="200"/>
      <c r="D85" s="200"/>
      <c r="E85" s="344" t="s">
        <v>2115</v>
      </c>
      <c r="F85" s="201" t="s">
        <v>1803</v>
      </c>
      <c r="G85" s="341" t="s">
        <v>2115</v>
      </c>
      <c r="H85" s="199" t="s">
        <v>1803</v>
      </c>
      <c r="I85" s="200"/>
      <c r="J85" s="200"/>
      <c r="K85" s="344" t="s">
        <v>2115</v>
      </c>
      <c r="L85" s="201" t="s">
        <v>1803</v>
      </c>
    </row>
    <row r="86" spans="1:12" ht="15.75" thickBot="1">
      <c r="A86" s="342"/>
      <c r="B86" s="199" t="s">
        <v>1805</v>
      </c>
      <c r="C86" s="200"/>
      <c r="D86" s="200"/>
      <c r="E86" s="345"/>
      <c r="F86" s="201" t="s">
        <v>1805</v>
      </c>
      <c r="G86" s="342"/>
      <c r="H86" s="199" t="s">
        <v>1805</v>
      </c>
      <c r="I86" s="200"/>
      <c r="J86" s="200"/>
      <c r="K86" s="345"/>
      <c r="L86" s="201" t="s">
        <v>1805</v>
      </c>
    </row>
    <row r="87" spans="1:12" ht="15.75" thickBot="1">
      <c r="A87" s="342"/>
      <c r="B87" s="199" t="s">
        <v>1806</v>
      </c>
      <c r="C87" s="200"/>
      <c r="D87" s="200"/>
      <c r="E87" s="345"/>
      <c r="F87" s="201" t="s">
        <v>1806</v>
      </c>
      <c r="G87" s="342"/>
      <c r="H87" s="199" t="s">
        <v>1806</v>
      </c>
      <c r="I87" s="200"/>
      <c r="J87" s="200"/>
      <c r="K87" s="345"/>
      <c r="L87" s="201" t="s">
        <v>1806</v>
      </c>
    </row>
    <row r="88" spans="1:12" ht="15.75" thickBot="1">
      <c r="A88" s="342"/>
      <c r="B88" s="199" t="s">
        <v>1807</v>
      </c>
      <c r="C88" s="200"/>
      <c r="D88" s="200"/>
      <c r="E88" s="345"/>
      <c r="F88" s="201" t="s">
        <v>1807</v>
      </c>
      <c r="G88" s="342"/>
      <c r="H88" s="199" t="s">
        <v>1807</v>
      </c>
      <c r="I88" s="200"/>
      <c r="J88" s="200"/>
      <c r="K88" s="345"/>
      <c r="L88" s="201" t="s">
        <v>1807</v>
      </c>
    </row>
    <row r="89" spans="1:12" ht="15.75" thickBot="1">
      <c r="A89" s="342"/>
      <c r="B89" s="199" t="s">
        <v>1808</v>
      </c>
      <c r="C89" s="200"/>
      <c r="D89" s="200"/>
      <c r="E89" s="345"/>
      <c r="F89" s="201" t="s">
        <v>1808</v>
      </c>
      <c r="G89" s="342"/>
      <c r="H89" s="199" t="s">
        <v>1808</v>
      </c>
      <c r="I89" s="200"/>
      <c r="J89" s="200"/>
      <c r="K89" s="345"/>
      <c r="L89" s="201" t="s">
        <v>1808</v>
      </c>
    </row>
    <row r="90" spans="1:12" ht="15.75" thickBot="1">
      <c r="A90" s="342"/>
      <c r="B90" s="199" t="s">
        <v>1809</v>
      </c>
      <c r="C90" s="200"/>
      <c r="D90" s="200"/>
      <c r="E90" s="345"/>
      <c r="F90" s="201" t="s">
        <v>1809</v>
      </c>
      <c r="G90" s="342"/>
      <c r="H90" s="199" t="s">
        <v>1809</v>
      </c>
      <c r="I90" s="200"/>
      <c r="J90" s="200"/>
      <c r="K90" s="345"/>
      <c r="L90" s="201" t="s">
        <v>1809</v>
      </c>
    </row>
    <row r="91" spans="1:12" ht="15.75" thickBot="1">
      <c r="A91" s="342"/>
      <c r="B91" s="199" t="s">
        <v>1810</v>
      </c>
      <c r="C91" s="200"/>
      <c r="D91" s="200"/>
      <c r="E91" s="345"/>
      <c r="F91" s="201" t="s">
        <v>1810</v>
      </c>
      <c r="G91" s="342"/>
      <c r="H91" s="199" t="s">
        <v>1810</v>
      </c>
      <c r="I91" s="200"/>
      <c r="J91" s="200"/>
      <c r="K91" s="345"/>
      <c r="L91" s="201" t="s">
        <v>1810</v>
      </c>
    </row>
    <row r="92" spans="1:12" ht="15.75" thickBot="1">
      <c r="A92" s="342"/>
      <c r="B92" s="199" t="s">
        <v>1811</v>
      </c>
      <c r="C92" s="200"/>
      <c r="D92" s="200"/>
      <c r="E92" s="345"/>
      <c r="F92" s="201" t="s">
        <v>1811</v>
      </c>
      <c r="G92" s="342"/>
      <c r="H92" s="199" t="s">
        <v>1811</v>
      </c>
      <c r="I92" s="200"/>
      <c r="J92" s="200"/>
      <c r="K92" s="345"/>
      <c r="L92" s="201" t="s">
        <v>1811</v>
      </c>
    </row>
    <row r="93" spans="1:12" ht="15.75" thickBot="1">
      <c r="A93" s="342"/>
      <c r="B93" s="199" t="s">
        <v>1812</v>
      </c>
      <c r="C93" s="200"/>
      <c r="D93" s="200"/>
      <c r="E93" s="345"/>
      <c r="F93" s="201" t="s">
        <v>1812</v>
      </c>
      <c r="G93" s="342"/>
      <c r="H93" s="199" t="s">
        <v>1812</v>
      </c>
      <c r="I93" s="200"/>
      <c r="J93" s="200"/>
      <c r="K93" s="345"/>
      <c r="L93" s="201" t="s">
        <v>1812</v>
      </c>
    </row>
    <row r="94" spans="1:12" ht="15.75" thickBot="1">
      <c r="A94" s="342"/>
      <c r="B94" s="199" t="s">
        <v>1813</v>
      </c>
      <c r="C94" s="200"/>
      <c r="D94" s="200"/>
      <c r="E94" s="345"/>
      <c r="F94" s="201" t="s">
        <v>1813</v>
      </c>
      <c r="G94" s="342"/>
      <c r="H94" s="199" t="s">
        <v>1813</v>
      </c>
      <c r="I94" s="200"/>
      <c r="J94" s="200"/>
      <c r="K94" s="345"/>
      <c r="L94" s="201" t="s">
        <v>1813</v>
      </c>
    </row>
    <row r="95" spans="1:12" ht="15.75" thickBot="1">
      <c r="A95" s="342"/>
      <c r="B95" s="199" t="s">
        <v>1814</v>
      </c>
      <c r="C95" s="200"/>
      <c r="D95" s="200"/>
      <c r="E95" s="345"/>
      <c r="F95" s="201" t="s">
        <v>1814</v>
      </c>
      <c r="G95" s="342"/>
      <c r="H95" s="199" t="s">
        <v>1814</v>
      </c>
      <c r="I95" s="200"/>
      <c r="J95" s="200"/>
      <c r="K95" s="345"/>
      <c r="L95" s="201" t="s">
        <v>1814</v>
      </c>
    </row>
    <row r="96" spans="1:12" ht="26.25" thickBot="1">
      <c r="A96" s="342"/>
      <c r="B96" s="199" t="s">
        <v>1815</v>
      </c>
      <c r="C96" s="200"/>
      <c r="D96" s="200"/>
      <c r="E96" s="345"/>
      <c r="F96" s="201" t="s">
        <v>1816</v>
      </c>
      <c r="G96" s="342"/>
      <c r="H96" s="199" t="s">
        <v>1815</v>
      </c>
      <c r="I96" s="200"/>
      <c r="J96" s="200"/>
      <c r="K96" s="345"/>
      <c r="L96" s="201" t="s">
        <v>1816</v>
      </c>
    </row>
    <row r="97" spans="1:12" ht="15.75" thickBot="1">
      <c r="A97" s="343"/>
      <c r="B97" s="199" t="s">
        <v>1817</v>
      </c>
      <c r="C97" s="200"/>
      <c r="D97" s="200"/>
      <c r="E97" s="346"/>
      <c r="F97" s="201" t="s">
        <v>1818</v>
      </c>
      <c r="G97" s="343"/>
      <c r="H97" s="199" t="s">
        <v>1817</v>
      </c>
      <c r="I97" s="200"/>
      <c r="J97" s="200"/>
      <c r="K97" s="346"/>
      <c r="L97" s="201" t="s">
        <v>1818</v>
      </c>
    </row>
    <row r="98" spans="1:12" ht="15.75" thickBot="1">
      <c r="A98" s="341" t="s">
        <v>2116</v>
      </c>
      <c r="B98" s="199" t="s">
        <v>1803</v>
      </c>
      <c r="C98" s="200"/>
      <c r="D98" s="200"/>
      <c r="E98" s="344" t="s">
        <v>2116</v>
      </c>
      <c r="F98" s="201" t="s">
        <v>1803</v>
      </c>
      <c r="G98" s="341" t="s">
        <v>2116</v>
      </c>
      <c r="H98" s="199" t="s">
        <v>1803</v>
      </c>
      <c r="I98" s="200"/>
      <c r="J98" s="200"/>
      <c r="K98" s="344" t="s">
        <v>2116</v>
      </c>
      <c r="L98" s="201" t="s">
        <v>1803</v>
      </c>
    </row>
    <row r="99" spans="1:12" ht="15.75" thickBot="1">
      <c r="A99" s="342"/>
      <c r="B99" s="199" t="s">
        <v>1805</v>
      </c>
      <c r="C99" s="200"/>
      <c r="D99" s="200"/>
      <c r="E99" s="345"/>
      <c r="F99" s="201" t="s">
        <v>1805</v>
      </c>
      <c r="G99" s="342"/>
      <c r="H99" s="199" t="s">
        <v>1805</v>
      </c>
      <c r="I99" s="200"/>
      <c r="J99" s="200"/>
      <c r="K99" s="345"/>
      <c r="L99" s="201" t="s">
        <v>1805</v>
      </c>
    </row>
    <row r="100" spans="1:12" ht="15.75" thickBot="1">
      <c r="A100" s="342"/>
      <c r="B100" s="199" t="s">
        <v>1806</v>
      </c>
      <c r="C100" s="200"/>
      <c r="D100" s="200"/>
      <c r="E100" s="345"/>
      <c r="F100" s="201" t="s">
        <v>1806</v>
      </c>
      <c r="G100" s="342"/>
      <c r="H100" s="199" t="s">
        <v>1806</v>
      </c>
      <c r="I100" s="200"/>
      <c r="J100" s="200"/>
      <c r="K100" s="345"/>
      <c r="L100" s="201" t="s">
        <v>1806</v>
      </c>
    </row>
    <row r="101" spans="1:12" ht="15.75" thickBot="1">
      <c r="A101" s="342"/>
      <c r="B101" s="199" t="s">
        <v>1807</v>
      </c>
      <c r="C101" s="200"/>
      <c r="D101" s="200"/>
      <c r="E101" s="345"/>
      <c r="F101" s="201" t="s">
        <v>1807</v>
      </c>
      <c r="G101" s="342"/>
      <c r="H101" s="199" t="s">
        <v>1807</v>
      </c>
      <c r="I101" s="200"/>
      <c r="J101" s="200"/>
      <c r="K101" s="345"/>
      <c r="L101" s="201" t="s">
        <v>1807</v>
      </c>
    </row>
    <row r="102" spans="1:12" ht="15.75" thickBot="1">
      <c r="A102" s="342"/>
      <c r="B102" s="199" t="s">
        <v>1808</v>
      </c>
      <c r="C102" s="200"/>
      <c r="D102" s="200"/>
      <c r="E102" s="345"/>
      <c r="F102" s="201" t="s">
        <v>1808</v>
      </c>
      <c r="G102" s="342"/>
      <c r="H102" s="199" t="s">
        <v>1808</v>
      </c>
      <c r="I102" s="200"/>
      <c r="J102" s="200"/>
      <c r="K102" s="345"/>
      <c r="L102" s="201" t="s">
        <v>1808</v>
      </c>
    </row>
    <row r="103" spans="1:12" ht="15.75" thickBot="1">
      <c r="A103" s="342"/>
      <c r="B103" s="199" t="s">
        <v>1809</v>
      </c>
      <c r="C103" s="200"/>
      <c r="D103" s="200"/>
      <c r="E103" s="345"/>
      <c r="F103" s="201" t="s">
        <v>1809</v>
      </c>
      <c r="G103" s="342"/>
      <c r="H103" s="199" t="s">
        <v>1809</v>
      </c>
      <c r="I103" s="200"/>
      <c r="J103" s="200"/>
      <c r="K103" s="345"/>
      <c r="L103" s="201" t="s">
        <v>1809</v>
      </c>
    </row>
    <row r="104" spans="1:12" ht="15.75" thickBot="1">
      <c r="A104" s="342"/>
      <c r="B104" s="199" t="s">
        <v>1810</v>
      </c>
      <c r="C104" s="200"/>
      <c r="D104" s="200"/>
      <c r="E104" s="345"/>
      <c r="F104" s="201" t="s">
        <v>1810</v>
      </c>
      <c r="G104" s="342"/>
      <c r="H104" s="199" t="s">
        <v>1810</v>
      </c>
      <c r="I104" s="200"/>
      <c r="J104" s="200"/>
      <c r="K104" s="345"/>
      <c r="L104" s="201" t="s">
        <v>1810</v>
      </c>
    </row>
    <row r="105" spans="1:12" ht="15.75" thickBot="1">
      <c r="A105" s="342"/>
      <c r="B105" s="199" t="s">
        <v>1811</v>
      </c>
      <c r="C105" s="200"/>
      <c r="D105" s="200"/>
      <c r="E105" s="345"/>
      <c r="F105" s="201" t="s">
        <v>1811</v>
      </c>
      <c r="G105" s="342"/>
      <c r="H105" s="199" t="s">
        <v>1811</v>
      </c>
      <c r="I105" s="200"/>
      <c r="J105" s="200"/>
      <c r="K105" s="345"/>
      <c r="L105" s="201" t="s">
        <v>1811</v>
      </c>
    </row>
    <row r="106" spans="1:12" ht="15.75" thickBot="1">
      <c r="A106" s="342"/>
      <c r="B106" s="199" t="s">
        <v>1812</v>
      </c>
      <c r="C106" s="200"/>
      <c r="D106" s="200"/>
      <c r="E106" s="345"/>
      <c r="F106" s="201" t="s">
        <v>1812</v>
      </c>
      <c r="G106" s="342"/>
      <c r="H106" s="199" t="s">
        <v>1812</v>
      </c>
      <c r="I106" s="200"/>
      <c r="J106" s="200"/>
      <c r="K106" s="345"/>
      <c r="L106" s="201" t="s">
        <v>1812</v>
      </c>
    </row>
    <row r="107" spans="1:12" ht="15.75" thickBot="1">
      <c r="A107" s="342"/>
      <c r="B107" s="199" t="s">
        <v>1813</v>
      </c>
      <c r="C107" s="200"/>
      <c r="D107" s="200"/>
      <c r="E107" s="345"/>
      <c r="F107" s="201" t="s">
        <v>1813</v>
      </c>
      <c r="G107" s="342"/>
      <c r="H107" s="199" t="s">
        <v>1813</v>
      </c>
      <c r="I107" s="200"/>
      <c r="J107" s="200"/>
      <c r="K107" s="345"/>
      <c r="L107" s="201" t="s">
        <v>1813</v>
      </c>
    </row>
    <row r="108" spans="1:12" ht="15.75" thickBot="1">
      <c r="A108" s="342"/>
      <c r="B108" s="199" t="s">
        <v>1814</v>
      </c>
      <c r="C108" s="200"/>
      <c r="D108" s="200"/>
      <c r="E108" s="345"/>
      <c r="F108" s="201" t="s">
        <v>1814</v>
      </c>
      <c r="G108" s="342"/>
      <c r="H108" s="199" t="s">
        <v>1814</v>
      </c>
      <c r="I108" s="200"/>
      <c r="J108" s="200"/>
      <c r="K108" s="345"/>
      <c r="L108" s="201" t="s">
        <v>1814</v>
      </c>
    </row>
    <row r="109" spans="1:12" ht="26.25" thickBot="1">
      <c r="A109" s="342"/>
      <c r="B109" s="199" t="s">
        <v>1815</v>
      </c>
      <c r="C109" s="200"/>
      <c r="D109" s="200"/>
      <c r="E109" s="345"/>
      <c r="F109" s="201" t="s">
        <v>1816</v>
      </c>
      <c r="G109" s="342"/>
      <c r="H109" s="199" t="s">
        <v>1815</v>
      </c>
      <c r="I109" s="200"/>
      <c r="J109" s="200"/>
      <c r="K109" s="345"/>
      <c r="L109" s="201" t="s">
        <v>1816</v>
      </c>
    </row>
    <row r="110" spans="1:12" ht="15.75" thickBot="1">
      <c r="A110" s="343"/>
      <c r="B110" s="199" t="s">
        <v>1817</v>
      </c>
      <c r="C110" s="200"/>
      <c r="D110" s="200"/>
      <c r="E110" s="346"/>
      <c r="F110" s="201" t="s">
        <v>1818</v>
      </c>
      <c r="G110" s="343"/>
      <c r="H110" s="199" t="s">
        <v>1817</v>
      </c>
      <c r="I110" s="200"/>
      <c r="J110" s="200"/>
      <c r="K110" s="346"/>
      <c r="L110" s="201" t="s">
        <v>1818</v>
      </c>
    </row>
    <row r="111" spans="1:12" ht="15.75" thickBot="1">
      <c r="A111" s="341" t="s">
        <v>2117</v>
      </c>
      <c r="B111" s="199" t="s">
        <v>1803</v>
      </c>
      <c r="C111" s="200"/>
      <c r="D111" s="200"/>
      <c r="E111" s="344" t="s">
        <v>2117</v>
      </c>
      <c r="F111" s="201" t="s">
        <v>1803</v>
      </c>
      <c r="G111" s="341" t="s">
        <v>2117</v>
      </c>
      <c r="H111" s="199" t="s">
        <v>1803</v>
      </c>
      <c r="I111" s="200"/>
      <c r="J111" s="200"/>
      <c r="K111" s="344" t="s">
        <v>2117</v>
      </c>
      <c r="L111" s="201" t="s">
        <v>1803</v>
      </c>
    </row>
    <row r="112" spans="1:12" ht="15.75" thickBot="1">
      <c r="A112" s="342"/>
      <c r="B112" s="199" t="s">
        <v>1805</v>
      </c>
      <c r="C112" s="200"/>
      <c r="D112" s="200"/>
      <c r="E112" s="345"/>
      <c r="F112" s="201" t="s">
        <v>1805</v>
      </c>
      <c r="G112" s="342"/>
      <c r="H112" s="199" t="s">
        <v>1805</v>
      </c>
      <c r="I112" s="200"/>
      <c r="J112" s="200"/>
      <c r="K112" s="345"/>
      <c r="L112" s="201" t="s">
        <v>1805</v>
      </c>
    </row>
    <row r="113" spans="1:12" ht="15.75" thickBot="1">
      <c r="A113" s="342"/>
      <c r="B113" s="199" t="s">
        <v>1806</v>
      </c>
      <c r="C113" s="200"/>
      <c r="D113" s="200"/>
      <c r="E113" s="345"/>
      <c r="F113" s="201" t="s">
        <v>1806</v>
      </c>
      <c r="G113" s="342"/>
      <c r="H113" s="199" t="s">
        <v>1806</v>
      </c>
      <c r="I113" s="200"/>
      <c r="J113" s="200"/>
      <c r="K113" s="345"/>
      <c r="L113" s="201" t="s">
        <v>1806</v>
      </c>
    </row>
    <row r="114" spans="1:12" ht="15.75" thickBot="1">
      <c r="A114" s="342"/>
      <c r="B114" s="199" t="s">
        <v>1807</v>
      </c>
      <c r="C114" s="200"/>
      <c r="D114" s="200"/>
      <c r="E114" s="345"/>
      <c r="F114" s="201" t="s">
        <v>1807</v>
      </c>
      <c r="G114" s="342"/>
      <c r="H114" s="199" t="s">
        <v>1807</v>
      </c>
      <c r="I114" s="200"/>
      <c r="J114" s="200"/>
      <c r="K114" s="345"/>
      <c r="L114" s="201" t="s">
        <v>1807</v>
      </c>
    </row>
    <row r="115" spans="1:12" ht="15.75" thickBot="1">
      <c r="A115" s="342"/>
      <c r="B115" s="199" t="s">
        <v>1808</v>
      </c>
      <c r="C115" s="200"/>
      <c r="D115" s="200"/>
      <c r="E115" s="345"/>
      <c r="F115" s="201" t="s">
        <v>1808</v>
      </c>
      <c r="G115" s="342"/>
      <c r="H115" s="199" t="s">
        <v>1808</v>
      </c>
      <c r="I115" s="200"/>
      <c r="J115" s="200"/>
      <c r="K115" s="345"/>
      <c r="L115" s="201" t="s">
        <v>1808</v>
      </c>
    </row>
    <row r="116" spans="1:12" ht="15.75" thickBot="1">
      <c r="A116" s="342"/>
      <c r="B116" s="199" t="s">
        <v>1809</v>
      </c>
      <c r="C116" s="200"/>
      <c r="D116" s="200"/>
      <c r="E116" s="345"/>
      <c r="F116" s="201" t="s">
        <v>1809</v>
      </c>
      <c r="G116" s="342"/>
      <c r="H116" s="199" t="s">
        <v>1809</v>
      </c>
      <c r="I116" s="200"/>
      <c r="J116" s="200"/>
      <c r="K116" s="345"/>
      <c r="L116" s="201" t="s">
        <v>1809</v>
      </c>
    </row>
    <row r="117" spans="1:12" ht="15.75" thickBot="1">
      <c r="A117" s="342"/>
      <c r="B117" s="199" t="s">
        <v>1810</v>
      </c>
      <c r="C117" s="200"/>
      <c r="D117" s="200"/>
      <c r="E117" s="345"/>
      <c r="F117" s="201" t="s">
        <v>1810</v>
      </c>
      <c r="G117" s="342"/>
      <c r="H117" s="199" t="s">
        <v>1810</v>
      </c>
      <c r="I117" s="200"/>
      <c r="J117" s="200"/>
      <c r="K117" s="345"/>
      <c r="L117" s="201" t="s">
        <v>1810</v>
      </c>
    </row>
    <row r="118" spans="1:12" ht="15.75" thickBot="1">
      <c r="A118" s="342"/>
      <c r="B118" s="199" t="s">
        <v>1811</v>
      </c>
      <c r="C118" s="200"/>
      <c r="D118" s="200"/>
      <c r="E118" s="345"/>
      <c r="F118" s="201" t="s">
        <v>1811</v>
      </c>
      <c r="G118" s="342"/>
      <c r="H118" s="199" t="s">
        <v>1811</v>
      </c>
      <c r="I118" s="200"/>
      <c r="J118" s="200"/>
      <c r="K118" s="345"/>
      <c r="L118" s="201" t="s">
        <v>1811</v>
      </c>
    </row>
    <row r="119" spans="1:12" ht="15.75" thickBot="1">
      <c r="A119" s="342"/>
      <c r="B119" s="199" t="s">
        <v>1812</v>
      </c>
      <c r="C119" s="200"/>
      <c r="D119" s="200"/>
      <c r="E119" s="345"/>
      <c r="F119" s="201" t="s">
        <v>1812</v>
      </c>
      <c r="G119" s="342"/>
      <c r="H119" s="199" t="s">
        <v>1812</v>
      </c>
      <c r="I119" s="200"/>
      <c r="J119" s="200"/>
      <c r="K119" s="345"/>
      <c r="L119" s="201" t="s">
        <v>1812</v>
      </c>
    </row>
    <row r="120" spans="1:12" ht="15.75" thickBot="1">
      <c r="A120" s="342"/>
      <c r="B120" s="199" t="s">
        <v>1813</v>
      </c>
      <c r="C120" s="200"/>
      <c r="D120" s="200"/>
      <c r="E120" s="345"/>
      <c r="F120" s="201" t="s">
        <v>1813</v>
      </c>
      <c r="G120" s="342"/>
      <c r="H120" s="199" t="s">
        <v>1813</v>
      </c>
      <c r="I120" s="200"/>
      <c r="J120" s="200"/>
      <c r="K120" s="345"/>
      <c r="L120" s="201" t="s">
        <v>1813</v>
      </c>
    </row>
    <row r="121" spans="1:12" ht="15.75" thickBot="1">
      <c r="A121" s="342"/>
      <c r="B121" s="199" t="s">
        <v>1814</v>
      </c>
      <c r="C121" s="200"/>
      <c r="D121" s="200"/>
      <c r="E121" s="345"/>
      <c r="F121" s="201" t="s">
        <v>1814</v>
      </c>
      <c r="G121" s="342"/>
      <c r="H121" s="199" t="s">
        <v>1814</v>
      </c>
      <c r="I121" s="200"/>
      <c r="J121" s="200"/>
      <c r="K121" s="345"/>
      <c r="L121" s="201" t="s">
        <v>1814</v>
      </c>
    </row>
    <row r="122" spans="1:12" ht="26.25" thickBot="1">
      <c r="A122" s="342"/>
      <c r="B122" s="199" t="s">
        <v>1815</v>
      </c>
      <c r="C122" s="200"/>
      <c r="D122" s="200"/>
      <c r="E122" s="345"/>
      <c r="F122" s="201" t="s">
        <v>1816</v>
      </c>
      <c r="G122" s="342"/>
      <c r="H122" s="199" t="s">
        <v>1815</v>
      </c>
      <c r="I122" s="200"/>
      <c r="J122" s="200"/>
      <c r="K122" s="345"/>
      <c r="L122" s="201" t="s">
        <v>1816</v>
      </c>
    </row>
    <row r="123" spans="1:12" ht="15.75" thickBot="1">
      <c r="A123" s="343"/>
      <c r="B123" s="199" t="s">
        <v>1817</v>
      </c>
      <c r="C123" s="200"/>
      <c r="D123" s="200"/>
      <c r="E123" s="346"/>
      <c r="F123" s="201" t="s">
        <v>1818</v>
      </c>
      <c r="G123" s="343"/>
      <c r="H123" s="199" t="s">
        <v>1817</v>
      </c>
      <c r="I123" s="200"/>
      <c r="J123" s="200"/>
      <c r="K123" s="346"/>
      <c r="L123" s="201" t="s">
        <v>1818</v>
      </c>
    </row>
    <row r="124" spans="1:12" ht="15.75" thickBot="1">
      <c r="A124" s="341" t="s">
        <v>2118</v>
      </c>
      <c r="B124" s="199" t="s">
        <v>1803</v>
      </c>
      <c r="C124" s="200"/>
      <c r="D124" s="200"/>
      <c r="E124" s="344" t="s">
        <v>2118</v>
      </c>
      <c r="F124" s="201" t="s">
        <v>1803</v>
      </c>
      <c r="G124" s="341" t="s">
        <v>2118</v>
      </c>
      <c r="H124" s="199" t="s">
        <v>1803</v>
      </c>
      <c r="I124" s="200"/>
      <c r="J124" s="200"/>
      <c r="K124" s="344" t="s">
        <v>2118</v>
      </c>
      <c r="L124" s="201" t="s">
        <v>1803</v>
      </c>
    </row>
    <row r="125" spans="1:12" ht="15.75" thickBot="1">
      <c r="A125" s="342"/>
      <c r="B125" s="199" t="s">
        <v>1805</v>
      </c>
      <c r="C125" s="200"/>
      <c r="D125" s="200"/>
      <c r="E125" s="345"/>
      <c r="F125" s="201" t="s">
        <v>1805</v>
      </c>
      <c r="G125" s="342"/>
      <c r="H125" s="199" t="s">
        <v>1805</v>
      </c>
      <c r="I125" s="200"/>
      <c r="J125" s="200"/>
      <c r="K125" s="345"/>
      <c r="L125" s="201" t="s">
        <v>1805</v>
      </c>
    </row>
    <row r="126" spans="1:12" ht="15.75" thickBot="1">
      <c r="A126" s="342"/>
      <c r="B126" s="199" t="s">
        <v>1806</v>
      </c>
      <c r="C126" s="200"/>
      <c r="D126" s="200"/>
      <c r="E126" s="345"/>
      <c r="F126" s="201" t="s">
        <v>1806</v>
      </c>
      <c r="G126" s="342"/>
      <c r="H126" s="199" t="s">
        <v>1806</v>
      </c>
      <c r="I126" s="200"/>
      <c r="J126" s="200"/>
      <c r="K126" s="345"/>
      <c r="L126" s="201" t="s">
        <v>1806</v>
      </c>
    </row>
    <row r="127" spans="1:12" ht="15.75" thickBot="1">
      <c r="A127" s="342"/>
      <c r="B127" s="199" t="s">
        <v>1807</v>
      </c>
      <c r="C127" s="200"/>
      <c r="D127" s="200"/>
      <c r="E127" s="345"/>
      <c r="F127" s="201" t="s">
        <v>1807</v>
      </c>
      <c r="G127" s="342"/>
      <c r="H127" s="199" t="s">
        <v>1807</v>
      </c>
      <c r="I127" s="200"/>
      <c r="J127" s="200"/>
      <c r="K127" s="345"/>
      <c r="L127" s="201" t="s">
        <v>1807</v>
      </c>
    </row>
    <row r="128" spans="1:12" ht="15.75" thickBot="1">
      <c r="A128" s="342"/>
      <c r="B128" s="199" t="s">
        <v>1808</v>
      </c>
      <c r="C128" s="200"/>
      <c r="D128" s="200"/>
      <c r="E128" s="345"/>
      <c r="F128" s="201" t="s">
        <v>1808</v>
      </c>
      <c r="G128" s="342"/>
      <c r="H128" s="199" t="s">
        <v>1808</v>
      </c>
      <c r="I128" s="200"/>
      <c r="J128" s="200"/>
      <c r="K128" s="345"/>
      <c r="L128" s="201" t="s">
        <v>1808</v>
      </c>
    </row>
    <row r="129" spans="1:12" ht="15.75" thickBot="1">
      <c r="A129" s="342"/>
      <c r="B129" s="199" t="s">
        <v>1809</v>
      </c>
      <c r="C129" s="200"/>
      <c r="D129" s="200"/>
      <c r="E129" s="345"/>
      <c r="F129" s="201" t="s">
        <v>1809</v>
      </c>
      <c r="G129" s="342"/>
      <c r="H129" s="199" t="s">
        <v>1809</v>
      </c>
      <c r="I129" s="200"/>
      <c r="J129" s="200"/>
      <c r="K129" s="345"/>
      <c r="L129" s="201" t="s">
        <v>1809</v>
      </c>
    </row>
    <row r="130" spans="1:12" ht="15.75" thickBot="1">
      <c r="A130" s="342"/>
      <c r="B130" s="199" t="s">
        <v>1810</v>
      </c>
      <c r="C130" s="200"/>
      <c r="D130" s="200"/>
      <c r="E130" s="345"/>
      <c r="F130" s="201" t="s">
        <v>1810</v>
      </c>
      <c r="G130" s="342"/>
      <c r="H130" s="199" t="s">
        <v>1810</v>
      </c>
      <c r="I130" s="200"/>
      <c r="J130" s="200"/>
      <c r="K130" s="345"/>
      <c r="L130" s="201" t="s">
        <v>1810</v>
      </c>
    </row>
    <row r="131" spans="1:12" ht="15.75" thickBot="1">
      <c r="A131" s="342"/>
      <c r="B131" s="199" t="s">
        <v>1811</v>
      </c>
      <c r="C131" s="200"/>
      <c r="D131" s="200"/>
      <c r="E131" s="345"/>
      <c r="F131" s="201" t="s">
        <v>1811</v>
      </c>
      <c r="G131" s="342"/>
      <c r="H131" s="199" t="s">
        <v>1811</v>
      </c>
      <c r="I131" s="200"/>
      <c r="J131" s="200"/>
      <c r="K131" s="345"/>
      <c r="L131" s="201" t="s">
        <v>1811</v>
      </c>
    </row>
    <row r="132" spans="1:12" ht="15.75" thickBot="1">
      <c r="A132" s="342"/>
      <c r="B132" s="199" t="s">
        <v>1812</v>
      </c>
      <c r="C132" s="200"/>
      <c r="D132" s="200"/>
      <c r="E132" s="345"/>
      <c r="F132" s="201" t="s">
        <v>1812</v>
      </c>
      <c r="G132" s="342"/>
      <c r="H132" s="199" t="s">
        <v>1812</v>
      </c>
      <c r="I132" s="200"/>
      <c r="J132" s="200"/>
      <c r="K132" s="345"/>
      <c r="L132" s="201" t="s">
        <v>1812</v>
      </c>
    </row>
    <row r="133" spans="1:12" ht="15.75" thickBot="1">
      <c r="A133" s="342"/>
      <c r="B133" s="199" t="s">
        <v>1813</v>
      </c>
      <c r="C133" s="200"/>
      <c r="D133" s="200"/>
      <c r="E133" s="345"/>
      <c r="F133" s="201" t="s">
        <v>1813</v>
      </c>
      <c r="G133" s="342"/>
      <c r="H133" s="199" t="s">
        <v>1813</v>
      </c>
      <c r="I133" s="200"/>
      <c r="J133" s="200"/>
      <c r="K133" s="345"/>
      <c r="L133" s="201" t="s">
        <v>1813</v>
      </c>
    </row>
    <row r="134" spans="1:12" ht="15.75" thickBot="1">
      <c r="A134" s="342"/>
      <c r="B134" s="199" t="s">
        <v>1814</v>
      </c>
      <c r="C134" s="200"/>
      <c r="D134" s="200"/>
      <c r="E134" s="345"/>
      <c r="F134" s="201" t="s">
        <v>1814</v>
      </c>
      <c r="G134" s="342"/>
      <c r="H134" s="199" t="s">
        <v>1814</v>
      </c>
      <c r="I134" s="200"/>
      <c r="J134" s="200"/>
      <c r="K134" s="345"/>
      <c r="L134" s="201" t="s">
        <v>1814</v>
      </c>
    </row>
    <row r="135" spans="1:12" ht="26.25" thickBot="1">
      <c r="A135" s="342"/>
      <c r="B135" s="199" t="s">
        <v>1815</v>
      </c>
      <c r="C135" s="200"/>
      <c r="D135" s="200"/>
      <c r="E135" s="345"/>
      <c r="F135" s="201" t="s">
        <v>1816</v>
      </c>
      <c r="G135" s="342"/>
      <c r="H135" s="199" t="s">
        <v>1815</v>
      </c>
      <c r="I135" s="200"/>
      <c r="J135" s="200"/>
      <c r="K135" s="345"/>
      <c r="L135" s="201" t="s">
        <v>1816</v>
      </c>
    </row>
    <row r="136" spans="1:12" ht="15.75" thickBot="1">
      <c r="A136" s="343"/>
      <c r="B136" s="199" t="s">
        <v>1817</v>
      </c>
      <c r="C136" s="200"/>
      <c r="D136" s="200"/>
      <c r="E136" s="346"/>
      <c r="F136" s="201" t="s">
        <v>1818</v>
      </c>
      <c r="G136" s="343"/>
      <c r="H136" s="199" t="s">
        <v>1817</v>
      </c>
      <c r="I136" s="200"/>
      <c r="J136" s="200"/>
      <c r="K136" s="346"/>
      <c r="L136" s="201" t="s">
        <v>1818</v>
      </c>
    </row>
    <row r="137" spans="1:12" ht="15.75" thickBot="1">
      <c r="A137" s="341" t="s">
        <v>2119</v>
      </c>
      <c r="B137" s="199" t="s">
        <v>1803</v>
      </c>
      <c r="C137" s="200"/>
      <c r="D137" s="200"/>
      <c r="E137" s="344" t="s">
        <v>2119</v>
      </c>
      <c r="F137" s="201" t="s">
        <v>1803</v>
      </c>
      <c r="G137" s="341" t="s">
        <v>2119</v>
      </c>
      <c r="H137" s="199" t="s">
        <v>1803</v>
      </c>
      <c r="I137" s="200"/>
      <c r="J137" s="200"/>
      <c r="K137" s="344" t="s">
        <v>2119</v>
      </c>
      <c r="L137" s="201" t="s">
        <v>1803</v>
      </c>
    </row>
    <row r="138" spans="1:12" ht="15.75" thickBot="1">
      <c r="A138" s="342"/>
      <c r="B138" s="199" t="s">
        <v>1805</v>
      </c>
      <c r="C138" s="200"/>
      <c r="D138" s="200"/>
      <c r="E138" s="345"/>
      <c r="F138" s="201" t="s">
        <v>1805</v>
      </c>
      <c r="G138" s="342"/>
      <c r="H138" s="199" t="s">
        <v>1805</v>
      </c>
      <c r="I138" s="200"/>
      <c r="J138" s="200"/>
      <c r="K138" s="345"/>
      <c r="L138" s="201" t="s">
        <v>1805</v>
      </c>
    </row>
    <row r="139" spans="1:12" ht="15.75" thickBot="1">
      <c r="A139" s="342"/>
      <c r="B139" s="199" t="s">
        <v>1806</v>
      </c>
      <c r="C139" s="200"/>
      <c r="D139" s="200"/>
      <c r="E139" s="345"/>
      <c r="F139" s="201" t="s">
        <v>1806</v>
      </c>
      <c r="G139" s="342"/>
      <c r="H139" s="199" t="s">
        <v>1806</v>
      </c>
      <c r="I139" s="200"/>
      <c r="J139" s="200"/>
      <c r="K139" s="345"/>
      <c r="L139" s="201" t="s">
        <v>1806</v>
      </c>
    </row>
    <row r="140" spans="1:12" ht="15.75" thickBot="1">
      <c r="A140" s="342"/>
      <c r="B140" s="199" t="s">
        <v>1807</v>
      </c>
      <c r="C140" s="200"/>
      <c r="D140" s="200"/>
      <c r="E140" s="345"/>
      <c r="F140" s="201" t="s">
        <v>1807</v>
      </c>
      <c r="G140" s="342"/>
      <c r="H140" s="199" t="s">
        <v>1807</v>
      </c>
      <c r="I140" s="200"/>
      <c r="J140" s="200"/>
      <c r="K140" s="345"/>
      <c r="L140" s="201" t="s">
        <v>1807</v>
      </c>
    </row>
    <row r="141" spans="1:12" ht="15.75" thickBot="1">
      <c r="A141" s="342"/>
      <c r="B141" s="199" t="s">
        <v>1808</v>
      </c>
      <c r="C141" s="200"/>
      <c r="D141" s="200"/>
      <c r="E141" s="345"/>
      <c r="F141" s="201" t="s">
        <v>1808</v>
      </c>
      <c r="G141" s="342"/>
      <c r="H141" s="199" t="s">
        <v>1808</v>
      </c>
      <c r="I141" s="200"/>
      <c r="J141" s="200"/>
      <c r="K141" s="345"/>
      <c r="L141" s="201" t="s">
        <v>1808</v>
      </c>
    </row>
    <row r="142" spans="1:12" ht="15.75" thickBot="1">
      <c r="A142" s="342"/>
      <c r="B142" s="199" t="s">
        <v>1809</v>
      </c>
      <c r="C142" s="200"/>
      <c r="D142" s="200"/>
      <c r="E142" s="345"/>
      <c r="F142" s="201" t="s">
        <v>1809</v>
      </c>
      <c r="G142" s="342"/>
      <c r="H142" s="199" t="s">
        <v>1809</v>
      </c>
      <c r="I142" s="200"/>
      <c r="J142" s="200"/>
      <c r="K142" s="345"/>
      <c r="L142" s="201" t="s">
        <v>1809</v>
      </c>
    </row>
    <row r="143" spans="1:12" ht="15.75" thickBot="1">
      <c r="A143" s="342"/>
      <c r="B143" s="199" t="s">
        <v>1810</v>
      </c>
      <c r="C143" s="200"/>
      <c r="D143" s="200"/>
      <c r="E143" s="345"/>
      <c r="F143" s="201" t="s">
        <v>1810</v>
      </c>
      <c r="G143" s="342"/>
      <c r="H143" s="199" t="s">
        <v>1810</v>
      </c>
      <c r="I143" s="200"/>
      <c r="J143" s="200"/>
      <c r="K143" s="345"/>
      <c r="L143" s="201" t="s">
        <v>1810</v>
      </c>
    </row>
    <row r="144" spans="1:12" ht="15.75" thickBot="1">
      <c r="A144" s="342"/>
      <c r="B144" s="199" t="s">
        <v>1811</v>
      </c>
      <c r="C144" s="200"/>
      <c r="D144" s="200"/>
      <c r="E144" s="345"/>
      <c r="F144" s="201" t="s">
        <v>1811</v>
      </c>
      <c r="G144" s="342"/>
      <c r="H144" s="199" t="s">
        <v>1811</v>
      </c>
      <c r="I144" s="200"/>
      <c r="J144" s="200"/>
      <c r="K144" s="345"/>
      <c r="L144" s="201" t="s">
        <v>1811</v>
      </c>
    </row>
    <row r="145" spans="1:12" ht="15.75" thickBot="1">
      <c r="A145" s="342"/>
      <c r="B145" s="199" t="s">
        <v>1812</v>
      </c>
      <c r="C145" s="200"/>
      <c r="D145" s="200"/>
      <c r="E145" s="345"/>
      <c r="F145" s="201" t="s">
        <v>1812</v>
      </c>
      <c r="G145" s="342"/>
      <c r="H145" s="199" t="s">
        <v>1812</v>
      </c>
      <c r="I145" s="200"/>
      <c r="J145" s="200"/>
      <c r="K145" s="345"/>
      <c r="L145" s="201" t="s">
        <v>1812</v>
      </c>
    </row>
    <row r="146" spans="1:12" ht="15.75" thickBot="1">
      <c r="A146" s="342"/>
      <c r="B146" s="199" t="s">
        <v>1813</v>
      </c>
      <c r="C146" s="200"/>
      <c r="D146" s="200"/>
      <c r="E146" s="345"/>
      <c r="F146" s="201" t="s">
        <v>1813</v>
      </c>
      <c r="G146" s="342"/>
      <c r="H146" s="199" t="s">
        <v>1813</v>
      </c>
      <c r="I146" s="200"/>
      <c r="J146" s="200"/>
      <c r="K146" s="345"/>
      <c r="L146" s="201" t="s">
        <v>1813</v>
      </c>
    </row>
    <row r="147" spans="1:12" ht="15.75" thickBot="1">
      <c r="A147" s="342"/>
      <c r="B147" s="199" t="s">
        <v>1814</v>
      </c>
      <c r="C147" s="200"/>
      <c r="D147" s="200"/>
      <c r="E147" s="345"/>
      <c r="F147" s="201" t="s">
        <v>1814</v>
      </c>
      <c r="G147" s="342"/>
      <c r="H147" s="199" t="s">
        <v>1814</v>
      </c>
      <c r="I147" s="200"/>
      <c r="J147" s="200"/>
      <c r="K147" s="345"/>
      <c r="L147" s="201" t="s">
        <v>1814</v>
      </c>
    </row>
    <row r="148" spans="1:12" ht="26.25" thickBot="1">
      <c r="A148" s="342"/>
      <c r="B148" s="199" t="s">
        <v>1815</v>
      </c>
      <c r="C148" s="200"/>
      <c r="D148" s="200"/>
      <c r="E148" s="345"/>
      <c r="F148" s="201" t="s">
        <v>1816</v>
      </c>
      <c r="G148" s="342"/>
      <c r="H148" s="199" t="s">
        <v>1815</v>
      </c>
      <c r="I148" s="200"/>
      <c r="J148" s="200"/>
      <c r="K148" s="345"/>
      <c r="L148" s="201" t="s">
        <v>1816</v>
      </c>
    </row>
    <row r="149" spans="1:12" ht="15.75" thickBot="1">
      <c r="A149" s="343"/>
      <c r="B149" s="199" t="s">
        <v>1817</v>
      </c>
      <c r="C149" s="200"/>
      <c r="D149" s="200"/>
      <c r="E149" s="346"/>
      <c r="F149" s="201" t="s">
        <v>1818</v>
      </c>
      <c r="G149" s="343"/>
      <c r="H149" s="199" t="s">
        <v>1817</v>
      </c>
      <c r="I149" s="200"/>
      <c r="J149" s="200"/>
      <c r="K149" s="346"/>
      <c r="L149" s="201" t="s">
        <v>1818</v>
      </c>
    </row>
    <row r="150" spans="1:12" ht="15.75" thickBot="1">
      <c r="A150" s="341" t="s">
        <v>2120</v>
      </c>
      <c r="B150" s="199" t="s">
        <v>1803</v>
      </c>
      <c r="C150" s="200"/>
      <c r="D150" s="200"/>
      <c r="E150" s="344" t="s">
        <v>2120</v>
      </c>
      <c r="F150" s="201" t="s">
        <v>1803</v>
      </c>
      <c r="G150" s="341" t="s">
        <v>2120</v>
      </c>
      <c r="H150" s="199" t="s">
        <v>1803</v>
      </c>
      <c r="I150" s="200"/>
      <c r="J150" s="200"/>
      <c r="K150" s="344" t="s">
        <v>2120</v>
      </c>
      <c r="L150" s="201" t="s">
        <v>1803</v>
      </c>
    </row>
    <row r="151" spans="1:12" ht="15.75" thickBot="1">
      <c r="A151" s="342"/>
      <c r="B151" s="199" t="s">
        <v>1805</v>
      </c>
      <c r="C151" s="200"/>
      <c r="D151" s="200"/>
      <c r="E151" s="345"/>
      <c r="F151" s="201" t="s">
        <v>1805</v>
      </c>
      <c r="G151" s="342"/>
      <c r="H151" s="199" t="s">
        <v>1805</v>
      </c>
      <c r="I151" s="200"/>
      <c r="J151" s="200"/>
      <c r="K151" s="345"/>
      <c r="L151" s="201" t="s">
        <v>1805</v>
      </c>
    </row>
    <row r="152" spans="1:12" ht="15.75" thickBot="1">
      <c r="A152" s="342"/>
      <c r="B152" s="199" t="s">
        <v>1806</v>
      </c>
      <c r="C152" s="200"/>
      <c r="D152" s="200"/>
      <c r="E152" s="345"/>
      <c r="F152" s="201" t="s">
        <v>1806</v>
      </c>
      <c r="G152" s="342"/>
      <c r="H152" s="199" t="s">
        <v>1806</v>
      </c>
      <c r="I152" s="200"/>
      <c r="J152" s="200"/>
      <c r="K152" s="345"/>
      <c r="L152" s="201" t="s">
        <v>1806</v>
      </c>
    </row>
    <row r="153" spans="1:12" ht="15.75" thickBot="1">
      <c r="A153" s="342"/>
      <c r="B153" s="199" t="s">
        <v>1807</v>
      </c>
      <c r="C153" s="200"/>
      <c r="D153" s="200"/>
      <c r="E153" s="345"/>
      <c r="F153" s="201" t="s">
        <v>1807</v>
      </c>
      <c r="G153" s="342"/>
      <c r="H153" s="199" t="s">
        <v>1807</v>
      </c>
      <c r="I153" s="200"/>
      <c r="J153" s="200"/>
      <c r="K153" s="345"/>
      <c r="L153" s="201" t="s">
        <v>1807</v>
      </c>
    </row>
    <row r="154" spans="1:12" ht="15.75" thickBot="1">
      <c r="A154" s="342"/>
      <c r="B154" s="199" t="s">
        <v>1808</v>
      </c>
      <c r="C154" s="200"/>
      <c r="D154" s="200"/>
      <c r="E154" s="345"/>
      <c r="F154" s="201" t="s">
        <v>1808</v>
      </c>
      <c r="G154" s="342"/>
      <c r="H154" s="199" t="s">
        <v>1808</v>
      </c>
      <c r="I154" s="200"/>
      <c r="J154" s="200"/>
      <c r="K154" s="345"/>
      <c r="L154" s="201" t="s">
        <v>1808</v>
      </c>
    </row>
    <row r="155" spans="1:12" ht="15.75" thickBot="1">
      <c r="A155" s="342"/>
      <c r="B155" s="199" t="s">
        <v>1809</v>
      </c>
      <c r="C155" s="200"/>
      <c r="D155" s="200"/>
      <c r="E155" s="345"/>
      <c r="F155" s="201" t="s">
        <v>1809</v>
      </c>
      <c r="G155" s="342"/>
      <c r="H155" s="199" t="s">
        <v>1809</v>
      </c>
      <c r="I155" s="200"/>
      <c r="J155" s="200"/>
      <c r="K155" s="345"/>
      <c r="L155" s="201" t="s">
        <v>1809</v>
      </c>
    </row>
    <row r="156" spans="1:12" ht="15.75" thickBot="1">
      <c r="A156" s="342"/>
      <c r="B156" s="199" t="s">
        <v>1810</v>
      </c>
      <c r="C156" s="200"/>
      <c r="D156" s="200"/>
      <c r="E156" s="345"/>
      <c r="F156" s="201" t="s">
        <v>1810</v>
      </c>
      <c r="G156" s="342"/>
      <c r="H156" s="199" t="s">
        <v>1810</v>
      </c>
      <c r="I156" s="200"/>
      <c r="J156" s="200"/>
      <c r="K156" s="345"/>
      <c r="L156" s="201" t="s">
        <v>1810</v>
      </c>
    </row>
    <row r="157" spans="1:12" ht="15.75" thickBot="1">
      <c r="A157" s="342"/>
      <c r="B157" s="199" t="s">
        <v>1811</v>
      </c>
      <c r="C157" s="200"/>
      <c r="D157" s="200"/>
      <c r="E157" s="345"/>
      <c r="F157" s="201" t="s">
        <v>1811</v>
      </c>
      <c r="G157" s="342"/>
      <c r="H157" s="199" t="s">
        <v>1811</v>
      </c>
      <c r="I157" s="200"/>
      <c r="J157" s="200"/>
      <c r="K157" s="345"/>
      <c r="L157" s="201" t="s">
        <v>1811</v>
      </c>
    </row>
    <row r="158" spans="1:12" ht="15.75" thickBot="1">
      <c r="A158" s="342"/>
      <c r="B158" s="199" t="s">
        <v>1812</v>
      </c>
      <c r="C158" s="200"/>
      <c r="D158" s="200"/>
      <c r="E158" s="345"/>
      <c r="F158" s="201" t="s">
        <v>1812</v>
      </c>
      <c r="G158" s="342"/>
      <c r="H158" s="199" t="s">
        <v>1812</v>
      </c>
      <c r="I158" s="200"/>
      <c r="J158" s="200"/>
      <c r="K158" s="345"/>
      <c r="L158" s="201" t="s">
        <v>1812</v>
      </c>
    </row>
    <row r="159" spans="1:12" ht="15.75" thickBot="1">
      <c r="A159" s="342"/>
      <c r="B159" s="199" t="s">
        <v>1813</v>
      </c>
      <c r="C159" s="200"/>
      <c r="D159" s="200"/>
      <c r="E159" s="345"/>
      <c r="F159" s="201" t="s">
        <v>1813</v>
      </c>
      <c r="G159" s="342"/>
      <c r="H159" s="199" t="s">
        <v>1813</v>
      </c>
      <c r="I159" s="200"/>
      <c r="J159" s="200"/>
      <c r="K159" s="345"/>
      <c r="L159" s="201" t="s">
        <v>1813</v>
      </c>
    </row>
    <row r="160" spans="1:12" ht="15.75" thickBot="1">
      <c r="A160" s="342"/>
      <c r="B160" s="199" t="s">
        <v>1814</v>
      </c>
      <c r="C160" s="200"/>
      <c r="D160" s="200"/>
      <c r="E160" s="345"/>
      <c r="F160" s="201" t="s">
        <v>1814</v>
      </c>
      <c r="G160" s="342"/>
      <c r="H160" s="199" t="s">
        <v>1814</v>
      </c>
      <c r="I160" s="200"/>
      <c r="J160" s="200"/>
      <c r="K160" s="345"/>
      <c r="L160" s="201" t="s">
        <v>1814</v>
      </c>
    </row>
    <row r="161" spans="1:12" ht="26.25" thickBot="1">
      <c r="A161" s="342"/>
      <c r="B161" s="199" t="s">
        <v>1815</v>
      </c>
      <c r="C161" s="200"/>
      <c r="D161" s="200"/>
      <c r="E161" s="345"/>
      <c r="F161" s="201" t="s">
        <v>1816</v>
      </c>
      <c r="G161" s="342"/>
      <c r="H161" s="199" t="s">
        <v>1815</v>
      </c>
      <c r="I161" s="200"/>
      <c r="J161" s="200"/>
      <c r="K161" s="345"/>
      <c r="L161" s="201" t="s">
        <v>1816</v>
      </c>
    </row>
    <row r="162" spans="1:12" ht="15.75" thickBot="1">
      <c r="A162" s="343"/>
      <c r="B162" s="199" t="s">
        <v>1817</v>
      </c>
      <c r="C162" s="200"/>
      <c r="D162" s="200"/>
      <c r="E162" s="346"/>
      <c r="F162" s="201" t="s">
        <v>1818</v>
      </c>
      <c r="G162" s="343"/>
      <c r="H162" s="199" t="s">
        <v>1817</v>
      </c>
      <c r="I162" s="200"/>
      <c r="J162" s="200"/>
      <c r="K162" s="346"/>
      <c r="L162" s="201" t="s">
        <v>1818</v>
      </c>
    </row>
    <row r="163" spans="1:12" ht="15.75" thickBot="1">
      <c r="A163" s="341" t="s">
        <v>2121</v>
      </c>
      <c r="B163" s="199" t="s">
        <v>1803</v>
      </c>
      <c r="C163" s="200"/>
      <c r="D163" s="200"/>
      <c r="E163" s="344" t="s">
        <v>2121</v>
      </c>
      <c r="F163" s="201" t="s">
        <v>1803</v>
      </c>
      <c r="G163" s="341" t="s">
        <v>2121</v>
      </c>
      <c r="H163" s="199" t="s">
        <v>1803</v>
      </c>
      <c r="I163" s="200"/>
      <c r="J163" s="200"/>
      <c r="K163" s="344" t="s">
        <v>2121</v>
      </c>
      <c r="L163" s="201" t="s">
        <v>1803</v>
      </c>
    </row>
    <row r="164" spans="1:12" ht="15.75" thickBot="1">
      <c r="A164" s="342"/>
      <c r="B164" s="199" t="s">
        <v>1805</v>
      </c>
      <c r="C164" s="200"/>
      <c r="D164" s="200"/>
      <c r="E164" s="345"/>
      <c r="F164" s="201" t="s">
        <v>1805</v>
      </c>
      <c r="G164" s="342"/>
      <c r="H164" s="199" t="s">
        <v>1805</v>
      </c>
      <c r="I164" s="200"/>
      <c r="J164" s="200"/>
      <c r="K164" s="345"/>
      <c r="L164" s="201" t="s">
        <v>1805</v>
      </c>
    </row>
    <row r="165" spans="1:12" ht="15.75" thickBot="1">
      <c r="A165" s="342"/>
      <c r="B165" s="199" t="s">
        <v>1806</v>
      </c>
      <c r="C165" s="200"/>
      <c r="D165" s="200"/>
      <c r="E165" s="345"/>
      <c r="F165" s="201" t="s">
        <v>1806</v>
      </c>
      <c r="G165" s="342"/>
      <c r="H165" s="199" t="s">
        <v>1806</v>
      </c>
      <c r="I165" s="200"/>
      <c r="J165" s="200"/>
      <c r="K165" s="345"/>
      <c r="L165" s="201" t="s">
        <v>1806</v>
      </c>
    </row>
    <row r="166" spans="1:12" ht="15.75" thickBot="1">
      <c r="A166" s="342"/>
      <c r="B166" s="199" t="s">
        <v>1807</v>
      </c>
      <c r="C166" s="200"/>
      <c r="D166" s="200"/>
      <c r="E166" s="345"/>
      <c r="F166" s="201" t="s">
        <v>1807</v>
      </c>
      <c r="G166" s="342"/>
      <c r="H166" s="199" t="s">
        <v>1807</v>
      </c>
      <c r="I166" s="200"/>
      <c r="J166" s="200"/>
      <c r="K166" s="345"/>
      <c r="L166" s="201" t="s">
        <v>1807</v>
      </c>
    </row>
    <row r="167" spans="1:12" ht="15.75" thickBot="1">
      <c r="A167" s="342"/>
      <c r="B167" s="199" t="s">
        <v>1808</v>
      </c>
      <c r="C167" s="200"/>
      <c r="D167" s="200"/>
      <c r="E167" s="345"/>
      <c r="F167" s="201" t="s">
        <v>1808</v>
      </c>
      <c r="G167" s="342"/>
      <c r="H167" s="199" t="s">
        <v>1808</v>
      </c>
      <c r="I167" s="200"/>
      <c r="J167" s="200"/>
      <c r="K167" s="345"/>
      <c r="L167" s="201" t="s">
        <v>1808</v>
      </c>
    </row>
    <row r="168" spans="1:12" ht="15.75" thickBot="1">
      <c r="A168" s="342"/>
      <c r="B168" s="199" t="s">
        <v>1809</v>
      </c>
      <c r="C168" s="200"/>
      <c r="D168" s="200"/>
      <c r="E168" s="345"/>
      <c r="F168" s="201" t="s">
        <v>1809</v>
      </c>
      <c r="G168" s="342"/>
      <c r="H168" s="199" t="s">
        <v>1809</v>
      </c>
      <c r="I168" s="200"/>
      <c r="J168" s="200"/>
      <c r="K168" s="345"/>
      <c r="L168" s="201" t="s">
        <v>1809</v>
      </c>
    </row>
    <row r="169" spans="1:12" ht="15.75" thickBot="1">
      <c r="A169" s="342"/>
      <c r="B169" s="199" t="s">
        <v>1810</v>
      </c>
      <c r="C169" s="200"/>
      <c r="D169" s="200"/>
      <c r="E169" s="345"/>
      <c r="F169" s="201" t="s">
        <v>1810</v>
      </c>
      <c r="G169" s="342"/>
      <c r="H169" s="199" t="s">
        <v>1810</v>
      </c>
      <c r="I169" s="200"/>
      <c r="J169" s="200"/>
      <c r="K169" s="345"/>
      <c r="L169" s="201" t="s">
        <v>1810</v>
      </c>
    </row>
    <row r="170" spans="1:12" ht="15.75" thickBot="1">
      <c r="A170" s="342"/>
      <c r="B170" s="199" t="s">
        <v>1811</v>
      </c>
      <c r="C170" s="200"/>
      <c r="D170" s="200"/>
      <c r="E170" s="345"/>
      <c r="F170" s="201" t="s">
        <v>1811</v>
      </c>
      <c r="G170" s="342"/>
      <c r="H170" s="199" t="s">
        <v>1811</v>
      </c>
      <c r="I170" s="200"/>
      <c r="J170" s="200"/>
      <c r="K170" s="345"/>
      <c r="L170" s="201" t="s">
        <v>1811</v>
      </c>
    </row>
    <row r="171" spans="1:12" ht="15.75" thickBot="1">
      <c r="A171" s="342"/>
      <c r="B171" s="199" t="s">
        <v>1812</v>
      </c>
      <c r="C171" s="200"/>
      <c r="D171" s="200"/>
      <c r="E171" s="345"/>
      <c r="F171" s="201" t="s">
        <v>1812</v>
      </c>
      <c r="G171" s="342"/>
      <c r="H171" s="199" t="s">
        <v>1812</v>
      </c>
      <c r="I171" s="200"/>
      <c r="J171" s="200"/>
      <c r="K171" s="345"/>
      <c r="L171" s="201" t="s">
        <v>1812</v>
      </c>
    </row>
    <row r="172" spans="1:12" ht="15.75" thickBot="1">
      <c r="A172" s="342"/>
      <c r="B172" s="199" t="s">
        <v>1813</v>
      </c>
      <c r="C172" s="200"/>
      <c r="D172" s="200"/>
      <c r="E172" s="345"/>
      <c r="F172" s="201" t="s">
        <v>1813</v>
      </c>
      <c r="G172" s="342"/>
      <c r="H172" s="199" t="s">
        <v>1813</v>
      </c>
      <c r="I172" s="200"/>
      <c r="J172" s="200"/>
      <c r="K172" s="345"/>
      <c r="L172" s="201" t="s">
        <v>1813</v>
      </c>
    </row>
    <row r="173" spans="1:12" ht="15.75" thickBot="1">
      <c r="A173" s="342"/>
      <c r="B173" s="199" t="s">
        <v>1814</v>
      </c>
      <c r="C173" s="200"/>
      <c r="D173" s="200"/>
      <c r="E173" s="345"/>
      <c r="F173" s="201" t="s">
        <v>1814</v>
      </c>
      <c r="G173" s="342"/>
      <c r="H173" s="199" t="s">
        <v>1814</v>
      </c>
      <c r="I173" s="200"/>
      <c r="J173" s="200"/>
      <c r="K173" s="345"/>
      <c r="L173" s="201" t="s">
        <v>1814</v>
      </c>
    </row>
    <row r="174" spans="1:12" ht="26.25" thickBot="1">
      <c r="A174" s="342"/>
      <c r="B174" s="199" t="s">
        <v>1815</v>
      </c>
      <c r="C174" s="200"/>
      <c r="D174" s="200"/>
      <c r="E174" s="345"/>
      <c r="F174" s="201" t="s">
        <v>1816</v>
      </c>
      <c r="G174" s="342"/>
      <c r="H174" s="199" t="s">
        <v>1815</v>
      </c>
      <c r="I174" s="200"/>
      <c r="J174" s="200"/>
      <c r="K174" s="345"/>
      <c r="L174" s="201" t="s">
        <v>1816</v>
      </c>
    </row>
    <row r="175" spans="1:12" ht="15.75" thickBot="1">
      <c r="A175" s="343"/>
      <c r="B175" s="199" t="s">
        <v>1817</v>
      </c>
      <c r="C175" s="200"/>
      <c r="D175" s="200"/>
      <c r="E175" s="346"/>
      <c r="F175" s="201" t="s">
        <v>1818</v>
      </c>
      <c r="G175" s="343"/>
      <c r="H175" s="199" t="s">
        <v>1817</v>
      </c>
      <c r="I175" s="200"/>
      <c r="J175" s="200"/>
      <c r="K175" s="346"/>
      <c r="L175" s="201" t="s">
        <v>1818</v>
      </c>
    </row>
    <row r="176" spans="1:12" ht="15.75" thickBot="1">
      <c r="A176" s="341" t="s">
        <v>2122</v>
      </c>
      <c r="B176" s="199" t="s">
        <v>1803</v>
      </c>
      <c r="C176" s="200"/>
      <c r="D176" s="200"/>
      <c r="E176" s="344" t="s">
        <v>2122</v>
      </c>
      <c r="F176" s="201" t="s">
        <v>1803</v>
      </c>
      <c r="G176" s="341" t="s">
        <v>2122</v>
      </c>
      <c r="H176" s="199" t="s">
        <v>1803</v>
      </c>
      <c r="I176" s="200"/>
      <c r="J176" s="200"/>
      <c r="K176" s="344" t="s">
        <v>2122</v>
      </c>
      <c r="L176" s="201" t="s">
        <v>1803</v>
      </c>
    </row>
    <row r="177" spans="1:12" ht="15.75" thickBot="1">
      <c r="A177" s="342"/>
      <c r="B177" s="199" t="s">
        <v>1805</v>
      </c>
      <c r="C177" s="200"/>
      <c r="D177" s="200"/>
      <c r="E177" s="345"/>
      <c r="F177" s="201" t="s">
        <v>1805</v>
      </c>
      <c r="G177" s="342"/>
      <c r="H177" s="199" t="s">
        <v>1805</v>
      </c>
      <c r="I177" s="200"/>
      <c r="J177" s="200"/>
      <c r="K177" s="345"/>
      <c r="L177" s="201" t="s">
        <v>1805</v>
      </c>
    </row>
    <row r="178" spans="1:12" ht="15.75" thickBot="1">
      <c r="A178" s="342"/>
      <c r="B178" s="199" t="s">
        <v>1806</v>
      </c>
      <c r="C178" s="200"/>
      <c r="D178" s="200"/>
      <c r="E178" s="345"/>
      <c r="F178" s="201" t="s">
        <v>1806</v>
      </c>
      <c r="G178" s="342"/>
      <c r="H178" s="199" t="s">
        <v>1806</v>
      </c>
      <c r="I178" s="200"/>
      <c r="J178" s="200"/>
      <c r="K178" s="345"/>
      <c r="L178" s="201" t="s">
        <v>1806</v>
      </c>
    </row>
    <row r="179" spans="1:12" ht="15.75" thickBot="1">
      <c r="A179" s="342"/>
      <c r="B179" s="199" t="s">
        <v>1807</v>
      </c>
      <c r="C179" s="200"/>
      <c r="D179" s="200"/>
      <c r="E179" s="345"/>
      <c r="F179" s="201" t="s">
        <v>1807</v>
      </c>
      <c r="G179" s="342"/>
      <c r="H179" s="199" t="s">
        <v>1807</v>
      </c>
      <c r="I179" s="200"/>
      <c r="J179" s="200"/>
      <c r="K179" s="345"/>
      <c r="L179" s="201" t="s">
        <v>1807</v>
      </c>
    </row>
    <row r="180" spans="1:12" ht="15.75" thickBot="1">
      <c r="A180" s="342"/>
      <c r="B180" s="199" t="s">
        <v>1808</v>
      </c>
      <c r="C180" s="200"/>
      <c r="D180" s="200"/>
      <c r="E180" s="345"/>
      <c r="F180" s="201" t="s">
        <v>1808</v>
      </c>
      <c r="G180" s="342"/>
      <c r="H180" s="199" t="s">
        <v>1808</v>
      </c>
      <c r="I180" s="200"/>
      <c r="J180" s="200"/>
      <c r="K180" s="345"/>
      <c r="L180" s="201" t="s">
        <v>1808</v>
      </c>
    </row>
    <row r="181" spans="1:12" ht="15.75" thickBot="1">
      <c r="A181" s="342"/>
      <c r="B181" s="199" t="s">
        <v>1809</v>
      </c>
      <c r="C181" s="200"/>
      <c r="D181" s="200"/>
      <c r="E181" s="345"/>
      <c r="F181" s="201" t="s">
        <v>1809</v>
      </c>
      <c r="G181" s="342"/>
      <c r="H181" s="199" t="s">
        <v>1809</v>
      </c>
      <c r="I181" s="200"/>
      <c r="J181" s="200"/>
      <c r="K181" s="345"/>
      <c r="L181" s="201" t="s">
        <v>1809</v>
      </c>
    </row>
    <row r="182" spans="1:12" ht="15.75" thickBot="1">
      <c r="A182" s="342"/>
      <c r="B182" s="199" t="s">
        <v>1810</v>
      </c>
      <c r="C182" s="200"/>
      <c r="D182" s="200"/>
      <c r="E182" s="345"/>
      <c r="F182" s="201" t="s">
        <v>1810</v>
      </c>
      <c r="G182" s="342"/>
      <c r="H182" s="199" t="s">
        <v>1810</v>
      </c>
      <c r="I182" s="200"/>
      <c r="J182" s="200"/>
      <c r="K182" s="345"/>
      <c r="L182" s="201" t="s">
        <v>1810</v>
      </c>
    </row>
    <row r="183" spans="1:12" ht="15.75" thickBot="1">
      <c r="A183" s="342"/>
      <c r="B183" s="199" t="s">
        <v>1811</v>
      </c>
      <c r="C183" s="200"/>
      <c r="D183" s="200"/>
      <c r="E183" s="345"/>
      <c r="F183" s="201" t="s">
        <v>1811</v>
      </c>
      <c r="G183" s="342"/>
      <c r="H183" s="199" t="s">
        <v>1811</v>
      </c>
      <c r="I183" s="200"/>
      <c r="J183" s="200"/>
      <c r="K183" s="345"/>
      <c r="L183" s="201" t="s">
        <v>1811</v>
      </c>
    </row>
    <row r="184" spans="1:12" ht="15.75" thickBot="1">
      <c r="A184" s="342"/>
      <c r="B184" s="199" t="s">
        <v>1812</v>
      </c>
      <c r="C184" s="200"/>
      <c r="D184" s="200"/>
      <c r="E184" s="345"/>
      <c r="F184" s="201" t="s">
        <v>1812</v>
      </c>
      <c r="G184" s="342"/>
      <c r="H184" s="199" t="s">
        <v>1812</v>
      </c>
      <c r="I184" s="200"/>
      <c r="J184" s="200"/>
      <c r="K184" s="345"/>
      <c r="L184" s="201" t="s">
        <v>1812</v>
      </c>
    </row>
    <row r="185" spans="1:12" ht="15.75" thickBot="1">
      <c r="A185" s="342"/>
      <c r="B185" s="199" t="s">
        <v>1813</v>
      </c>
      <c r="C185" s="200"/>
      <c r="D185" s="200"/>
      <c r="E185" s="345"/>
      <c r="F185" s="201" t="s">
        <v>1813</v>
      </c>
      <c r="G185" s="342"/>
      <c r="H185" s="199" t="s">
        <v>1813</v>
      </c>
      <c r="I185" s="200"/>
      <c r="J185" s="200"/>
      <c r="K185" s="345"/>
      <c r="L185" s="201" t="s">
        <v>1813</v>
      </c>
    </row>
    <row r="186" spans="1:12" ht="15.75" thickBot="1">
      <c r="A186" s="342"/>
      <c r="B186" s="199" t="s">
        <v>1814</v>
      </c>
      <c r="C186" s="200"/>
      <c r="D186" s="200"/>
      <c r="E186" s="345"/>
      <c r="F186" s="201" t="s">
        <v>1814</v>
      </c>
      <c r="G186" s="342"/>
      <c r="H186" s="199" t="s">
        <v>1814</v>
      </c>
      <c r="I186" s="200"/>
      <c r="J186" s="200"/>
      <c r="K186" s="345"/>
      <c r="L186" s="201" t="s">
        <v>1814</v>
      </c>
    </row>
    <row r="187" spans="1:12" ht="26.25" thickBot="1">
      <c r="A187" s="342"/>
      <c r="B187" s="199" t="s">
        <v>1815</v>
      </c>
      <c r="C187" s="200"/>
      <c r="D187" s="200"/>
      <c r="E187" s="345"/>
      <c r="F187" s="201" t="s">
        <v>1816</v>
      </c>
      <c r="G187" s="342"/>
      <c r="H187" s="199" t="s">
        <v>1815</v>
      </c>
      <c r="I187" s="200"/>
      <c r="J187" s="200"/>
      <c r="K187" s="345"/>
      <c r="L187" s="201" t="s">
        <v>1816</v>
      </c>
    </row>
    <row r="188" spans="1:12" ht="15.75" thickBot="1">
      <c r="A188" s="343"/>
      <c r="B188" s="199" t="s">
        <v>1817</v>
      </c>
      <c r="C188" s="200"/>
      <c r="D188" s="200"/>
      <c r="E188" s="346"/>
      <c r="F188" s="201" t="s">
        <v>1818</v>
      </c>
      <c r="G188" s="343"/>
      <c r="H188" s="199" t="s">
        <v>1817</v>
      </c>
      <c r="I188" s="200"/>
      <c r="J188" s="200"/>
      <c r="K188" s="346"/>
      <c r="L188" s="201" t="s">
        <v>1818</v>
      </c>
    </row>
    <row r="189" spans="1:12" ht="15.75" thickBot="1">
      <c r="A189" s="341" t="s">
        <v>2123</v>
      </c>
      <c r="B189" s="199" t="s">
        <v>1803</v>
      </c>
      <c r="C189" s="200"/>
      <c r="D189" s="200"/>
      <c r="E189" s="344" t="s">
        <v>2123</v>
      </c>
      <c r="F189" s="201" t="s">
        <v>1803</v>
      </c>
      <c r="G189" s="341" t="s">
        <v>2123</v>
      </c>
      <c r="H189" s="199" t="s">
        <v>1803</v>
      </c>
      <c r="I189" s="200"/>
      <c r="J189" s="200"/>
      <c r="K189" s="344" t="s">
        <v>2123</v>
      </c>
      <c r="L189" s="201" t="s">
        <v>1803</v>
      </c>
    </row>
    <row r="190" spans="1:12" ht="15.75" thickBot="1">
      <c r="A190" s="342"/>
      <c r="B190" s="199" t="s">
        <v>1805</v>
      </c>
      <c r="C190" s="200"/>
      <c r="D190" s="200"/>
      <c r="E190" s="345"/>
      <c r="F190" s="201" t="s">
        <v>1805</v>
      </c>
      <c r="G190" s="342"/>
      <c r="H190" s="199" t="s">
        <v>1805</v>
      </c>
      <c r="I190" s="200"/>
      <c r="J190" s="200"/>
      <c r="K190" s="345"/>
      <c r="L190" s="201" t="s">
        <v>1805</v>
      </c>
    </row>
    <row r="191" spans="1:12" ht="15.75" thickBot="1">
      <c r="A191" s="342"/>
      <c r="B191" s="199" t="s">
        <v>1806</v>
      </c>
      <c r="C191" s="200"/>
      <c r="D191" s="200"/>
      <c r="E191" s="345"/>
      <c r="F191" s="201" t="s">
        <v>1806</v>
      </c>
      <c r="G191" s="342"/>
      <c r="H191" s="199" t="s">
        <v>1806</v>
      </c>
      <c r="I191" s="200"/>
      <c r="J191" s="200"/>
      <c r="K191" s="345"/>
      <c r="L191" s="201" t="s">
        <v>1806</v>
      </c>
    </row>
    <row r="192" spans="1:12" ht="15.75" thickBot="1">
      <c r="A192" s="342"/>
      <c r="B192" s="199" t="s">
        <v>1807</v>
      </c>
      <c r="C192" s="200"/>
      <c r="D192" s="200"/>
      <c r="E192" s="345"/>
      <c r="F192" s="201" t="s">
        <v>1807</v>
      </c>
      <c r="G192" s="342"/>
      <c r="H192" s="199" t="s">
        <v>1807</v>
      </c>
      <c r="I192" s="200"/>
      <c r="J192" s="200"/>
      <c r="K192" s="345"/>
      <c r="L192" s="201" t="s">
        <v>1807</v>
      </c>
    </row>
    <row r="193" spans="1:12" ht="15.75" thickBot="1">
      <c r="A193" s="342"/>
      <c r="B193" s="199" t="s">
        <v>1808</v>
      </c>
      <c r="C193" s="200"/>
      <c r="D193" s="200"/>
      <c r="E193" s="345"/>
      <c r="F193" s="201" t="s">
        <v>1808</v>
      </c>
      <c r="G193" s="342"/>
      <c r="H193" s="199" t="s">
        <v>1808</v>
      </c>
      <c r="I193" s="200"/>
      <c r="J193" s="200"/>
      <c r="K193" s="345"/>
      <c r="L193" s="201" t="s">
        <v>1808</v>
      </c>
    </row>
    <row r="194" spans="1:12" ht="15.75" thickBot="1">
      <c r="A194" s="342"/>
      <c r="B194" s="199" t="s">
        <v>1809</v>
      </c>
      <c r="C194" s="200"/>
      <c r="D194" s="200"/>
      <c r="E194" s="345"/>
      <c r="F194" s="201" t="s">
        <v>1809</v>
      </c>
      <c r="G194" s="342"/>
      <c r="H194" s="199" t="s">
        <v>1809</v>
      </c>
      <c r="I194" s="200"/>
      <c r="J194" s="200"/>
      <c r="K194" s="345"/>
      <c r="L194" s="201" t="s">
        <v>1809</v>
      </c>
    </row>
    <row r="195" spans="1:12" ht="15.75" thickBot="1">
      <c r="A195" s="342"/>
      <c r="B195" s="199" t="s">
        <v>1810</v>
      </c>
      <c r="C195" s="200"/>
      <c r="D195" s="200"/>
      <c r="E195" s="345"/>
      <c r="F195" s="201" t="s">
        <v>1810</v>
      </c>
      <c r="G195" s="342"/>
      <c r="H195" s="199" t="s">
        <v>1810</v>
      </c>
      <c r="I195" s="200"/>
      <c r="J195" s="200"/>
      <c r="K195" s="345"/>
      <c r="L195" s="201" t="s">
        <v>1810</v>
      </c>
    </row>
    <row r="196" spans="1:12" ht="15.75" thickBot="1">
      <c r="A196" s="342"/>
      <c r="B196" s="199" t="s">
        <v>1811</v>
      </c>
      <c r="C196" s="200"/>
      <c r="D196" s="200"/>
      <c r="E196" s="345"/>
      <c r="F196" s="201" t="s">
        <v>1811</v>
      </c>
      <c r="G196" s="342"/>
      <c r="H196" s="199" t="s">
        <v>1811</v>
      </c>
      <c r="I196" s="200"/>
      <c r="J196" s="200"/>
      <c r="K196" s="345"/>
      <c r="L196" s="201" t="s">
        <v>1811</v>
      </c>
    </row>
    <row r="197" spans="1:12" ht="15.75" thickBot="1">
      <c r="A197" s="342"/>
      <c r="B197" s="199" t="s">
        <v>1812</v>
      </c>
      <c r="C197" s="200"/>
      <c r="D197" s="200"/>
      <c r="E197" s="345"/>
      <c r="F197" s="201" t="s">
        <v>1812</v>
      </c>
      <c r="G197" s="342"/>
      <c r="H197" s="199" t="s">
        <v>1812</v>
      </c>
      <c r="I197" s="200"/>
      <c r="J197" s="200"/>
      <c r="K197" s="345"/>
      <c r="L197" s="201" t="s">
        <v>1812</v>
      </c>
    </row>
    <row r="198" spans="1:12" ht="15.75" thickBot="1">
      <c r="A198" s="342"/>
      <c r="B198" s="199" t="s">
        <v>1813</v>
      </c>
      <c r="C198" s="200"/>
      <c r="D198" s="200"/>
      <c r="E198" s="345"/>
      <c r="F198" s="201" t="s">
        <v>1813</v>
      </c>
      <c r="G198" s="342"/>
      <c r="H198" s="199" t="s">
        <v>1813</v>
      </c>
      <c r="I198" s="200"/>
      <c r="J198" s="200"/>
      <c r="K198" s="345"/>
      <c r="L198" s="201" t="s">
        <v>1813</v>
      </c>
    </row>
    <row r="199" spans="1:12" ht="15.75" thickBot="1">
      <c r="A199" s="342"/>
      <c r="B199" s="199" t="s">
        <v>1814</v>
      </c>
      <c r="C199" s="200"/>
      <c r="D199" s="200"/>
      <c r="E199" s="345"/>
      <c r="F199" s="201" t="s">
        <v>1814</v>
      </c>
      <c r="G199" s="342"/>
      <c r="H199" s="199" t="s">
        <v>1814</v>
      </c>
      <c r="I199" s="200"/>
      <c r="J199" s="200"/>
      <c r="K199" s="345"/>
      <c r="L199" s="201" t="s">
        <v>1814</v>
      </c>
    </row>
    <row r="200" spans="1:12" ht="26.25" thickBot="1">
      <c r="A200" s="342"/>
      <c r="B200" s="199" t="s">
        <v>1815</v>
      </c>
      <c r="C200" s="200"/>
      <c r="D200" s="200"/>
      <c r="E200" s="345"/>
      <c r="F200" s="201" t="s">
        <v>1816</v>
      </c>
      <c r="G200" s="342"/>
      <c r="H200" s="199" t="s">
        <v>1815</v>
      </c>
      <c r="I200" s="200"/>
      <c r="J200" s="200"/>
      <c r="K200" s="345"/>
      <c r="L200" s="201" t="s">
        <v>1816</v>
      </c>
    </row>
    <row r="201" spans="1:12" ht="15.75" thickBot="1">
      <c r="A201" s="343"/>
      <c r="B201" s="199" t="s">
        <v>1817</v>
      </c>
      <c r="C201" s="200"/>
      <c r="D201" s="200"/>
      <c r="E201" s="346"/>
      <c r="F201" s="201" t="s">
        <v>1818</v>
      </c>
      <c r="G201" s="343"/>
      <c r="H201" s="199" t="s">
        <v>1817</v>
      </c>
      <c r="I201" s="200"/>
      <c r="J201" s="200"/>
      <c r="K201" s="346"/>
      <c r="L201" s="201" t="s">
        <v>1818</v>
      </c>
    </row>
    <row r="202" spans="1:12" ht="15.75" thickBot="1">
      <c r="A202" s="341" t="s">
        <v>2124</v>
      </c>
      <c r="B202" s="199" t="s">
        <v>1803</v>
      </c>
      <c r="C202" s="200"/>
      <c r="D202" s="200"/>
      <c r="E202" s="344" t="s">
        <v>2124</v>
      </c>
      <c r="F202" s="201" t="s">
        <v>1803</v>
      </c>
      <c r="G202" s="341" t="s">
        <v>2124</v>
      </c>
      <c r="H202" s="199" t="s">
        <v>1803</v>
      </c>
      <c r="I202" s="200"/>
      <c r="J202" s="200"/>
      <c r="K202" s="344" t="s">
        <v>2124</v>
      </c>
      <c r="L202" s="201" t="s">
        <v>1803</v>
      </c>
    </row>
    <row r="203" spans="1:12" ht="15.75" thickBot="1">
      <c r="A203" s="342"/>
      <c r="B203" s="199" t="s">
        <v>1805</v>
      </c>
      <c r="C203" s="200"/>
      <c r="D203" s="200"/>
      <c r="E203" s="345"/>
      <c r="F203" s="201" t="s">
        <v>1805</v>
      </c>
      <c r="G203" s="342"/>
      <c r="H203" s="199" t="s">
        <v>1805</v>
      </c>
      <c r="I203" s="200"/>
      <c r="J203" s="200"/>
      <c r="K203" s="345"/>
      <c r="L203" s="201" t="s">
        <v>1805</v>
      </c>
    </row>
    <row r="204" spans="1:12" ht="15.75" thickBot="1">
      <c r="A204" s="342"/>
      <c r="B204" s="199" t="s">
        <v>1806</v>
      </c>
      <c r="C204" s="200"/>
      <c r="D204" s="200"/>
      <c r="E204" s="345"/>
      <c r="F204" s="201" t="s">
        <v>1806</v>
      </c>
      <c r="G204" s="342"/>
      <c r="H204" s="199" t="s">
        <v>1806</v>
      </c>
      <c r="I204" s="200"/>
      <c r="J204" s="200"/>
      <c r="K204" s="345"/>
      <c r="L204" s="201" t="s">
        <v>1806</v>
      </c>
    </row>
    <row r="205" spans="1:12" ht="15.75" thickBot="1">
      <c r="A205" s="342"/>
      <c r="B205" s="199" t="s">
        <v>1807</v>
      </c>
      <c r="C205" s="200"/>
      <c r="D205" s="200"/>
      <c r="E205" s="345"/>
      <c r="F205" s="201" t="s">
        <v>1807</v>
      </c>
      <c r="G205" s="342"/>
      <c r="H205" s="199" t="s">
        <v>1807</v>
      </c>
      <c r="I205" s="200"/>
      <c r="J205" s="200"/>
      <c r="K205" s="345"/>
      <c r="L205" s="201" t="s">
        <v>1807</v>
      </c>
    </row>
    <row r="206" spans="1:12" ht="15.75" thickBot="1">
      <c r="A206" s="342"/>
      <c r="B206" s="199" t="s">
        <v>1808</v>
      </c>
      <c r="C206" s="200"/>
      <c r="D206" s="200"/>
      <c r="E206" s="345"/>
      <c r="F206" s="201" t="s">
        <v>1808</v>
      </c>
      <c r="G206" s="342"/>
      <c r="H206" s="199" t="s">
        <v>1808</v>
      </c>
      <c r="I206" s="200"/>
      <c r="J206" s="200"/>
      <c r="K206" s="345"/>
      <c r="L206" s="201" t="s">
        <v>1808</v>
      </c>
    </row>
    <row r="207" spans="1:12" ht="15.75" thickBot="1">
      <c r="A207" s="342"/>
      <c r="B207" s="199" t="s">
        <v>1809</v>
      </c>
      <c r="C207" s="200"/>
      <c r="D207" s="200"/>
      <c r="E207" s="345"/>
      <c r="F207" s="201" t="s">
        <v>1809</v>
      </c>
      <c r="G207" s="342"/>
      <c r="H207" s="199" t="s">
        <v>1809</v>
      </c>
      <c r="I207" s="200"/>
      <c r="J207" s="200"/>
      <c r="K207" s="345"/>
      <c r="L207" s="201" t="s">
        <v>1809</v>
      </c>
    </row>
    <row r="208" spans="1:12" ht="15.75" thickBot="1">
      <c r="A208" s="342"/>
      <c r="B208" s="199" t="s">
        <v>1810</v>
      </c>
      <c r="C208" s="200"/>
      <c r="D208" s="200"/>
      <c r="E208" s="345"/>
      <c r="F208" s="201" t="s">
        <v>1810</v>
      </c>
      <c r="G208" s="342"/>
      <c r="H208" s="199" t="s">
        <v>1810</v>
      </c>
      <c r="I208" s="200"/>
      <c r="J208" s="200"/>
      <c r="K208" s="345"/>
      <c r="L208" s="201" t="s">
        <v>1810</v>
      </c>
    </row>
    <row r="209" spans="1:12" ht="15.75" thickBot="1">
      <c r="A209" s="342"/>
      <c r="B209" s="199" t="s">
        <v>1811</v>
      </c>
      <c r="C209" s="200"/>
      <c r="D209" s="200"/>
      <c r="E209" s="345"/>
      <c r="F209" s="201" t="s">
        <v>1811</v>
      </c>
      <c r="G209" s="342"/>
      <c r="H209" s="199" t="s">
        <v>1811</v>
      </c>
      <c r="I209" s="200"/>
      <c r="J209" s="200"/>
      <c r="K209" s="345"/>
      <c r="L209" s="201" t="s">
        <v>1811</v>
      </c>
    </row>
    <row r="210" spans="1:12" ht="15.75" thickBot="1">
      <c r="A210" s="342"/>
      <c r="B210" s="199" t="s">
        <v>1812</v>
      </c>
      <c r="C210" s="200"/>
      <c r="D210" s="200"/>
      <c r="E210" s="345"/>
      <c r="F210" s="201" t="s">
        <v>1812</v>
      </c>
      <c r="G210" s="342"/>
      <c r="H210" s="199" t="s">
        <v>1812</v>
      </c>
      <c r="I210" s="200"/>
      <c r="J210" s="200"/>
      <c r="K210" s="345"/>
      <c r="L210" s="201" t="s">
        <v>1812</v>
      </c>
    </row>
    <row r="211" spans="1:12" ht="15.75" thickBot="1">
      <c r="A211" s="342"/>
      <c r="B211" s="199" t="s">
        <v>1813</v>
      </c>
      <c r="C211" s="200"/>
      <c r="D211" s="200"/>
      <c r="E211" s="345"/>
      <c r="F211" s="201" t="s">
        <v>1813</v>
      </c>
      <c r="G211" s="342"/>
      <c r="H211" s="199" t="s">
        <v>1813</v>
      </c>
      <c r="I211" s="200"/>
      <c r="J211" s="200"/>
      <c r="K211" s="345"/>
      <c r="L211" s="201" t="s">
        <v>1813</v>
      </c>
    </row>
    <row r="212" spans="1:12" ht="15.75" thickBot="1">
      <c r="A212" s="342"/>
      <c r="B212" s="199" t="s">
        <v>1814</v>
      </c>
      <c r="C212" s="200"/>
      <c r="D212" s="200"/>
      <c r="E212" s="345"/>
      <c r="F212" s="201" t="s">
        <v>1814</v>
      </c>
      <c r="G212" s="342"/>
      <c r="H212" s="199" t="s">
        <v>1814</v>
      </c>
      <c r="I212" s="200"/>
      <c r="J212" s="200"/>
      <c r="K212" s="345"/>
      <c r="L212" s="201" t="s">
        <v>1814</v>
      </c>
    </row>
    <row r="213" spans="1:12" ht="26.25" thickBot="1">
      <c r="A213" s="342"/>
      <c r="B213" s="199" t="s">
        <v>1815</v>
      </c>
      <c r="C213" s="200"/>
      <c r="D213" s="200"/>
      <c r="E213" s="345"/>
      <c r="F213" s="201" t="s">
        <v>1816</v>
      </c>
      <c r="G213" s="342"/>
      <c r="H213" s="199" t="s">
        <v>1815</v>
      </c>
      <c r="I213" s="200"/>
      <c r="J213" s="200"/>
      <c r="K213" s="345"/>
      <c r="L213" s="201" t="s">
        <v>1816</v>
      </c>
    </row>
    <row r="214" spans="1:12" ht="15.75" thickBot="1">
      <c r="A214" s="343"/>
      <c r="B214" s="199" t="s">
        <v>1817</v>
      </c>
      <c r="C214" s="200"/>
      <c r="D214" s="200"/>
      <c r="E214" s="346"/>
      <c r="F214" s="201" t="s">
        <v>1818</v>
      </c>
      <c r="G214" s="343"/>
      <c r="H214" s="199" t="s">
        <v>1817</v>
      </c>
      <c r="I214" s="200"/>
      <c r="J214" s="200"/>
      <c r="K214" s="346"/>
      <c r="L214" s="201" t="s">
        <v>1818</v>
      </c>
    </row>
    <row r="215" spans="1:12" ht="15.75" thickBot="1">
      <c r="A215" s="341" t="s">
        <v>2125</v>
      </c>
      <c r="B215" s="199" t="s">
        <v>1803</v>
      </c>
      <c r="C215" s="200"/>
      <c r="D215" s="200"/>
      <c r="E215" s="344" t="s">
        <v>2125</v>
      </c>
      <c r="F215" s="201" t="s">
        <v>1803</v>
      </c>
      <c r="G215" s="341" t="s">
        <v>2125</v>
      </c>
      <c r="H215" s="199" t="s">
        <v>1803</v>
      </c>
      <c r="I215" s="200"/>
      <c r="J215" s="200"/>
      <c r="K215" s="344" t="s">
        <v>2125</v>
      </c>
      <c r="L215" s="201" t="s">
        <v>1803</v>
      </c>
    </row>
    <row r="216" spans="1:12" ht="15.75" thickBot="1">
      <c r="A216" s="342"/>
      <c r="B216" s="199" t="s">
        <v>1805</v>
      </c>
      <c r="C216" s="200"/>
      <c r="D216" s="200"/>
      <c r="E216" s="345"/>
      <c r="F216" s="201" t="s">
        <v>1805</v>
      </c>
      <c r="G216" s="342"/>
      <c r="H216" s="199" t="s">
        <v>1805</v>
      </c>
      <c r="I216" s="200"/>
      <c r="J216" s="200"/>
      <c r="K216" s="345"/>
      <c r="L216" s="201" t="s">
        <v>1805</v>
      </c>
    </row>
    <row r="217" spans="1:12" ht="15.75" thickBot="1">
      <c r="A217" s="342"/>
      <c r="B217" s="199" t="s">
        <v>1806</v>
      </c>
      <c r="C217" s="200"/>
      <c r="D217" s="200"/>
      <c r="E217" s="345"/>
      <c r="F217" s="201" t="s">
        <v>1806</v>
      </c>
      <c r="G217" s="342"/>
      <c r="H217" s="199" t="s">
        <v>1806</v>
      </c>
      <c r="I217" s="200"/>
      <c r="J217" s="200"/>
      <c r="K217" s="345"/>
      <c r="L217" s="201" t="s">
        <v>1806</v>
      </c>
    </row>
    <row r="218" spans="1:12" ht="15.75" thickBot="1">
      <c r="A218" s="342"/>
      <c r="B218" s="199" t="s">
        <v>1807</v>
      </c>
      <c r="C218" s="200"/>
      <c r="D218" s="200"/>
      <c r="E218" s="345"/>
      <c r="F218" s="201" t="s">
        <v>1807</v>
      </c>
      <c r="G218" s="342"/>
      <c r="H218" s="199" t="s">
        <v>1807</v>
      </c>
      <c r="I218" s="200"/>
      <c r="J218" s="200"/>
      <c r="K218" s="345"/>
      <c r="L218" s="201" t="s">
        <v>1807</v>
      </c>
    </row>
    <row r="219" spans="1:12" ht="15.75" thickBot="1">
      <c r="A219" s="342"/>
      <c r="B219" s="199" t="s">
        <v>1808</v>
      </c>
      <c r="C219" s="200"/>
      <c r="D219" s="200"/>
      <c r="E219" s="345"/>
      <c r="F219" s="201" t="s">
        <v>1808</v>
      </c>
      <c r="G219" s="342"/>
      <c r="H219" s="199" t="s">
        <v>1808</v>
      </c>
      <c r="I219" s="200"/>
      <c r="J219" s="200"/>
      <c r="K219" s="345"/>
      <c r="L219" s="201" t="s">
        <v>1808</v>
      </c>
    </row>
    <row r="220" spans="1:12" ht="15.75" thickBot="1">
      <c r="A220" s="342"/>
      <c r="B220" s="199" t="s">
        <v>1809</v>
      </c>
      <c r="C220" s="200"/>
      <c r="D220" s="200"/>
      <c r="E220" s="345"/>
      <c r="F220" s="201" t="s">
        <v>1809</v>
      </c>
      <c r="G220" s="342"/>
      <c r="H220" s="199" t="s">
        <v>1809</v>
      </c>
      <c r="I220" s="200"/>
      <c r="J220" s="200"/>
      <c r="K220" s="345"/>
      <c r="L220" s="201" t="s">
        <v>1809</v>
      </c>
    </row>
    <row r="221" spans="1:12" ht="15.75" thickBot="1">
      <c r="A221" s="342"/>
      <c r="B221" s="199" t="s">
        <v>1810</v>
      </c>
      <c r="C221" s="200"/>
      <c r="D221" s="200"/>
      <c r="E221" s="345"/>
      <c r="F221" s="201" t="s">
        <v>1810</v>
      </c>
      <c r="G221" s="342"/>
      <c r="H221" s="199" t="s">
        <v>1810</v>
      </c>
      <c r="I221" s="200"/>
      <c r="J221" s="200"/>
      <c r="K221" s="345"/>
      <c r="L221" s="201" t="s">
        <v>1810</v>
      </c>
    </row>
    <row r="222" spans="1:12" ht="15.75" thickBot="1">
      <c r="A222" s="342"/>
      <c r="B222" s="199" t="s">
        <v>1811</v>
      </c>
      <c r="C222" s="200"/>
      <c r="D222" s="200"/>
      <c r="E222" s="345"/>
      <c r="F222" s="201" t="s">
        <v>1811</v>
      </c>
      <c r="G222" s="342"/>
      <c r="H222" s="199" t="s">
        <v>1811</v>
      </c>
      <c r="I222" s="200"/>
      <c r="J222" s="200"/>
      <c r="K222" s="345"/>
      <c r="L222" s="201" t="s">
        <v>1811</v>
      </c>
    </row>
    <row r="223" spans="1:12" ht="15.75" thickBot="1">
      <c r="A223" s="342"/>
      <c r="B223" s="199" t="s">
        <v>1812</v>
      </c>
      <c r="C223" s="200"/>
      <c r="D223" s="200"/>
      <c r="E223" s="345"/>
      <c r="F223" s="201" t="s">
        <v>1812</v>
      </c>
      <c r="G223" s="342"/>
      <c r="H223" s="199" t="s">
        <v>1812</v>
      </c>
      <c r="I223" s="200"/>
      <c r="J223" s="200"/>
      <c r="K223" s="345"/>
      <c r="L223" s="201" t="s">
        <v>1812</v>
      </c>
    </row>
    <row r="224" spans="1:12" ht="15.75" thickBot="1">
      <c r="A224" s="342"/>
      <c r="B224" s="199" t="s">
        <v>1813</v>
      </c>
      <c r="C224" s="200"/>
      <c r="D224" s="200"/>
      <c r="E224" s="345"/>
      <c r="F224" s="201" t="s">
        <v>1813</v>
      </c>
      <c r="G224" s="342"/>
      <c r="H224" s="199" t="s">
        <v>1813</v>
      </c>
      <c r="I224" s="200"/>
      <c r="J224" s="200"/>
      <c r="K224" s="345"/>
      <c r="L224" s="201" t="s">
        <v>1813</v>
      </c>
    </row>
    <row r="225" spans="1:12" ht="15.75" thickBot="1">
      <c r="A225" s="342"/>
      <c r="B225" s="199" t="s">
        <v>1814</v>
      </c>
      <c r="C225" s="200"/>
      <c r="D225" s="200"/>
      <c r="E225" s="345"/>
      <c r="F225" s="201" t="s">
        <v>1814</v>
      </c>
      <c r="G225" s="342"/>
      <c r="H225" s="199" t="s">
        <v>1814</v>
      </c>
      <c r="I225" s="200"/>
      <c r="J225" s="200"/>
      <c r="K225" s="345"/>
      <c r="L225" s="201" t="s">
        <v>1814</v>
      </c>
    </row>
    <row r="226" spans="1:12" ht="26.25" thickBot="1">
      <c r="A226" s="342"/>
      <c r="B226" s="199" t="s">
        <v>1815</v>
      </c>
      <c r="C226" s="200"/>
      <c r="D226" s="200"/>
      <c r="E226" s="345"/>
      <c r="F226" s="201" t="s">
        <v>1816</v>
      </c>
      <c r="G226" s="342"/>
      <c r="H226" s="199" t="s">
        <v>1815</v>
      </c>
      <c r="I226" s="200"/>
      <c r="J226" s="200"/>
      <c r="K226" s="345"/>
      <c r="L226" s="201" t="s">
        <v>1816</v>
      </c>
    </row>
    <row r="227" spans="1:12" ht="15.75" thickBot="1">
      <c r="A227" s="343"/>
      <c r="B227" s="199" t="s">
        <v>1817</v>
      </c>
      <c r="C227" s="200"/>
      <c r="D227" s="200"/>
      <c r="E227" s="346"/>
      <c r="F227" s="201" t="s">
        <v>1818</v>
      </c>
      <c r="G227" s="343"/>
      <c r="H227" s="199" t="s">
        <v>1817</v>
      </c>
      <c r="I227" s="200"/>
      <c r="J227" s="200"/>
      <c r="K227" s="346"/>
      <c r="L227" s="201" t="s">
        <v>1818</v>
      </c>
    </row>
    <row r="228" spans="1:12" ht="15.75" thickBot="1">
      <c r="A228" s="341" t="s">
        <v>2126</v>
      </c>
      <c r="B228" s="199" t="s">
        <v>1803</v>
      </c>
      <c r="C228" s="200"/>
      <c r="D228" s="200"/>
      <c r="E228" s="344" t="s">
        <v>2126</v>
      </c>
      <c r="F228" s="201" t="s">
        <v>1803</v>
      </c>
      <c r="G228" s="341" t="s">
        <v>2126</v>
      </c>
      <c r="H228" s="199" t="s">
        <v>1803</v>
      </c>
      <c r="I228" s="200"/>
      <c r="J228" s="200"/>
      <c r="K228" s="344" t="s">
        <v>2126</v>
      </c>
      <c r="L228" s="201" t="s">
        <v>1803</v>
      </c>
    </row>
    <row r="229" spans="1:12" ht="15.75" thickBot="1">
      <c r="A229" s="342"/>
      <c r="B229" s="199" t="s">
        <v>1805</v>
      </c>
      <c r="C229" s="200"/>
      <c r="D229" s="200"/>
      <c r="E229" s="345"/>
      <c r="F229" s="201" t="s">
        <v>1805</v>
      </c>
      <c r="G229" s="342"/>
      <c r="H229" s="199" t="s">
        <v>1805</v>
      </c>
      <c r="I229" s="200"/>
      <c r="J229" s="200"/>
      <c r="K229" s="345"/>
      <c r="L229" s="201" t="s">
        <v>1805</v>
      </c>
    </row>
    <row r="230" spans="1:12" ht="15.75" thickBot="1">
      <c r="A230" s="342"/>
      <c r="B230" s="199" t="s">
        <v>1806</v>
      </c>
      <c r="C230" s="200"/>
      <c r="D230" s="200"/>
      <c r="E230" s="345"/>
      <c r="F230" s="201" t="s">
        <v>1806</v>
      </c>
      <c r="G230" s="342"/>
      <c r="H230" s="199" t="s">
        <v>1806</v>
      </c>
      <c r="I230" s="200"/>
      <c r="J230" s="200"/>
      <c r="K230" s="345"/>
      <c r="L230" s="201" t="s">
        <v>1806</v>
      </c>
    </row>
    <row r="231" spans="1:12" ht="15.75" thickBot="1">
      <c r="A231" s="342"/>
      <c r="B231" s="199" t="s">
        <v>1807</v>
      </c>
      <c r="C231" s="200"/>
      <c r="D231" s="200"/>
      <c r="E231" s="345"/>
      <c r="F231" s="201" t="s">
        <v>1807</v>
      </c>
      <c r="G231" s="342"/>
      <c r="H231" s="199" t="s">
        <v>1807</v>
      </c>
      <c r="I231" s="200"/>
      <c r="J231" s="200"/>
      <c r="K231" s="345"/>
      <c r="L231" s="201" t="s">
        <v>1807</v>
      </c>
    </row>
    <row r="232" spans="1:12" ht="15.75" thickBot="1">
      <c r="A232" s="342"/>
      <c r="B232" s="199" t="s">
        <v>1808</v>
      </c>
      <c r="C232" s="200"/>
      <c r="D232" s="200"/>
      <c r="E232" s="345"/>
      <c r="F232" s="201" t="s">
        <v>1808</v>
      </c>
      <c r="G232" s="342"/>
      <c r="H232" s="199" t="s">
        <v>1808</v>
      </c>
      <c r="I232" s="200"/>
      <c r="J232" s="200"/>
      <c r="K232" s="345"/>
      <c r="L232" s="201" t="s">
        <v>1808</v>
      </c>
    </row>
    <row r="233" spans="1:12" ht="15.75" thickBot="1">
      <c r="A233" s="342"/>
      <c r="B233" s="199" t="s">
        <v>1809</v>
      </c>
      <c r="C233" s="200"/>
      <c r="D233" s="200"/>
      <c r="E233" s="345"/>
      <c r="F233" s="201" t="s">
        <v>1809</v>
      </c>
      <c r="G233" s="342"/>
      <c r="H233" s="199" t="s">
        <v>1809</v>
      </c>
      <c r="I233" s="200"/>
      <c r="J233" s="200"/>
      <c r="K233" s="345"/>
      <c r="L233" s="201" t="s">
        <v>1809</v>
      </c>
    </row>
    <row r="234" spans="1:12" ht="15.75" thickBot="1">
      <c r="A234" s="342"/>
      <c r="B234" s="199" t="s">
        <v>1810</v>
      </c>
      <c r="C234" s="200"/>
      <c r="D234" s="200"/>
      <c r="E234" s="345"/>
      <c r="F234" s="201" t="s">
        <v>1810</v>
      </c>
      <c r="G234" s="342"/>
      <c r="H234" s="199" t="s">
        <v>1810</v>
      </c>
      <c r="I234" s="200"/>
      <c r="J234" s="200"/>
      <c r="K234" s="345"/>
      <c r="L234" s="201" t="s">
        <v>1810</v>
      </c>
    </row>
    <row r="235" spans="1:12" ht="15.75" thickBot="1">
      <c r="A235" s="342"/>
      <c r="B235" s="199" t="s">
        <v>1811</v>
      </c>
      <c r="C235" s="200"/>
      <c r="D235" s="200"/>
      <c r="E235" s="345"/>
      <c r="F235" s="201" t="s">
        <v>1811</v>
      </c>
      <c r="G235" s="342"/>
      <c r="H235" s="199" t="s">
        <v>1811</v>
      </c>
      <c r="I235" s="200"/>
      <c r="J235" s="200"/>
      <c r="K235" s="345"/>
      <c r="L235" s="201" t="s">
        <v>1811</v>
      </c>
    </row>
    <row r="236" spans="1:12" ht="15.75" thickBot="1">
      <c r="A236" s="342"/>
      <c r="B236" s="199" t="s">
        <v>1812</v>
      </c>
      <c r="C236" s="200"/>
      <c r="D236" s="200"/>
      <c r="E236" s="345"/>
      <c r="F236" s="201" t="s">
        <v>1812</v>
      </c>
      <c r="G236" s="342"/>
      <c r="H236" s="199" t="s">
        <v>1812</v>
      </c>
      <c r="I236" s="200"/>
      <c r="J236" s="200"/>
      <c r="K236" s="345"/>
      <c r="L236" s="201" t="s">
        <v>1812</v>
      </c>
    </row>
    <row r="237" spans="1:12" ht="15.75" thickBot="1">
      <c r="A237" s="342"/>
      <c r="B237" s="199" t="s">
        <v>1813</v>
      </c>
      <c r="C237" s="200"/>
      <c r="D237" s="200"/>
      <c r="E237" s="345"/>
      <c r="F237" s="201" t="s">
        <v>1813</v>
      </c>
      <c r="G237" s="342"/>
      <c r="H237" s="199" t="s">
        <v>1813</v>
      </c>
      <c r="I237" s="200"/>
      <c r="J237" s="200"/>
      <c r="K237" s="345"/>
      <c r="L237" s="201" t="s">
        <v>1813</v>
      </c>
    </row>
    <row r="238" spans="1:12" ht="15.75" thickBot="1">
      <c r="A238" s="342"/>
      <c r="B238" s="199" t="s">
        <v>1814</v>
      </c>
      <c r="C238" s="200"/>
      <c r="D238" s="200"/>
      <c r="E238" s="345"/>
      <c r="F238" s="201" t="s">
        <v>1814</v>
      </c>
      <c r="G238" s="342"/>
      <c r="H238" s="199" t="s">
        <v>1814</v>
      </c>
      <c r="I238" s="200"/>
      <c r="J238" s="200"/>
      <c r="K238" s="345"/>
      <c r="L238" s="201" t="s">
        <v>1814</v>
      </c>
    </row>
    <row r="239" spans="1:12" ht="26.25" thickBot="1">
      <c r="A239" s="342"/>
      <c r="B239" s="199" t="s">
        <v>1815</v>
      </c>
      <c r="C239" s="200"/>
      <c r="D239" s="200"/>
      <c r="E239" s="345"/>
      <c r="F239" s="201" t="s">
        <v>1816</v>
      </c>
      <c r="G239" s="342"/>
      <c r="H239" s="199" t="s">
        <v>1815</v>
      </c>
      <c r="I239" s="200"/>
      <c r="J239" s="200"/>
      <c r="K239" s="345"/>
      <c r="L239" s="201" t="s">
        <v>1816</v>
      </c>
    </row>
    <row r="240" spans="1:12" ht="15.75" thickBot="1">
      <c r="A240" s="343"/>
      <c r="B240" s="199" t="s">
        <v>1817</v>
      </c>
      <c r="C240" s="200"/>
      <c r="D240" s="200"/>
      <c r="E240" s="346"/>
      <c r="F240" s="201" t="s">
        <v>1818</v>
      </c>
      <c r="G240" s="343"/>
      <c r="H240" s="199" t="s">
        <v>1817</v>
      </c>
      <c r="I240" s="200"/>
      <c r="J240" s="200"/>
      <c r="K240" s="346"/>
      <c r="L240" s="201" t="s">
        <v>1818</v>
      </c>
    </row>
    <row r="241" spans="1:12" ht="15.75" thickBot="1">
      <c r="A241" s="341" t="s">
        <v>2127</v>
      </c>
      <c r="B241" s="199" t="s">
        <v>1803</v>
      </c>
      <c r="C241" s="200"/>
      <c r="D241" s="200"/>
      <c r="E241" s="344" t="s">
        <v>2127</v>
      </c>
      <c r="F241" s="201" t="s">
        <v>1803</v>
      </c>
      <c r="G241" s="341" t="s">
        <v>2127</v>
      </c>
      <c r="H241" s="199" t="s">
        <v>1803</v>
      </c>
      <c r="I241" s="200"/>
      <c r="J241" s="200"/>
      <c r="K241" s="344" t="s">
        <v>2127</v>
      </c>
      <c r="L241" s="201" t="s">
        <v>1803</v>
      </c>
    </row>
    <row r="242" spans="1:12" ht="15.75" thickBot="1">
      <c r="A242" s="342"/>
      <c r="B242" s="199" t="s">
        <v>1805</v>
      </c>
      <c r="C242" s="200"/>
      <c r="D242" s="200"/>
      <c r="E242" s="345"/>
      <c r="F242" s="201" t="s">
        <v>1805</v>
      </c>
      <c r="G242" s="342"/>
      <c r="H242" s="199" t="s">
        <v>1805</v>
      </c>
      <c r="I242" s="200"/>
      <c r="J242" s="200"/>
      <c r="K242" s="345"/>
      <c r="L242" s="201" t="s">
        <v>1805</v>
      </c>
    </row>
    <row r="243" spans="1:12" ht="15.75" thickBot="1">
      <c r="A243" s="342"/>
      <c r="B243" s="199" t="s">
        <v>1806</v>
      </c>
      <c r="C243" s="200"/>
      <c r="D243" s="200"/>
      <c r="E243" s="345"/>
      <c r="F243" s="201" t="s">
        <v>1806</v>
      </c>
      <c r="G243" s="342"/>
      <c r="H243" s="199" t="s">
        <v>1806</v>
      </c>
      <c r="I243" s="200"/>
      <c r="J243" s="200"/>
      <c r="K243" s="345"/>
      <c r="L243" s="201" t="s">
        <v>1806</v>
      </c>
    </row>
    <row r="244" spans="1:12" ht="15.75" thickBot="1">
      <c r="A244" s="342"/>
      <c r="B244" s="199" t="s">
        <v>1807</v>
      </c>
      <c r="C244" s="200"/>
      <c r="D244" s="200"/>
      <c r="E244" s="345"/>
      <c r="F244" s="201" t="s">
        <v>1807</v>
      </c>
      <c r="G244" s="342"/>
      <c r="H244" s="199" t="s">
        <v>1807</v>
      </c>
      <c r="I244" s="200"/>
      <c r="J244" s="200"/>
      <c r="K244" s="345"/>
      <c r="L244" s="201" t="s">
        <v>1807</v>
      </c>
    </row>
    <row r="245" spans="1:12" ht="15.75" thickBot="1">
      <c r="A245" s="342"/>
      <c r="B245" s="199" t="s">
        <v>1808</v>
      </c>
      <c r="C245" s="200"/>
      <c r="D245" s="200"/>
      <c r="E245" s="345"/>
      <c r="F245" s="201" t="s">
        <v>1808</v>
      </c>
      <c r="G245" s="342"/>
      <c r="H245" s="199" t="s">
        <v>1808</v>
      </c>
      <c r="I245" s="200"/>
      <c r="J245" s="200"/>
      <c r="K245" s="345"/>
      <c r="L245" s="201" t="s">
        <v>1808</v>
      </c>
    </row>
    <row r="246" spans="1:12" ht="15.75" thickBot="1">
      <c r="A246" s="342"/>
      <c r="B246" s="199" t="s">
        <v>1809</v>
      </c>
      <c r="C246" s="200"/>
      <c r="D246" s="200"/>
      <c r="E246" s="345"/>
      <c r="F246" s="201" t="s">
        <v>1809</v>
      </c>
      <c r="G246" s="342"/>
      <c r="H246" s="199" t="s">
        <v>1809</v>
      </c>
      <c r="I246" s="200"/>
      <c r="J246" s="200"/>
      <c r="K246" s="345"/>
      <c r="L246" s="201" t="s">
        <v>1809</v>
      </c>
    </row>
    <row r="247" spans="1:12" ht="15.75" thickBot="1">
      <c r="A247" s="342"/>
      <c r="B247" s="199" t="s">
        <v>1810</v>
      </c>
      <c r="C247" s="200"/>
      <c r="D247" s="200"/>
      <c r="E247" s="345"/>
      <c r="F247" s="201" t="s">
        <v>1810</v>
      </c>
      <c r="G247" s="342"/>
      <c r="H247" s="199" t="s">
        <v>1810</v>
      </c>
      <c r="I247" s="200"/>
      <c r="J247" s="200"/>
      <c r="K247" s="345"/>
      <c r="L247" s="201" t="s">
        <v>1810</v>
      </c>
    </row>
    <row r="248" spans="1:12" ht="15.75" thickBot="1">
      <c r="A248" s="342"/>
      <c r="B248" s="199" t="s">
        <v>1811</v>
      </c>
      <c r="C248" s="200"/>
      <c r="D248" s="200"/>
      <c r="E248" s="345"/>
      <c r="F248" s="201" t="s">
        <v>1811</v>
      </c>
      <c r="G248" s="342"/>
      <c r="H248" s="199" t="s">
        <v>1811</v>
      </c>
      <c r="I248" s="200"/>
      <c r="J248" s="200"/>
      <c r="K248" s="345"/>
      <c r="L248" s="201" t="s">
        <v>1811</v>
      </c>
    </row>
    <row r="249" spans="1:12" ht="15.75" thickBot="1">
      <c r="A249" s="342"/>
      <c r="B249" s="199" t="s">
        <v>1812</v>
      </c>
      <c r="C249" s="200"/>
      <c r="D249" s="200"/>
      <c r="E249" s="345"/>
      <c r="F249" s="201" t="s">
        <v>1812</v>
      </c>
      <c r="G249" s="342"/>
      <c r="H249" s="199" t="s">
        <v>1812</v>
      </c>
      <c r="I249" s="200"/>
      <c r="J249" s="200"/>
      <c r="K249" s="345"/>
      <c r="L249" s="201" t="s">
        <v>1812</v>
      </c>
    </row>
    <row r="250" spans="1:12" ht="15.75" thickBot="1">
      <c r="A250" s="342"/>
      <c r="B250" s="199" t="s">
        <v>1813</v>
      </c>
      <c r="C250" s="200"/>
      <c r="D250" s="200"/>
      <c r="E250" s="345"/>
      <c r="F250" s="201" t="s">
        <v>1813</v>
      </c>
      <c r="G250" s="342"/>
      <c r="H250" s="199" t="s">
        <v>1813</v>
      </c>
      <c r="I250" s="200"/>
      <c r="J250" s="200"/>
      <c r="K250" s="345"/>
      <c r="L250" s="201" t="s">
        <v>1813</v>
      </c>
    </row>
    <row r="251" spans="1:12" ht="15.75" thickBot="1">
      <c r="A251" s="342"/>
      <c r="B251" s="199" t="s">
        <v>1814</v>
      </c>
      <c r="C251" s="200"/>
      <c r="D251" s="200"/>
      <c r="E251" s="345"/>
      <c r="F251" s="201" t="s">
        <v>1814</v>
      </c>
      <c r="G251" s="342"/>
      <c r="H251" s="199" t="s">
        <v>1814</v>
      </c>
      <c r="I251" s="200"/>
      <c r="J251" s="200"/>
      <c r="K251" s="345"/>
      <c r="L251" s="201" t="s">
        <v>1814</v>
      </c>
    </row>
    <row r="252" spans="1:12" ht="26.25" thickBot="1">
      <c r="A252" s="342"/>
      <c r="B252" s="199" t="s">
        <v>1815</v>
      </c>
      <c r="C252" s="200"/>
      <c r="D252" s="200"/>
      <c r="E252" s="345"/>
      <c r="F252" s="201" t="s">
        <v>1816</v>
      </c>
      <c r="G252" s="342"/>
      <c r="H252" s="199" t="s">
        <v>1815</v>
      </c>
      <c r="I252" s="200"/>
      <c r="J252" s="200"/>
      <c r="K252" s="345"/>
      <c r="L252" s="201" t="s">
        <v>1816</v>
      </c>
    </row>
    <row r="253" spans="1:12" ht="15.75" thickBot="1">
      <c r="A253" s="343"/>
      <c r="B253" s="199" t="s">
        <v>1817</v>
      </c>
      <c r="C253" s="200"/>
      <c r="D253" s="200"/>
      <c r="E253" s="346"/>
      <c r="F253" s="201" t="s">
        <v>1818</v>
      </c>
      <c r="G253" s="343"/>
      <c r="H253" s="199" t="s">
        <v>1817</v>
      </c>
      <c r="I253" s="200"/>
      <c r="J253" s="200"/>
      <c r="K253" s="346"/>
      <c r="L253" s="201" t="s">
        <v>1818</v>
      </c>
    </row>
    <row r="254" spans="1:12" ht="15.75" thickBot="1">
      <c r="A254" s="341" t="s">
        <v>2128</v>
      </c>
      <c r="B254" s="199" t="s">
        <v>1803</v>
      </c>
      <c r="C254" s="200"/>
      <c r="D254" s="200"/>
      <c r="E254" s="344" t="s">
        <v>2128</v>
      </c>
      <c r="F254" s="201" t="s">
        <v>1803</v>
      </c>
      <c r="G254" s="341" t="s">
        <v>2128</v>
      </c>
      <c r="H254" s="199" t="s">
        <v>1803</v>
      </c>
      <c r="I254" s="200"/>
      <c r="J254" s="200"/>
      <c r="K254" s="344" t="s">
        <v>2128</v>
      </c>
      <c r="L254" s="201" t="s">
        <v>1803</v>
      </c>
    </row>
    <row r="255" spans="1:12" ht="15.75" thickBot="1">
      <c r="A255" s="342"/>
      <c r="B255" s="199" t="s">
        <v>1805</v>
      </c>
      <c r="C255" s="200"/>
      <c r="D255" s="200"/>
      <c r="E255" s="345"/>
      <c r="F255" s="201" t="s">
        <v>1805</v>
      </c>
      <c r="G255" s="342"/>
      <c r="H255" s="199" t="s">
        <v>1805</v>
      </c>
      <c r="I255" s="200"/>
      <c r="J255" s="200"/>
      <c r="K255" s="345"/>
      <c r="L255" s="201" t="s">
        <v>1805</v>
      </c>
    </row>
    <row r="256" spans="1:12" ht="15.75" thickBot="1">
      <c r="A256" s="342"/>
      <c r="B256" s="199" t="s">
        <v>1806</v>
      </c>
      <c r="C256" s="200"/>
      <c r="D256" s="200"/>
      <c r="E256" s="345"/>
      <c r="F256" s="201" t="s">
        <v>1806</v>
      </c>
      <c r="G256" s="342"/>
      <c r="H256" s="199" t="s">
        <v>1806</v>
      </c>
      <c r="I256" s="200"/>
      <c r="J256" s="200"/>
      <c r="K256" s="345"/>
      <c r="L256" s="201" t="s">
        <v>1806</v>
      </c>
    </row>
    <row r="257" spans="1:12" ht="15.75" thickBot="1">
      <c r="A257" s="342"/>
      <c r="B257" s="199" t="s">
        <v>1807</v>
      </c>
      <c r="C257" s="200"/>
      <c r="D257" s="200"/>
      <c r="E257" s="345"/>
      <c r="F257" s="201" t="s">
        <v>1807</v>
      </c>
      <c r="G257" s="342"/>
      <c r="H257" s="199" t="s">
        <v>1807</v>
      </c>
      <c r="I257" s="200"/>
      <c r="J257" s="200"/>
      <c r="K257" s="345"/>
      <c r="L257" s="201" t="s">
        <v>1807</v>
      </c>
    </row>
    <row r="258" spans="1:12" ht="15.75" thickBot="1">
      <c r="A258" s="342"/>
      <c r="B258" s="199" t="s">
        <v>1808</v>
      </c>
      <c r="C258" s="200"/>
      <c r="D258" s="200"/>
      <c r="E258" s="345"/>
      <c r="F258" s="201" t="s">
        <v>1808</v>
      </c>
      <c r="G258" s="342"/>
      <c r="H258" s="199" t="s">
        <v>1808</v>
      </c>
      <c r="I258" s="200"/>
      <c r="J258" s="200"/>
      <c r="K258" s="345"/>
      <c r="L258" s="201" t="s">
        <v>1808</v>
      </c>
    </row>
    <row r="259" spans="1:12" ht="15.75" thickBot="1">
      <c r="A259" s="342"/>
      <c r="B259" s="199" t="s">
        <v>1809</v>
      </c>
      <c r="C259" s="200"/>
      <c r="D259" s="200"/>
      <c r="E259" s="345"/>
      <c r="F259" s="201" t="s">
        <v>1809</v>
      </c>
      <c r="G259" s="342"/>
      <c r="H259" s="199" t="s">
        <v>1809</v>
      </c>
      <c r="I259" s="200"/>
      <c r="J259" s="200"/>
      <c r="K259" s="345"/>
      <c r="L259" s="201" t="s">
        <v>1809</v>
      </c>
    </row>
    <row r="260" spans="1:12" ht="15.75" thickBot="1">
      <c r="A260" s="342"/>
      <c r="B260" s="199" t="s">
        <v>1810</v>
      </c>
      <c r="C260" s="200"/>
      <c r="D260" s="200"/>
      <c r="E260" s="345"/>
      <c r="F260" s="201" t="s">
        <v>1810</v>
      </c>
      <c r="G260" s="342"/>
      <c r="H260" s="199" t="s">
        <v>1810</v>
      </c>
      <c r="I260" s="200"/>
      <c r="J260" s="200"/>
      <c r="K260" s="345"/>
      <c r="L260" s="201" t="s">
        <v>1810</v>
      </c>
    </row>
    <row r="261" spans="1:12" ht="15.75" thickBot="1">
      <c r="A261" s="342"/>
      <c r="B261" s="199" t="s">
        <v>1811</v>
      </c>
      <c r="C261" s="200"/>
      <c r="D261" s="200"/>
      <c r="E261" s="345"/>
      <c r="F261" s="201" t="s">
        <v>1811</v>
      </c>
      <c r="G261" s="342"/>
      <c r="H261" s="199" t="s">
        <v>1811</v>
      </c>
      <c r="I261" s="200"/>
      <c r="J261" s="200"/>
      <c r="K261" s="345"/>
      <c r="L261" s="201" t="s">
        <v>1811</v>
      </c>
    </row>
    <row r="262" spans="1:12" ht="15.75" thickBot="1">
      <c r="A262" s="342"/>
      <c r="B262" s="199" t="s">
        <v>1812</v>
      </c>
      <c r="C262" s="200"/>
      <c r="D262" s="200"/>
      <c r="E262" s="345"/>
      <c r="F262" s="201" t="s">
        <v>1812</v>
      </c>
      <c r="G262" s="342"/>
      <c r="H262" s="199" t="s">
        <v>1812</v>
      </c>
      <c r="I262" s="200"/>
      <c r="J262" s="200"/>
      <c r="K262" s="345"/>
      <c r="L262" s="201" t="s">
        <v>1812</v>
      </c>
    </row>
    <row r="263" spans="1:12" ht="15.75" thickBot="1">
      <c r="A263" s="342"/>
      <c r="B263" s="199" t="s">
        <v>1813</v>
      </c>
      <c r="C263" s="200"/>
      <c r="D263" s="200"/>
      <c r="E263" s="345"/>
      <c r="F263" s="201" t="s">
        <v>1813</v>
      </c>
      <c r="G263" s="342"/>
      <c r="H263" s="199" t="s">
        <v>1813</v>
      </c>
      <c r="I263" s="200"/>
      <c r="J263" s="200"/>
      <c r="K263" s="345"/>
      <c r="L263" s="201" t="s">
        <v>1813</v>
      </c>
    </row>
    <row r="264" spans="1:12" ht="15.75" thickBot="1">
      <c r="A264" s="342"/>
      <c r="B264" s="199" t="s">
        <v>1814</v>
      </c>
      <c r="C264" s="200"/>
      <c r="D264" s="200"/>
      <c r="E264" s="345"/>
      <c r="F264" s="201" t="s">
        <v>1814</v>
      </c>
      <c r="G264" s="342"/>
      <c r="H264" s="199" t="s">
        <v>1814</v>
      </c>
      <c r="I264" s="200"/>
      <c r="J264" s="200"/>
      <c r="K264" s="345"/>
      <c r="L264" s="201" t="s">
        <v>1814</v>
      </c>
    </row>
    <row r="265" spans="1:12" ht="26.25" thickBot="1">
      <c r="A265" s="342"/>
      <c r="B265" s="199" t="s">
        <v>1815</v>
      </c>
      <c r="C265" s="200"/>
      <c r="D265" s="200"/>
      <c r="E265" s="345"/>
      <c r="F265" s="201" t="s">
        <v>1816</v>
      </c>
      <c r="G265" s="342"/>
      <c r="H265" s="199" t="s">
        <v>1815</v>
      </c>
      <c r="I265" s="200"/>
      <c r="J265" s="200"/>
      <c r="K265" s="345"/>
      <c r="L265" s="201" t="s">
        <v>1816</v>
      </c>
    </row>
    <row r="266" spans="1:12" ht="15.75" thickBot="1">
      <c r="A266" s="343"/>
      <c r="B266" s="199" t="s">
        <v>1817</v>
      </c>
      <c r="C266" s="200"/>
      <c r="D266" s="200"/>
      <c r="E266" s="346"/>
      <c r="F266" s="201" t="s">
        <v>1818</v>
      </c>
      <c r="G266" s="343"/>
      <c r="H266" s="199" t="s">
        <v>1817</v>
      </c>
      <c r="I266" s="200"/>
      <c r="J266" s="200"/>
      <c r="K266" s="346"/>
      <c r="L266" s="201" t="s">
        <v>1818</v>
      </c>
    </row>
    <row r="267" spans="1:12" ht="15.75" thickBot="1">
      <c r="A267" s="341" t="s">
        <v>2129</v>
      </c>
      <c r="B267" s="199" t="s">
        <v>1803</v>
      </c>
      <c r="C267" s="200"/>
      <c r="D267" s="200"/>
      <c r="E267" s="344" t="s">
        <v>2130</v>
      </c>
      <c r="F267" s="201" t="s">
        <v>1803</v>
      </c>
      <c r="G267" s="341" t="s">
        <v>2129</v>
      </c>
      <c r="H267" s="199" t="s">
        <v>1803</v>
      </c>
      <c r="I267" s="200"/>
      <c r="J267" s="200"/>
      <c r="K267" s="344" t="s">
        <v>2130</v>
      </c>
      <c r="L267" s="201" t="s">
        <v>1803</v>
      </c>
    </row>
    <row r="268" spans="1:12" ht="15.75" thickBot="1">
      <c r="A268" s="342"/>
      <c r="B268" s="199" t="s">
        <v>1805</v>
      </c>
      <c r="C268" s="200"/>
      <c r="D268" s="200"/>
      <c r="E268" s="345"/>
      <c r="F268" s="201" t="s">
        <v>1805</v>
      </c>
      <c r="G268" s="342"/>
      <c r="H268" s="199" t="s">
        <v>1805</v>
      </c>
      <c r="I268" s="200"/>
      <c r="J268" s="200"/>
      <c r="K268" s="345"/>
      <c r="L268" s="201" t="s">
        <v>1805</v>
      </c>
    </row>
    <row r="269" spans="1:12" ht="15.75" thickBot="1">
      <c r="A269" s="342"/>
      <c r="B269" s="199" t="s">
        <v>1806</v>
      </c>
      <c r="C269" s="200"/>
      <c r="D269" s="200"/>
      <c r="E269" s="345"/>
      <c r="F269" s="201" t="s">
        <v>1806</v>
      </c>
      <c r="G269" s="342"/>
      <c r="H269" s="199" t="s">
        <v>1806</v>
      </c>
      <c r="I269" s="200"/>
      <c r="J269" s="200"/>
      <c r="K269" s="345"/>
      <c r="L269" s="201" t="s">
        <v>1806</v>
      </c>
    </row>
    <row r="270" spans="1:12" ht="15.75" thickBot="1">
      <c r="A270" s="342"/>
      <c r="B270" s="199" t="s">
        <v>1807</v>
      </c>
      <c r="C270" s="200"/>
      <c r="D270" s="200"/>
      <c r="E270" s="345"/>
      <c r="F270" s="201" t="s">
        <v>1807</v>
      </c>
      <c r="G270" s="342"/>
      <c r="H270" s="199" t="s">
        <v>1807</v>
      </c>
      <c r="I270" s="200"/>
      <c r="J270" s="200"/>
      <c r="K270" s="345"/>
      <c r="L270" s="201" t="s">
        <v>1807</v>
      </c>
    </row>
    <row r="271" spans="1:12" ht="15.75" thickBot="1">
      <c r="A271" s="342"/>
      <c r="B271" s="199" t="s">
        <v>1808</v>
      </c>
      <c r="C271" s="200"/>
      <c r="D271" s="200"/>
      <c r="E271" s="345"/>
      <c r="F271" s="201" t="s">
        <v>1808</v>
      </c>
      <c r="G271" s="342"/>
      <c r="H271" s="199" t="s">
        <v>1808</v>
      </c>
      <c r="I271" s="200"/>
      <c r="J271" s="200"/>
      <c r="K271" s="345"/>
      <c r="L271" s="201" t="s">
        <v>1808</v>
      </c>
    </row>
    <row r="272" spans="1:12" ht="15.75" thickBot="1">
      <c r="A272" s="342"/>
      <c r="B272" s="199" t="s">
        <v>1809</v>
      </c>
      <c r="C272" s="200"/>
      <c r="D272" s="200"/>
      <c r="E272" s="345"/>
      <c r="F272" s="201" t="s">
        <v>1809</v>
      </c>
      <c r="G272" s="342"/>
      <c r="H272" s="199" t="s">
        <v>1809</v>
      </c>
      <c r="I272" s="200"/>
      <c r="J272" s="200"/>
      <c r="K272" s="345"/>
      <c r="L272" s="201" t="s">
        <v>1809</v>
      </c>
    </row>
    <row r="273" spans="1:12" ht="15.75" thickBot="1">
      <c r="A273" s="342"/>
      <c r="B273" s="199" t="s">
        <v>1810</v>
      </c>
      <c r="C273" s="200"/>
      <c r="D273" s="200"/>
      <c r="E273" s="345"/>
      <c r="F273" s="201" t="s">
        <v>1810</v>
      </c>
      <c r="G273" s="342"/>
      <c r="H273" s="199" t="s">
        <v>1810</v>
      </c>
      <c r="I273" s="200"/>
      <c r="J273" s="200"/>
      <c r="K273" s="345"/>
      <c r="L273" s="201" t="s">
        <v>1810</v>
      </c>
    </row>
    <row r="274" spans="1:12" ht="15.75" thickBot="1">
      <c r="A274" s="342"/>
      <c r="B274" s="199" t="s">
        <v>1811</v>
      </c>
      <c r="C274" s="200"/>
      <c r="D274" s="200"/>
      <c r="E274" s="345"/>
      <c r="F274" s="201" t="s">
        <v>1811</v>
      </c>
      <c r="G274" s="342"/>
      <c r="H274" s="199" t="s">
        <v>1811</v>
      </c>
      <c r="I274" s="200"/>
      <c r="J274" s="200"/>
      <c r="K274" s="345"/>
      <c r="L274" s="201" t="s">
        <v>1811</v>
      </c>
    </row>
    <row r="275" spans="1:12" ht="15.75" thickBot="1">
      <c r="A275" s="342"/>
      <c r="B275" s="199" t="s">
        <v>1812</v>
      </c>
      <c r="C275" s="200"/>
      <c r="D275" s="200"/>
      <c r="E275" s="345"/>
      <c r="F275" s="201" t="s">
        <v>1812</v>
      </c>
      <c r="G275" s="342"/>
      <c r="H275" s="199" t="s">
        <v>1812</v>
      </c>
      <c r="I275" s="200"/>
      <c r="J275" s="200"/>
      <c r="K275" s="345"/>
      <c r="L275" s="201" t="s">
        <v>1812</v>
      </c>
    </row>
    <row r="276" spans="1:12" ht="15.75" thickBot="1">
      <c r="A276" s="342"/>
      <c r="B276" s="199" t="s">
        <v>1813</v>
      </c>
      <c r="C276" s="200"/>
      <c r="D276" s="200"/>
      <c r="E276" s="345"/>
      <c r="F276" s="201" t="s">
        <v>1813</v>
      </c>
      <c r="G276" s="342"/>
      <c r="H276" s="199" t="s">
        <v>1813</v>
      </c>
      <c r="I276" s="200"/>
      <c r="J276" s="200"/>
      <c r="K276" s="345"/>
      <c r="L276" s="201" t="s">
        <v>1813</v>
      </c>
    </row>
    <row r="277" spans="1:12" ht="15.75" thickBot="1">
      <c r="A277" s="342"/>
      <c r="B277" s="199" t="s">
        <v>1814</v>
      </c>
      <c r="C277" s="200"/>
      <c r="D277" s="200"/>
      <c r="E277" s="345"/>
      <c r="F277" s="201" t="s">
        <v>1814</v>
      </c>
      <c r="G277" s="342"/>
      <c r="H277" s="199" t="s">
        <v>1814</v>
      </c>
      <c r="I277" s="200"/>
      <c r="J277" s="200"/>
      <c r="K277" s="345"/>
      <c r="L277" s="201" t="s">
        <v>1814</v>
      </c>
    </row>
    <row r="278" spans="1:12" ht="26.25" thickBot="1">
      <c r="A278" s="342"/>
      <c r="B278" s="199" t="s">
        <v>1815</v>
      </c>
      <c r="C278" s="200"/>
      <c r="D278" s="200"/>
      <c r="E278" s="345"/>
      <c r="F278" s="201" t="s">
        <v>1816</v>
      </c>
      <c r="G278" s="342"/>
      <c r="H278" s="199" t="s">
        <v>1815</v>
      </c>
      <c r="I278" s="200"/>
      <c r="J278" s="200"/>
      <c r="K278" s="345"/>
      <c r="L278" s="201" t="s">
        <v>1816</v>
      </c>
    </row>
    <row r="279" spans="1:12" ht="15.75" thickBot="1">
      <c r="A279" s="343"/>
      <c r="B279" s="199" t="s">
        <v>1817</v>
      </c>
      <c r="C279" s="200"/>
      <c r="D279" s="200"/>
      <c r="E279" s="346"/>
      <c r="F279" s="201" t="s">
        <v>1818</v>
      </c>
      <c r="G279" s="343"/>
      <c r="H279" s="199" t="s">
        <v>1817</v>
      </c>
      <c r="I279" s="200"/>
      <c r="J279" s="200"/>
      <c r="K279" s="346"/>
      <c r="L279" s="201" t="s">
        <v>1818</v>
      </c>
    </row>
    <row r="280" spans="1:12" ht="15.75" thickBot="1">
      <c r="A280" s="341" t="s">
        <v>2131</v>
      </c>
      <c r="B280" s="199" t="s">
        <v>1803</v>
      </c>
      <c r="C280" s="200"/>
      <c r="D280" s="200"/>
      <c r="E280" s="344" t="s">
        <v>2132</v>
      </c>
      <c r="F280" s="201" t="s">
        <v>1803</v>
      </c>
      <c r="G280" s="341" t="s">
        <v>2131</v>
      </c>
      <c r="H280" s="199" t="s">
        <v>1803</v>
      </c>
      <c r="I280" s="200"/>
      <c r="J280" s="200"/>
      <c r="K280" s="344" t="s">
        <v>2132</v>
      </c>
      <c r="L280" s="201" t="s">
        <v>1803</v>
      </c>
    </row>
    <row r="281" spans="1:12" ht="15.75" thickBot="1">
      <c r="A281" s="342"/>
      <c r="B281" s="199" t="s">
        <v>1805</v>
      </c>
      <c r="C281" s="200"/>
      <c r="D281" s="200"/>
      <c r="E281" s="345"/>
      <c r="F281" s="201" t="s">
        <v>1805</v>
      </c>
      <c r="G281" s="342"/>
      <c r="H281" s="199" t="s">
        <v>1805</v>
      </c>
      <c r="I281" s="200"/>
      <c r="J281" s="200"/>
      <c r="K281" s="345"/>
      <c r="L281" s="201" t="s">
        <v>1805</v>
      </c>
    </row>
    <row r="282" spans="1:12" ht="15.75" thickBot="1">
      <c r="A282" s="342"/>
      <c r="B282" s="199" t="s">
        <v>1806</v>
      </c>
      <c r="C282" s="200"/>
      <c r="D282" s="200"/>
      <c r="E282" s="345"/>
      <c r="F282" s="201" t="s">
        <v>1806</v>
      </c>
      <c r="G282" s="342"/>
      <c r="H282" s="199" t="s">
        <v>1806</v>
      </c>
      <c r="I282" s="200"/>
      <c r="J282" s="200"/>
      <c r="K282" s="345"/>
      <c r="L282" s="201" t="s">
        <v>1806</v>
      </c>
    </row>
    <row r="283" spans="1:12" ht="15.75" thickBot="1">
      <c r="A283" s="342"/>
      <c r="B283" s="199" t="s">
        <v>1807</v>
      </c>
      <c r="C283" s="200"/>
      <c r="D283" s="200"/>
      <c r="E283" s="345"/>
      <c r="F283" s="201" t="s">
        <v>1807</v>
      </c>
      <c r="G283" s="342"/>
      <c r="H283" s="199" t="s">
        <v>1807</v>
      </c>
      <c r="I283" s="200"/>
      <c r="J283" s="200"/>
      <c r="K283" s="345"/>
      <c r="L283" s="201" t="s">
        <v>1807</v>
      </c>
    </row>
    <row r="284" spans="1:12" ht="15.75" thickBot="1">
      <c r="A284" s="342"/>
      <c r="B284" s="199" t="s">
        <v>1808</v>
      </c>
      <c r="C284" s="200">
        <v>39315568</v>
      </c>
      <c r="D284" s="200">
        <v>690147</v>
      </c>
      <c r="E284" s="345"/>
      <c r="F284" s="201" t="s">
        <v>1808</v>
      </c>
      <c r="G284" s="342"/>
      <c r="H284" s="199" t="s">
        <v>1808</v>
      </c>
      <c r="I284" s="200">
        <v>42169730</v>
      </c>
      <c r="J284" s="200">
        <v>722771</v>
      </c>
      <c r="K284" s="345"/>
      <c r="L284" s="201" t="s">
        <v>1808</v>
      </c>
    </row>
    <row r="285" spans="1:12" ht="15.75" thickBot="1">
      <c r="A285" s="342"/>
      <c r="B285" s="199" t="s">
        <v>1809</v>
      </c>
      <c r="C285" s="200"/>
      <c r="D285" s="200"/>
      <c r="E285" s="345"/>
      <c r="F285" s="201" t="s">
        <v>1809</v>
      </c>
      <c r="G285" s="342"/>
      <c r="H285" s="199" t="s">
        <v>1809</v>
      </c>
      <c r="I285" s="200"/>
      <c r="J285" s="200"/>
      <c r="K285" s="345"/>
      <c r="L285" s="201" t="s">
        <v>1809</v>
      </c>
    </row>
    <row r="286" spans="1:12" ht="15.75" thickBot="1">
      <c r="A286" s="342"/>
      <c r="B286" s="199" t="s">
        <v>1810</v>
      </c>
      <c r="C286" s="200"/>
      <c r="D286" s="200"/>
      <c r="E286" s="345"/>
      <c r="F286" s="201" t="s">
        <v>1810</v>
      </c>
      <c r="G286" s="342"/>
      <c r="H286" s="199" t="s">
        <v>1810</v>
      </c>
      <c r="I286" s="200"/>
      <c r="J286" s="200"/>
      <c r="K286" s="345"/>
      <c r="L286" s="201" t="s">
        <v>1810</v>
      </c>
    </row>
    <row r="287" spans="1:12" ht="15.75" thickBot="1">
      <c r="A287" s="342"/>
      <c r="B287" s="199" t="s">
        <v>1811</v>
      </c>
      <c r="C287" s="200"/>
      <c r="D287" s="200"/>
      <c r="E287" s="345"/>
      <c r="F287" s="201" t="s">
        <v>1811</v>
      </c>
      <c r="G287" s="342"/>
      <c r="H287" s="199" t="s">
        <v>1811</v>
      </c>
      <c r="I287" s="200"/>
      <c r="J287" s="200"/>
      <c r="K287" s="345"/>
      <c r="L287" s="201" t="s">
        <v>1811</v>
      </c>
    </row>
    <row r="288" spans="1:12" ht="15.75" thickBot="1">
      <c r="A288" s="342"/>
      <c r="B288" s="199" t="s">
        <v>1812</v>
      </c>
      <c r="C288" s="200"/>
      <c r="D288" s="200"/>
      <c r="E288" s="345"/>
      <c r="F288" s="201" t="s">
        <v>1812</v>
      </c>
      <c r="G288" s="342"/>
      <c r="H288" s="199" t="s">
        <v>1812</v>
      </c>
      <c r="I288" s="200"/>
      <c r="J288" s="200"/>
      <c r="K288" s="345"/>
      <c r="L288" s="201" t="s">
        <v>1812</v>
      </c>
    </row>
    <row r="289" spans="1:12" ht="15.75" thickBot="1">
      <c r="A289" s="342"/>
      <c r="B289" s="199" t="s">
        <v>1813</v>
      </c>
      <c r="C289" s="200"/>
      <c r="D289" s="200"/>
      <c r="E289" s="345"/>
      <c r="F289" s="201" t="s">
        <v>1813</v>
      </c>
      <c r="G289" s="342"/>
      <c r="H289" s="199" t="s">
        <v>1813</v>
      </c>
      <c r="I289" s="200"/>
      <c r="J289" s="200"/>
      <c r="K289" s="345"/>
      <c r="L289" s="201" t="s">
        <v>1813</v>
      </c>
    </row>
    <row r="290" spans="1:12" ht="15.75" thickBot="1">
      <c r="A290" s="342"/>
      <c r="B290" s="199" t="s">
        <v>1814</v>
      </c>
      <c r="C290" s="200"/>
      <c r="D290" s="200"/>
      <c r="E290" s="345"/>
      <c r="F290" s="201" t="s">
        <v>1814</v>
      </c>
      <c r="G290" s="342"/>
      <c r="H290" s="199" t="s">
        <v>1814</v>
      </c>
      <c r="I290" s="200"/>
      <c r="J290" s="200"/>
      <c r="K290" s="345"/>
      <c r="L290" s="201" t="s">
        <v>1814</v>
      </c>
    </row>
    <row r="291" spans="1:12" ht="26.25" thickBot="1">
      <c r="A291" s="342"/>
      <c r="B291" s="199" t="s">
        <v>1815</v>
      </c>
      <c r="C291" s="200"/>
      <c r="D291" s="200"/>
      <c r="E291" s="345"/>
      <c r="F291" s="201" t="s">
        <v>1816</v>
      </c>
      <c r="G291" s="342"/>
      <c r="H291" s="199" t="s">
        <v>1815</v>
      </c>
      <c r="I291" s="200"/>
      <c r="J291" s="200"/>
      <c r="K291" s="345"/>
      <c r="L291" s="201" t="s">
        <v>1816</v>
      </c>
    </row>
    <row r="292" spans="1:12" ht="15.75" thickBot="1">
      <c r="A292" s="343"/>
      <c r="B292" s="199" t="s">
        <v>1817</v>
      </c>
      <c r="C292" s="200"/>
      <c r="D292" s="200">
        <v>690147</v>
      </c>
      <c r="E292" s="346"/>
      <c r="F292" s="201" t="s">
        <v>1818</v>
      </c>
      <c r="G292" s="343"/>
      <c r="H292" s="199" t="s">
        <v>1817</v>
      </c>
      <c r="I292" s="200"/>
      <c r="J292" s="200">
        <v>722771</v>
      </c>
      <c r="K292" s="346"/>
      <c r="L292" s="201" t="s">
        <v>1818</v>
      </c>
    </row>
    <row r="293" spans="1:12" ht="15.75" thickBot="1">
      <c r="A293" s="341" t="s">
        <v>2133</v>
      </c>
      <c r="B293" s="199" t="s">
        <v>1803</v>
      </c>
      <c r="C293" s="200"/>
      <c r="D293" s="200"/>
      <c r="E293" s="344" t="s">
        <v>2134</v>
      </c>
      <c r="F293" s="201" t="s">
        <v>1803</v>
      </c>
      <c r="G293" s="341" t="s">
        <v>2133</v>
      </c>
      <c r="H293" s="199" t="s">
        <v>1803</v>
      </c>
      <c r="I293" s="200"/>
      <c r="J293" s="200"/>
      <c r="K293" s="344" t="s">
        <v>2134</v>
      </c>
      <c r="L293" s="201" t="s">
        <v>1803</v>
      </c>
    </row>
    <row r="294" spans="1:12" ht="15.75" thickBot="1">
      <c r="A294" s="342"/>
      <c r="B294" s="199" t="s">
        <v>1805</v>
      </c>
      <c r="C294" s="200"/>
      <c r="D294" s="200"/>
      <c r="E294" s="345"/>
      <c r="F294" s="201" t="s">
        <v>1805</v>
      </c>
      <c r="G294" s="342"/>
      <c r="H294" s="199" t="s">
        <v>1805</v>
      </c>
      <c r="I294" s="200"/>
      <c r="J294" s="200"/>
      <c r="K294" s="345"/>
      <c r="L294" s="201" t="s">
        <v>1805</v>
      </c>
    </row>
    <row r="295" spans="1:12" ht="15.75" thickBot="1">
      <c r="A295" s="342"/>
      <c r="B295" s="199" t="s">
        <v>1806</v>
      </c>
      <c r="C295" s="200"/>
      <c r="D295" s="200"/>
      <c r="E295" s="345"/>
      <c r="F295" s="201" t="s">
        <v>1806</v>
      </c>
      <c r="G295" s="342"/>
      <c r="H295" s="199" t="s">
        <v>1806</v>
      </c>
      <c r="I295" s="200"/>
      <c r="J295" s="200"/>
      <c r="K295" s="345"/>
      <c r="L295" s="201" t="s">
        <v>1806</v>
      </c>
    </row>
    <row r="296" spans="1:12" ht="15.75" thickBot="1">
      <c r="A296" s="342"/>
      <c r="B296" s="199" t="s">
        <v>1807</v>
      </c>
      <c r="C296" s="200"/>
      <c r="D296" s="200"/>
      <c r="E296" s="345"/>
      <c r="F296" s="201" t="s">
        <v>1807</v>
      </c>
      <c r="G296" s="342"/>
      <c r="H296" s="199" t="s">
        <v>1807</v>
      </c>
      <c r="I296" s="200"/>
      <c r="J296" s="200"/>
      <c r="K296" s="345"/>
      <c r="L296" s="201" t="s">
        <v>1807</v>
      </c>
    </row>
    <row r="297" spans="1:12" ht="15.75" thickBot="1">
      <c r="A297" s="342"/>
      <c r="B297" s="199" t="s">
        <v>1808</v>
      </c>
      <c r="C297" s="200"/>
      <c r="D297" s="200"/>
      <c r="E297" s="345"/>
      <c r="F297" s="201" t="s">
        <v>1808</v>
      </c>
      <c r="G297" s="342"/>
      <c r="H297" s="199" t="s">
        <v>1808</v>
      </c>
      <c r="I297" s="200"/>
      <c r="J297" s="200"/>
      <c r="K297" s="345"/>
      <c r="L297" s="201" t="s">
        <v>1808</v>
      </c>
    </row>
    <row r="298" spans="1:12" ht="15.75" thickBot="1">
      <c r="A298" s="342"/>
      <c r="B298" s="199" t="s">
        <v>1809</v>
      </c>
      <c r="C298" s="200"/>
      <c r="D298" s="200"/>
      <c r="E298" s="345"/>
      <c r="F298" s="201" t="s">
        <v>1809</v>
      </c>
      <c r="G298" s="342"/>
      <c r="H298" s="199" t="s">
        <v>1809</v>
      </c>
      <c r="I298" s="200"/>
      <c r="J298" s="200"/>
      <c r="K298" s="345"/>
      <c r="L298" s="201" t="s">
        <v>1809</v>
      </c>
    </row>
    <row r="299" spans="1:12" ht="15.75" thickBot="1">
      <c r="A299" s="342"/>
      <c r="B299" s="199" t="s">
        <v>1810</v>
      </c>
      <c r="C299" s="200"/>
      <c r="D299" s="200"/>
      <c r="E299" s="345"/>
      <c r="F299" s="201" t="s">
        <v>1810</v>
      </c>
      <c r="G299" s="342"/>
      <c r="H299" s="199" t="s">
        <v>1810</v>
      </c>
      <c r="I299" s="200"/>
      <c r="J299" s="200"/>
      <c r="K299" s="345"/>
      <c r="L299" s="201" t="s">
        <v>1810</v>
      </c>
    </row>
    <row r="300" spans="1:12" ht="15.75" thickBot="1">
      <c r="A300" s="342"/>
      <c r="B300" s="199" t="s">
        <v>1811</v>
      </c>
      <c r="C300" s="200"/>
      <c r="D300" s="200"/>
      <c r="E300" s="345"/>
      <c r="F300" s="201" t="s">
        <v>1811</v>
      </c>
      <c r="G300" s="342"/>
      <c r="H300" s="199" t="s">
        <v>1811</v>
      </c>
      <c r="I300" s="200"/>
      <c r="J300" s="200"/>
      <c r="K300" s="345"/>
      <c r="L300" s="201" t="s">
        <v>1811</v>
      </c>
    </row>
    <row r="301" spans="1:12" ht="15.75" thickBot="1">
      <c r="A301" s="342"/>
      <c r="B301" s="199" t="s">
        <v>1812</v>
      </c>
      <c r="C301" s="200"/>
      <c r="D301" s="200"/>
      <c r="E301" s="345"/>
      <c r="F301" s="201" t="s">
        <v>1812</v>
      </c>
      <c r="G301" s="342"/>
      <c r="H301" s="199" t="s">
        <v>1812</v>
      </c>
      <c r="I301" s="200"/>
      <c r="J301" s="200"/>
      <c r="K301" s="345"/>
      <c r="L301" s="201" t="s">
        <v>1812</v>
      </c>
    </row>
    <row r="302" spans="1:12" ht="15.75" thickBot="1">
      <c r="A302" s="342"/>
      <c r="B302" s="199" t="s">
        <v>1813</v>
      </c>
      <c r="C302" s="200"/>
      <c r="D302" s="200"/>
      <c r="E302" s="345"/>
      <c r="F302" s="201" t="s">
        <v>1813</v>
      </c>
      <c r="G302" s="342"/>
      <c r="H302" s="199" t="s">
        <v>1813</v>
      </c>
      <c r="I302" s="200"/>
      <c r="J302" s="200"/>
      <c r="K302" s="345"/>
      <c r="L302" s="201" t="s">
        <v>1813</v>
      </c>
    </row>
    <row r="303" spans="1:12" ht="15.75" thickBot="1">
      <c r="A303" s="342"/>
      <c r="B303" s="199" t="s">
        <v>1814</v>
      </c>
      <c r="C303" s="200"/>
      <c r="D303" s="200"/>
      <c r="E303" s="345"/>
      <c r="F303" s="201" t="s">
        <v>1814</v>
      </c>
      <c r="G303" s="342"/>
      <c r="H303" s="199" t="s">
        <v>1814</v>
      </c>
      <c r="I303" s="200"/>
      <c r="J303" s="200"/>
      <c r="K303" s="345"/>
      <c r="L303" s="201" t="s">
        <v>1814</v>
      </c>
    </row>
    <row r="304" spans="1:12" ht="26.25" thickBot="1">
      <c r="A304" s="342"/>
      <c r="B304" s="199" t="s">
        <v>1815</v>
      </c>
      <c r="C304" s="200"/>
      <c r="D304" s="200"/>
      <c r="E304" s="345"/>
      <c r="F304" s="201" t="s">
        <v>1816</v>
      </c>
      <c r="G304" s="342"/>
      <c r="H304" s="199" t="s">
        <v>1815</v>
      </c>
      <c r="I304" s="200"/>
      <c r="J304" s="200"/>
      <c r="K304" s="345"/>
      <c r="L304" s="201" t="s">
        <v>1816</v>
      </c>
    </row>
    <row r="305" spans="1:12" ht="15.75" thickBot="1">
      <c r="A305" s="343"/>
      <c r="B305" s="199" t="s">
        <v>1817</v>
      </c>
      <c r="C305" s="200"/>
      <c r="D305" s="200"/>
      <c r="E305" s="346"/>
      <c r="F305" s="201" t="s">
        <v>1818</v>
      </c>
      <c r="G305" s="343"/>
      <c r="H305" s="199" t="s">
        <v>1817</v>
      </c>
      <c r="I305" s="200"/>
      <c r="J305" s="200"/>
      <c r="K305" s="346"/>
      <c r="L305" s="201" t="s">
        <v>1818</v>
      </c>
    </row>
    <row r="306" spans="1:12" ht="17.25" customHeight="1">
      <c r="A306" s="335" t="s">
        <v>19</v>
      </c>
      <c r="B306" s="335"/>
      <c r="C306" s="335"/>
      <c r="D306" s="335"/>
      <c r="E306" s="335"/>
      <c r="F306" s="335"/>
      <c r="G306" s="336" t="s">
        <v>106</v>
      </c>
      <c r="H306" s="336"/>
      <c r="I306" s="336"/>
      <c r="J306" s="336"/>
      <c r="K306" s="336"/>
      <c r="L306" s="336"/>
    </row>
    <row r="307" spans="1:12" ht="17.25" customHeight="1">
      <c r="A307" s="337" t="s">
        <v>2104</v>
      </c>
      <c r="B307" s="337"/>
      <c r="C307" s="337"/>
      <c r="D307" s="338" t="s">
        <v>2105</v>
      </c>
      <c r="E307" s="338"/>
      <c r="F307" s="338"/>
      <c r="G307" s="337" t="s">
        <v>2104</v>
      </c>
      <c r="H307" s="337"/>
      <c r="I307" s="337"/>
      <c r="J307" s="338" t="s">
        <v>2105</v>
      </c>
      <c r="K307" s="338"/>
      <c r="L307" s="338"/>
    </row>
    <row r="308" spans="1:12">
      <c r="A308" s="339"/>
      <c r="B308" s="339"/>
      <c r="C308" s="340" t="s">
        <v>2106</v>
      </c>
      <c r="D308" s="340"/>
      <c r="E308" s="339"/>
      <c r="F308" s="339"/>
      <c r="G308" s="339"/>
      <c r="H308" s="339"/>
      <c r="I308" s="340" t="s">
        <v>2106</v>
      </c>
      <c r="J308" s="340"/>
      <c r="K308" s="339"/>
      <c r="L308" s="339"/>
    </row>
    <row r="309" spans="1:12" ht="23.25">
      <c r="A309" s="339"/>
      <c r="B309" s="339"/>
      <c r="C309" s="198" t="s">
        <v>2107</v>
      </c>
      <c r="D309" s="198" t="s">
        <v>2108</v>
      </c>
      <c r="E309" s="339"/>
      <c r="F309" s="339"/>
      <c r="G309" s="339"/>
      <c r="H309" s="339"/>
      <c r="I309" s="198" t="s">
        <v>2107</v>
      </c>
      <c r="J309" s="198" t="s">
        <v>2108</v>
      </c>
      <c r="K309" s="339"/>
      <c r="L309" s="339"/>
    </row>
    <row r="310" spans="1:12" ht="15.75" thickBot="1">
      <c r="A310" s="199" t="s">
        <v>2135</v>
      </c>
      <c r="B310" s="199" t="s">
        <v>1817</v>
      </c>
      <c r="C310" s="200"/>
      <c r="D310" s="200">
        <v>898255</v>
      </c>
      <c r="E310" s="201" t="s">
        <v>2136</v>
      </c>
      <c r="F310" s="201" t="s">
        <v>1818</v>
      </c>
      <c r="G310" s="199" t="s">
        <v>2135</v>
      </c>
      <c r="H310" s="199" t="s">
        <v>1817</v>
      </c>
      <c r="I310" s="200"/>
      <c r="J310" s="200">
        <v>946195</v>
      </c>
      <c r="K310" s="201" t="s">
        <v>2136</v>
      </c>
      <c r="L310" s="201" t="s">
        <v>1818</v>
      </c>
    </row>
    <row r="311" spans="1:12" ht="17.25" customHeight="1">
      <c r="A311" s="335" t="s">
        <v>2104</v>
      </c>
      <c r="B311" s="335"/>
      <c r="C311" s="336" t="s">
        <v>2105</v>
      </c>
      <c r="D311" s="336"/>
    </row>
    <row r="312" spans="1:12" ht="23.25">
      <c r="A312" s="202"/>
      <c r="B312" s="198" t="s">
        <v>19</v>
      </c>
      <c r="C312" s="198" t="s">
        <v>106</v>
      </c>
    </row>
    <row r="313" spans="1:12" ht="15.75" thickBot="1">
      <c r="A313" s="199" t="s">
        <v>2104</v>
      </c>
      <c r="B313" s="203"/>
      <c r="C313" s="203"/>
      <c r="D313" s="201" t="s">
        <v>2105</v>
      </c>
    </row>
    <row r="314" spans="1:12" ht="15.75" thickBot="1">
      <c r="A314" s="204" t="s">
        <v>2108</v>
      </c>
      <c r="B314" s="200">
        <v>898255</v>
      </c>
      <c r="C314" s="200">
        <v>946195</v>
      </c>
      <c r="D314" s="201" t="s">
        <v>2137</v>
      </c>
    </row>
    <row r="315" spans="1:12" ht="26.25" thickBot="1">
      <c r="A315" s="205" t="s">
        <v>2138</v>
      </c>
      <c r="B315" s="200">
        <v>48622</v>
      </c>
      <c r="C315" s="200">
        <v>49184</v>
      </c>
      <c r="D315" s="201" t="s">
        <v>2139</v>
      </c>
    </row>
    <row r="316" spans="1:12" ht="15.75" thickBot="1">
      <c r="A316" s="205" t="s">
        <v>2140</v>
      </c>
      <c r="B316" s="200">
        <v>849633</v>
      </c>
      <c r="C316" s="200">
        <v>897011</v>
      </c>
      <c r="D316" s="201" t="s">
        <v>2141</v>
      </c>
    </row>
    <row r="317" spans="1:12" ht="39" thickBot="1">
      <c r="A317" s="206" t="s">
        <v>761</v>
      </c>
      <c r="B317" s="200">
        <v>164013</v>
      </c>
      <c r="C317" s="200">
        <v>161076</v>
      </c>
      <c r="D317" s="201" t="s">
        <v>762</v>
      </c>
    </row>
    <row r="318" spans="1:12" ht="26.25" thickBot="1">
      <c r="A318" s="206" t="s">
        <v>825</v>
      </c>
      <c r="B318" s="200">
        <v>685620</v>
      </c>
      <c r="C318" s="200">
        <v>735935</v>
      </c>
      <c r="D318" s="201"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8E2A85B-AE11-40B9-BCC8-F752B0DB482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34651-D3D8-4475-88C7-A50BDF38891F}">
  <dimension ref="A1:C6"/>
  <sheetViews>
    <sheetView showGridLines="0" workbookViewId="0">
      <selection sqref="A1:C1"/>
    </sheetView>
  </sheetViews>
  <sheetFormatPr defaultRowHeight="15"/>
  <cols>
    <col min="1" max="1" width="42.6640625" style="207" bestFit="1" customWidth="1" collapsed="1"/>
    <col min="2" max="2" width="33.33203125" style="207" customWidth="1" collapsed="1"/>
    <col min="3" max="3" width="42.6640625" style="207" bestFit="1" customWidth="1" collapsed="1"/>
    <col min="4" max="16384" width="9.33203125" style="207" collapsed="1"/>
  </cols>
  <sheetData>
    <row r="1" spans="1:3" ht="34.5" customHeight="1">
      <c r="A1" s="347" t="s">
        <v>2142</v>
      </c>
      <c r="B1" s="348"/>
      <c r="C1" s="348"/>
    </row>
    <row r="3" spans="1:3" ht="17.25" customHeight="1">
      <c r="A3" s="208" t="s">
        <v>1737</v>
      </c>
      <c r="B3" s="349" t="s">
        <v>1738</v>
      </c>
      <c r="C3" s="349"/>
    </row>
    <row r="4" spans="1:3">
      <c r="A4" s="209"/>
      <c r="B4" s="210" t="s">
        <v>104</v>
      </c>
    </row>
    <row r="5" spans="1:3" ht="15.75" thickBot="1">
      <c r="A5" s="211" t="s">
        <v>1737</v>
      </c>
      <c r="B5" s="212"/>
      <c r="C5" s="213" t="s">
        <v>1738</v>
      </c>
    </row>
    <row r="6" spans="1:3" ht="75" customHeight="1" thickBot="1">
      <c r="A6" s="214" t="s">
        <v>2143</v>
      </c>
      <c r="B6" s="215"/>
      <c r="C6" s="213" t="s">
        <v>2144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2BE1D3C-637A-4EE2-8AA3-77C6937A4CD7}">
      <formula1>0</formula1>
    </dataValidation>
  </dataValidations>
  <pageMargins left="0.15" right="0.15" top="0.15" bottom="0.15" header="0.5" footer="0.5"/>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A1EE9-F861-4264-B586-4E8A6396606C}">
  <dimension ref="A1:P287"/>
  <sheetViews>
    <sheetView showGridLines="0" workbookViewId="0"/>
  </sheetViews>
  <sheetFormatPr defaultRowHeight="15"/>
  <cols>
    <col min="1" max="1" width="42.6640625" style="217" bestFit="1" customWidth="1" collapsed="1"/>
    <col min="2" max="2" width="19" style="217" bestFit="1" customWidth="1" collapsed="1"/>
    <col min="3" max="4" width="38.33203125" style="217" bestFit="1" customWidth="1" collapsed="1"/>
    <col min="5" max="5" width="32.33203125" style="217" bestFit="1" customWidth="1" collapsed="1"/>
    <col min="6" max="6" width="38" style="217" bestFit="1" customWidth="1" collapsed="1"/>
    <col min="7" max="7" width="42.6640625" style="217" bestFit="1" customWidth="1" collapsed="1"/>
    <col min="8" max="8" width="15.6640625" style="217" bestFit="1" customWidth="1" collapsed="1"/>
    <col min="9" max="9" width="42.6640625" style="217" bestFit="1" customWidth="1" collapsed="1"/>
    <col min="10" max="10" width="19" style="217" bestFit="1" customWidth="1" collapsed="1"/>
    <col min="11" max="12" width="38.33203125" style="217" bestFit="1" customWidth="1" collapsed="1"/>
    <col min="13" max="13" width="32.33203125" style="217" bestFit="1" customWidth="1" collapsed="1"/>
    <col min="14" max="14" width="38" style="217" bestFit="1" customWidth="1" collapsed="1"/>
    <col min="15" max="15" width="42.6640625" style="217" bestFit="1" customWidth="1" collapsed="1"/>
    <col min="16" max="16" width="15.6640625" style="217" bestFit="1" customWidth="1" collapsed="1"/>
    <col min="17" max="16384" width="9.33203125" style="217" collapsed="1"/>
  </cols>
  <sheetData>
    <row r="1" spans="1:16" ht="17.25">
      <c r="A1" s="216" t="s">
        <v>2145</v>
      </c>
    </row>
    <row r="3" spans="1:16" ht="17.25" customHeight="1">
      <c r="A3" s="350" t="s">
        <v>19</v>
      </c>
      <c r="B3" s="350"/>
      <c r="C3" s="350"/>
      <c r="D3" s="350"/>
      <c r="E3" s="350"/>
      <c r="F3" s="350"/>
      <c r="G3" s="350"/>
      <c r="H3" s="350"/>
      <c r="I3" s="351" t="s">
        <v>106</v>
      </c>
      <c r="J3" s="351"/>
      <c r="K3" s="351"/>
      <c r="L3" s="351"/>
      <c r="M3" s="351"/>
      <c r="N3" s="351"/>
      <c r="O3" s="351"/>
      <c r="P3" s="351"/>
    </row>
    <row r="4" spans="1:16" ht="17.25" customHeight="1">
      <c r="A4" s="350" t="s">
        <v>2104</v>
      </c>
      <c r="B4" s="350"/>
      <c r="C4" s="350"/>
      <c r="D4" s="350"/>
      <c r="E4" s="351" t="s">
        <v>2105</v>
      </c>
      <c r="F4" s="351"/>
      <c r="G4" s="351"/>
      <c r="H4" s="351"/>
      <c r="I4" s="350" t="s">
        <v>2104</v>
      </c>
      <c r="J4" s="350"/>
      <c r="K4" s="350"/>
      <c r="L4" s="350"/>
      <c r="M4" s="351" t="s">
        <v>2105</v>
      </c>
      <c r="N4" s="351"/>
      <c r="O4" s="351"/>
      <c r="P4" s="351"/>
    </row>
    <row r="5" spans="1:16">
      <c r="A5" s="352"/>
      <c r="B5" s="352"/>
      <c r="C5" s="353" t="s">
        <v>2106</v>
      </c>
      <c r="D5" s="353"/>
      <c r="E5" s="353"/>
      <c r="F5" s="353"/>
      <c r="G5" s="352"/>
      <c r="H5" s="352"/>
      <c r="I5" s="352"/>
      <c r="J5" s="352"/>
      <c r="K5" s="353" t="s">
        <v>2106</v>
      </c>
      <c r="L5" s="353"/>
      <c r="M5" s="353"/>
      <c r="N5" s="353"/>
      <c r="O5" s="352"/>
      <c r="P5" s="352"/>
    </row>
    <row r="6" spans="1:16" ht="23.25">
      <c r="A6" s="352"/>
      <c r="B6" s="352"/>
      <c r="C6" s="218" t="s">
        <v>2107</v>
      </c>
      <c r="D6" s="218" t="s">
        <v>2146</v>
      </c>
      <c r="E6" s="218" t="s">
        <v>2147</v>
      </c>
      <c r="F6" s="218" t="s">
        <v>2148</v>
      </c>
      <c r="G6" s="352"/>
      <c r="H6" s="352"/>
      <c r="I6" s="352"/>
      <c r="J6" s="352"/>
      <c r="K6" s="218" t="s">
        <v>2107</v>
      </c>
      <c r="L6" s="218" t="s">
        <v>2146</v>
      </c>
      <c r="M6" s="218" t="s">
        <v>2147</v>
      </c>
      <c r="N6" s="218" t="s">
        <v>2148</v>
      </c>
      <c r="O6" s="352"/>
      <c r="P6" s="352"/>
    </row>
    <row r="7" spans="1:16" ht="15.75" thickBot="1">
      <c r="A7" s="355" t="s">
        <v>2109</v>
      </c>
      <c r="B7" s="219" t="s">
        <v>1803</v>
      </c>
      <c r="C7" s="220"/>
      <c r="D7" s="221"/>
      <c r="E7" s="221"/>
      <c r="F7" s="221"/>
      <c r="G7" s="358" t="s">
        <v>2109</v>
      </c>
      <c r="H7" s="222" t="s">
        <v>1803</v>
      </c>
      <c r="I7" s="355" t="s">
        <v>2109</v>
      </c>
      <c r="J7" s="219" t="s">
        <v>1803</v>
      </c>
      <c r="K7" s="220"/>
      <c r="L7" s="221"/>
      <c r="M7" s="221"/>
      <c r="N7" s="221"/>
      <c r="O7" s="358" t="s">
        <v>2109</v>
      </c>
      <c r="P7" s="222" t="s">
        <v>1803</v>
      </c>
    </row>
    <row r="8" spans="1:16" ht="15.75" thickBot="1">
      <c r="A8" s="355"/>
      <c r="B8" s="219" t="s">
        <v>1805</v>
      </c>
      <c r="C8" s="220"/>
      <c r="D8" s="221"/>
      <c r="E8" s="221"/>
      <c r="F8" s="221"/>
      <c r="G8" s="358"/>
      <c r="H8" s="222" t="s">
        <v>1805</v>
      </c>
      <c r="I8" s="355"/>
      <c r="J8" s="219" t="s">
        <v>1805</v>
      </c>
      <c r="K8" s="220"/>
      <c r="L8" s="221"/>
      <c r="M8" s="221"/>
      <c r="N8" s="221"/>
      <c r="O8" s="358"/>
      <c r="P8" s="222" t="s">
        <v>1805</v>
      </c>
    </row>
    <row r="9" spans="1:16" ht="15.75" thickBot="1">
      <c r="A9" s="355"/>
      <c r="B9" s="219" t="s">
        <v>1806</v>
      </c>
      <c r="C9" s="220"/>
      <c r="D9" s="221"/>
      <c r="E9" s="221"/>
      <c r="F9" s="221"/>
      <c r="G9" s="358"/>
      <c r="H9" s="222" t="s">
        <v>1806</v>
      </c>
      <c r="I9" s="355"/>
      <c r="J9" s="219" t="s">
        <v>1806</v>
      </c>
      <c r="K9" s="220"/>
      <c r="L9" s="221"/>
      <c r="M9" s="221"/>
      <c r="N9" s="221"/>
      <c r="O9" s="358"/>
      <c r="P9" s="222" t="s">
        <v>1806</v>
      </c>
    </row>
    <row r="10" spans="1:16" ht="15.75" thickBot="1">
      <c r="A10" s="355"/>
      <c r="B10" s="219" t="s">
        <v>1807</v>
      </c>
      <c r="C10" s="220"/>
      <c r="D10" s="221"/>
      <c r="E10" s="221"/>
      <c r="F10" s="221"/>
      <c r="G10" s="358"/>
      <c r="H10" s="222" t="s">
        <v>1807</v>
      </c>
      <c r="I10" s="355"/>
      <c r="J10" s="219" t="s">
        <v>1807</v>
      </c>
      <c r="K10" s="220"/>
      <c r="L10" s="221"/>
      <c r="M10" s="221"/>
      <c r="N10" s="221"/>
      <c r="O10" s="358"/>
      <c r="P10" s="222" t="s">
        <v>1807</v>
      </c>
    </row>
    <row r="11" spans="1:16" ht="15.75" thickBot="1">
      <c r="A11" s="355"/>
      <c r="B11" s="219" t="s">
        <v>1808</v>
      </c>
      <c r="C11" s="220"/>
      <c r="D11" s="221"/>
      <c r="E11" s="221"/>
      <c r="F11" s="221"/>
      <c r="G11" s="358"/>
      <c r="H11" s="222" t="s">
        <v>1808</v>
      </c>
      <c r="I11" s="355"/>
      <c r="J11" s="219" t="s">
        <v>1808</v>
      </c>
      <c r="K11" s="220"/>
      <c r="L11" s="221"/>
      <c r="M11" s="221"/>
      <c r="N11" s="221"/>
      <c r="O11" s="358"/>
      <c r="P11" s="222" t="s">
        <v>1808</v>
      </c>
    </row>
    <row r="12" spans="1:16" ht="15.75" thickBot="1">
      <c r="A12" s="355"/>
      <c r="B12" s="219" t="s">
        <v>1809</v>
      </c>
      <c r="C12" s="220"/>
      <c r="D12" s="221"/>
      <c r="E12" s="221"/>
      <c r="F12" s="221"/>
      <c r="G12" s="358"/>
      <c r="H12" s="222" t="s">
        <v>1809</v>
      </c>
      <c r="I12" s="355"/>
      <c r="J12" s="219" t="s">
        <v>1809</v>
      </c>
      <c r="K12" s="220"/>
      <c r="L12" s="221"/>
      <c r="M12" s="221"/>
      <c r="N12" s="221"/>
      <c r="O12" s="358"/>
      <c r="P12" s="222" t="s">
        <v>1809</v>
      </c>
    </row>
    <row r="13" spans="1:16" ht="15.75" thickBot="1">
      <c r="A13" s="355"/>
      <c r="B13" s="219" t="s">
        <v>1810</v>
      </c>
      <c r="C13" s="220"/>
      <c r="D13" s="221"/>
      <c r="E13" s="221"/>
      <c r="F13" s="221"/>
      <c r="G13" s="358"/>
      <c r="H13" s="222" t="s">
        <v>1810</v>
      </c>
      <c r="I13" s="355"/>
      <c r="J13" s="219" t="s">
        <v>1810</v>
      </c>
      <c r="K13" s="220"/>
      <c r="L13" s="221"/>
      <c r="M13" s="221"/>
      <c r="N13" s="221"/>
      <c r="O13" s="358"/>
      <c r="P13" s="222" t="s">
        <v>1810</v>
      </c>
    </row>
    <row r="14" spans="1:16" ht="15.75" thickBot="1">
      <c r="A14" s="355"/>
      <c r="B14" s="219" t="s">
        <v>1811</v>
      </c>
      <c r="C14" s="220"/>
      <c r="D14" s="221"/>
      <c r="E14" s="221"/>
      <c r="F14" s="221"/>
      <c r="G14" s="358"/>
      <c r="H14" s="222" t="s">
        <v>1811</v>
      </c>
      <c r="I14" s="355"/>
      <c r="J14" s="219" t="s">
        <v>1811</v>
      </c>
      <c r="K14" s="220"/>
      <c r="L14" s="221"/>
      <c r="M14" s="221"/>
      <c r="N14" s="221"/>
      <c r="O14" s="358"/>
      <c r="P14" s="222" t="s">
        <v>1811</v>
      </c>
    </row>
    <row r="15" spans="1:16" ht="15.75" thickBot="1">
      <c r="A15" s="355"/>
      <c r="B15" s="219" t="s">
        <v>1812</v>
      </c>
      <c r="C15" s="220"/>
      <c r="D15" s="221"/>
      <c r="E15" s="221"/>
      <c r="F15" s="221"/>
      <c r="G15" s="358"/>
      <c r="H15" s="222" t="s">
        <v>1812</v>
      </c>
      <c r="I15" s="355"/>
      <c r="J15" s="219" t="s">
        <v>1812</v>
      </c>
      <c r="K15" s="220"/>
      <c r="L15" s="221"/>
      <c r="M15" s="221"/>
      <c r="N15" s="221"/>
      <c r="O15" s="358"/>
      <c r="P15" s="222" t="s">
        <v>1812</v>
      </c>
    </row>
    <row r="16" spans="1:16" ht="15.75" thickBot="1">
      <c r="A16" s="355"/>
      <c r="B16" s="219" t="s">
        <v>1813</v>
      </c>
      <c r="C16" s="220"/>
      <c r="D16" s="221"/>
      <c r="E16" s="221"/>
      <c r="F16" s="221"/>
      <c r="G16" s="358"/>
      <c r="H16" s="222" t="s">
        <v>1813</v>
      </c>
      <c r="I16" s="355"/>
      <c r="J16" s="219" t="s">
        <v>1813</v>
      </c>
      <c r="K16" s="220"/>
      <c r="L16" s="221"/>
      <c r="M16" s="221"/>
      <c r="N16" s="221"/>
      <c r="O16" s="358"/>
      <c r="P16" s="222" t="s">
        <v>1813</v>
      </c>
    </row>
    <row r="17" spans="1:16" ht="15.75" thickBot="1">
      <c r="A17" s="355"/>
      <c r="B17" s="219" t="s">
        <v>1814</v>
      </c>
      <c r="C17" s="220"/>
      <c r="D17" s="221"/>
      <c r="E17" s="221"/>
      <c r="F17" s="221"/>
      <c r="G17" s="358"/>
      <c r="H17" s="222" t="s">
        <v>1814</v>
      </c>
      <c r="I17" s="355"/>
      <c r="J17" s="219" t="s">
        <v>1814</v>
      </c>
      <c r="K17" s="220"/>
      <c r="L17" s="221"/>
      <c r="M17" s="221"/>
      <c r="N17" s="221"/>
      <c r="O17" s="358"/>
      <c r="P17" s="222" t="s">
        <v>1814</v>
      </c>
    </row>
    <row r="18" spans="1:16" ht="26.25" thickBot="1">
      <c r="A18" s="356"/>
      <c r="B18" s="219" t="s">
        <v>1815</v>
      </c>
      <c r="C18" s="220"/>
      <c r="D18" s="221"/>
      <c r="E18" s="221"/>
      <c r="F18" s="221"/>
      <c r="G18" s="359"/>
      <c r="H18" s="222" t="s">
        <v>1816</v>
      </c>
      <c r="I18" s="356"/>
      <c r="J18" s="219" t="s">
        <v>1815</v>
      </c>
      <c r="K18" s="220"/>
      <c r="L18" s="221"/>
      <c r="M18" s="221"/>
      <c r="N18" s="221"/>
      <c r="O18" s="359"/>
      <c r="P18" s="222" t="s">
        <v>1816</v>
      </c>
    </row>
    <row r="19" spans="1:16" ht="15.75" thickBot="1">
      <c r="A19" s="354" t="s">
        <v>2110</v>
      </c>
      <c r="B19" s="219" t="s">
        <v>1803</v>
      </c>
      <c r="C19" s="220"/>
      <c r="D19" s="221"/>
      <c r="E19" s="221"/>
      <c r="F19" s="221"/>
      <c r="G19" s="357" t="s">
        <v>2110</v>
      </c>
      <c r="H19" s="222" t="s">
        <v>1803</v>
      </c>
      <c r="I19" s="354" t="s">
        <v>2110</v>
      </c>
      <c r="J19" s="219" t="s">
        <v>1803</v>
      </c>
      <c r="K19" s="220"/>
      <c r="L19" s="221"/>
      <c r="M19" s="221"/>
      <c r="N19" s="221"/>
      <c r="O19" s="357" t="s">
        <v>2110</v>
      </c>
      <c r="P19" s="222" t="s">
        <v>1803</v>
      </c>
    </row>
    <row r="20" spans="1:16" ht="15.75" thickBot="1">
      <c r="A20" s="355"/>
      <c r="B20" s="219" t="s">
        <v>1805</v>
      </c>
      <c r="C20" s="220"/>
      <c r="D20" s="221"/>
      <c r="E20" s="221"/>
      <c r="F20" s="221"/>
      <c r="G20" s="358"/>
      <c r="H20" s="222" t="s">
        <v>1805</v>
      </c>
      <c r="I20" s="355"/>
      <c r="J20" s="219" t="s">
        <v>1805</v>
      </c>
      <c r="K20" s="220"/>
      <c r="L20" s="221"/>
      <c r="M20" s="221"/>
      <c r="N20" s="221"/>
      <c r="O20" s="358"/>
      <c r="P20" s="222" t="s">
        <v>1805</v>
      </c>
    </row>
    <row r="21" spans="1:16" ht="15.75" thickBot="1">
      <c r="A21" s="355"/>
      <c r="B21" s="219" t="s">
        <v>1806</v>
      </c>
      <c r="C21" s="220"/>
      <c r="D21" s="221"/>
      <c r="E21" s="221"/>
      <c r="F21" s="221"/>
      <c r="G21" s="358"/>
      <c r="H21" s="222" t="s">
        <v>1806</v>
      </c>
      <c r="I21" s="355"/>
      <c r="J21" s="219" t="s">
        <v>1806</v>
      </c>
      <c r="K21" s="220"/>
      <c r="L21" s="221"/>
      <c r="M21" s="221"/>
      <c r="N21" s="221"/>
      <c r="O21" s="358"/>
      <c r="P21" s="222" t="s">
        <v>1806</v>
      </c>
    </row>
    <row r="22" spans="1:16" ht="15.75" thickBot="1">
      <c r="A22" s="355"/>
      <c r="B22" s="219" t="s">
        <v>1807</v>
      </c>
      <c r="C22" s="220"/>
      <c r="D22" s="221"/>
      <c r="E22" s="221"/>
      <c r="F22" s="221"/>
      <c r="G22" s="358"/>
      <c r="H22" s="222" t="s">
        <v>1807</v>
      </c>
      <c r="I22" s="355"/>
      <c r="J22" s="219" t="s">
        <v>1807</v>
      </c>
      <c r="K22" s="220"/>
      <c r="L22" s="221"/>
      <c r="M22" s="221"/>
      <c r="N22" s="221"/>
      <c r="O22" s="358"/>
      <c r="P22" s="222" t="s">
        <v>1807</v>
      </c>
    </row>
    <row r="23" spans="1:16" ht="15.75" thickBot="1">
      <c r="A23" s="355"/>
      <c r="B23" s="219" t="s">
        <v>1808</v>
      </c>
      <c r="C23" s="220"/>
      <c r="D23" s="221"/>
      <c r="E23" s="221"/>
      <c r="F23" s="221"/>
      <c r="G23" s="358"/>
      <c r="H23" s="222" t="s">
        <v>1808</v>
      </c>
      <c r="I23" s="355"/>
      <c r="J23" s="219" t="s">
        <v>1808</v>
      </c>
      <c r="K23" s="220"/>
      <c r="L23" s="221"/>
      <c r="M23" s="221"/>
      <c r="N23" s="221"/>
      <c r="O23" s="358"/>
      <c r="P23" s="222" t="s">
        <v>1808</v>
      </c>
    </row>
    <row r="24" spans="1:16" ht="15.75" thickBot="1">
      <c r="A24" s="355"/>
      <c r="B24" s="219" t="s">
        <v>1809</v>
      </c>
      <c r="C24" s="220"/>
      <c r="D24" s="221"/>
      <c r="E24" s="221"/>
      <c r="F24" s="221"/>
      <c r="G24" s="358"/>
      <c r="H24" s="222" t="s">
        <v>1809</v>
      </c>
      <c r="I24" s="355"/>
      <c r="J24" s="219" t="s">
        <v>1809</v>
      </c>
      <c r="K24" s="220"/>
      <c r="L24" s="221"/>
      <c r="M24" s="221"/>
      <c r="N24" s="221"/>
      <c r="O24" s="358"/>
      <c r="P24" s="222" t="s">
        <v>1809</v>
      </c>
    </row>
    <row r="25" spans="1:16" ht="15.75" thickBot="1">
      <c r="A25" s="355"/>
      <c r="B25" s="219" t="s">
        <v>1810</v>
      </c>
      <c r="C25" s="220"/>
      <c r="D25" s="221"/>
      <c r="E25" s="221"/>
      <c r="F25" s="221"/>
      <c r="G25" s="358"/>
      <c r="H25" s="222" t="s">
        <v>1810</v>
      </c>
      <c r="I25" s="355"/>
      <c r="J25" s="219" t="s">
        <v>1810</v>
      </c>
      <c r="K25" s="220"/>
      <c r="L25" s="221"/>
      <c r="M25" s="221"/>
      <c r="N25" s="221"/>
      <c r="O25" s="358"/>
      <c r="P25" s="222" t="s">
        <v>1810</v>
      </c>
    </row>
    <row r="26" spans="1:16" ht="15.75" thickBot="1">
      <c r="A26" s="355"/>
      <c r="B26" s="219" t="s">
        <v>1811</v>
      </c>
      <c r="C26" s="220"/>
      <c r="D26" s="221"/>
      <c r="E26" s="221"/>
      <c r="F26" s="221"/>
      <c r="G26" s="358"/>
      <c r="H26" s="222" t="s">
        <v>1811</v>
      </c>
      <c r="I26" s="355"/>
      <c r="J26" s="219" t="s">
        <v>1811</v>
      </c>
      <c r="K26" s="220"/>
      <c r="L26" s="221"/>
      <c r="M26" s="221"/>
      <c r="N26" s="221"/>
      <c r="O26" s="358"/>
      <c r="P26" s="222" t="s">
        <v>1811</v>
      </c>
    </row>
    <row r="27" spans="1:16" ht="15.75" thickBot="1">
      <c r="A27" s="355"/>
      <c r="B27" s="219" t="s">
        <v>1812</v>
      </c>
      <c r="C27" s="220"/>
      <c r="D27" s="221"/>
      <c r="E27" s="221"/>
      <c r="F27" s="221"/>
      <c r="G27" s="358"/>
      <c r="H27" s="222" t="s">
        <v>1812</v>
      </c>
      <c r="I27" s="355"/>
      <c r="J27" s="219" t="s">
        <v>1812</v>
      </c>
      <c r="K27" s="220"/>
      <c r="L27" s="221"/>
      <c r="M27" s="221"/>
      <c r="N27" s="221"/>
      <c r="O27" s="358"/>
      <c r="P27" s="222" t="s">
        <v>1812</v>
      </c>
    </row>
    <row r="28" spans="1:16" ht="15.75" thickBot="1">
      <c r="A28" s="355"/>
      <c r="B28" s="219" t="s">
        <v>1813</v>
      </c>
      <c r="C28" s="220"/>
      <c r="D28" s="221"/>
      <c r="E28" s="221"/>
      <c r="F28" s="221"/>
      <c r="G28" s="358"/>
      <c r="H28" s="222" t="s">
        <v>1813</v>
      </c>
      <c r="I28" s="355"/>
      <c r="J28" s="219" t="s">
        <v>1813</v>
      </c>
      <c r="K28" s="220"/>
      <c r="L28" s="221"/>
      <c r="M28" s="221"/>
      <c r="N28" s="221"/>
      <c r="O28" s="358"/>
      <c r="P28" s="222" t="s">
        <v>1813</v>
      </c>
    </row>
    <row r="29" spans="1:16" ht="15.75" thickBot="1">
      <c r="A29" s="355"/>
      <c r="B29" s="219" t="s">
        <v>1814</v>
      </c>
      <c r="C29" s="220"/>
      <c r="D29" s="221"/>
      <c r="E29" s="221"/>
      <c r="F29" s="221"/>
      <c r="G29" s="358"/>
      <c r="H29" s="222" t="s">
        <v>1814</v>
      </c>
      <c r="I29" s="355"/>
      <c r="J29" s="219" t="s">
        <v>1814</v>
      </c>
      <c r="K29" s="220"/>
      <c r="L29" s="221"/>
      <c r="M29" s="221"/>
      <c r="N29" s="221"/>
      <c r="O29" s="358"/>
      <c r="P29" s="222" t="s">
        <v>1814</v>
      </c>
    </row>
    <row r="30" spans="1:16" ht="26.25" thickBot="1">
      <c r="A30" s="356"/>
      <c r="B30" s="219" t="s">
        <v>1815</v>
      </c>
      <c r="C30" s="220"/>
      <c r="D30" s="221"/>
      <c r="E30" s="221"/>
      <c r="F30" s="221"/>
      <c r="G30" s="359"/>
      <c r="H30" s="222" t="s">
        <v>1816</v>
      </c>
      <c r="I30" s="356"/>
      <c r="J30" s="219" t="s">
        <v>1815</v>
      </c>
      <c r="K30" s="220"/>
      <c r="L30" s="221"/>
      <c r="M30" s="221"/>
      <c r="N30" s="221"/>
      <c r="O30" s="359"/>
      <c r="P30" s="222" t="s">
        <v>1816</v>
      </c>
    </row>
    <row r="31" spans="1:16" ht="15.75" thickBot="1">
      <c r="A31" s="354" t="s">
        <v>2111</v>
      </c>
      <c r="B31" s="219" t="s">
        <v>1803</v>
      </c>
      <c r="C31" s="220"/>
      <c r="D31" s="221"/>
      <c r="E31" s="221"/>
      <c r="F31" s="221"/>
      <c r="G31" s="357" t="s">
        <v>2111</v>
      </c>
      <c r="H31" s="222" t="s">
        <v>1803</v>
      </c>
      <c r="I31" s="354" t="s">
        <v>2111</v>
      </c>
      <c r="J31" s="219" t="s">
        <v>1803</v>
      </c>
      <c r="K31" s="220"/>
      <c r="L31" s="221"/>
      <c r="M31" s="221"/>
      <c r="N31" s="221"/>
      <c r="O31" s="357" t="s">
        <v>2111</v>
      </c>
      <c r="P31" s="222" t="s">
        <v>1803</v>
      </c>
    </row>
    <row r="32" spans="1:16" ht="15.75" thickBot="1">
      <c r="A32" s="355"/>
      <c r="B32" s="219" t="s">
        <v>1805</v>
      </c>
      <c r="C32" s="220"/>
      <c r="D32" s="221"/>
      <c r="E32" s="221"/>
      <c r="F32" s="221"/>
      <c r="G32" s="358"/>
      <c r="H32" s="222" t="s">
        <v>1805</v>
      </c>
      <c r="I32" s="355"/>
      <c r="J32" s="219" t="s">
        <v>1805</v>
      </c>
      <c r="K32" s="220"/>
      <c r="L32" s="221"/>
      <c r="M32" s="221"/>
      <c r="N32" s="221"/>
      <c r="O32" s="358"/>
      <c r="P32" s="222" t="s">
        <v>1805</v>
      </c>
    </row>
    <row r="33" spans="1:16" ht="15.75" thickBot="1">
      <c r="A33" s="355"/>
      <c r="B33" s="219" t="s">
        <v>1806</v>
      </c>
      <c r="C33" s="220"/>
      <c r="D33" s="221"/>
      <c r="E33" s="221"/>
      <c r="F33" s="221"/>
      <c r="G33" s="358"/>
      <c r="H33" s="222" t="s">
        <v>1806</v>
      </c>
      <c r="I33" s="355"/>
      <c r="J33" s="219" t="s">
        <v>1806</v>
      </c>
      <c r="K33" s="220"/>
      <c r="L33" s="221"/>
      <c r="M33" s="221"/>
      <c r="N33" s="221"/>
      <c r="O33" s="358"/>
      <c r="P33" s="222" t="s">
        <v>1806</v>
      </c>
    </row>
    <row r="34" spans="1:16" ht="15.75" thickBot="1">
      <c r="A34" s="355"/>
      <c r="B34" s="219" t="s">
        <v>1807</v>
      </c>
      <c r="C34" s="220"/>
      <c r="D34" s="221"/>
      <c r="E34" s="221"/>
      <c r="F34" s="221"/>
      <c r="G34" s="358"/>
      <c r="H34" s="222" t="s">
        <v>1807</v>
      </c>
      <c r="I34" s="355"/>
      <c r="J34" s="219" t="s">
        <v>1807</v>
      </c>
      <c r="K34" s="220"/>
      <c r="L34" s="221"/>
      <c r="M34" s="221"/>
      <c r="N34" s="221"/>
      <c r="O34" s="358"/>
      <c r="P34" s="222" t="s">
        <v>1807</v>
      </c>
    </row>
    <row r="35" spans="1:16" ht="15.75" thickBot="1">
      <c r="A35" s="355"/>
      <c r="B35" s="219" t="s">
        <v>1808</v>
      </c>
      <c r="C35" s="220"/>
      <c r="D35" s="221"/>
      <c r="E35" s="221"/>
      <c r="F35" s="221"/>
      <c r="G35" s="358"/>
      <c r="H35" s="222" t="s">
        <v>1808</v>
      </c>
      <c r="I35" s="355"/>
      <c r="J35" s="219" t="s">
        <v>1808</v>
      </c>
      <c r="K35" s="220"/>
      <c r="L35" s="221"/>
      <c r="M35" s="221"/>
      <c r="N35" s="221"/>
      <c r="O35" s="358"/>
      <c r="P35" s="222" t="s">
        <v>1808</v>
      </c>
    </row>
    <row r="36" spans="1:16" ht="15.75" thickBot="1">
      <c r="A36" s="355"/>
      <c r="B36" s="219" t="s">
        <v>1809</v>
      </c>
      <c r="C36" s="220"/>
      <c r="D36" s="221"/>
      <c r="E36" s="221"/>
      <c r="F36" s="221"/>
      <c r="G36" s="358"/>
      <c r="H36" s="222" t="s">
        <v>1809</v>
      </c>
      <c r="I36" s="355"/>
      <c r="J36" s="219" t="s">
        <v>1809</v>
      </c>
      <c r="K36" s="220"/>
      <c r="L36" s="221"/>
      <c r="M36" s="221"/>
      <c r="N36" s="221"/>
      <c r="O36" s="358"/>
      <c r="P36" s="222" t="s">
        <v>1809</v>
      </c>
    </row>
    <row r="37" spans="1:16" ht="15.75" thickBot="1">
      <c r="A37" s="355"/>
      <c r="B37" s="219" t="s">
        <v>1810</v>
      </c>
      <c r="C37" s="220"/>
      <c r="D37" s="221"/>
      <c r="E37" s="221"/>
      <c r="F37" s="221"/>
      <c r="G37" s="358"/>
      <c r="H37" s="222" t="s">
        <v>1810</v>
      </c>
      <c r="I37" s="355"/>
      <c r="J37" s="219" t="s">
        <v>1810</v>
      </c>
      <c r="K37" s="220"/>
      <c r="L37" s="221"/>
      <c r="M37" s="221"/>
      <c r="N37" s="221"/>
      <c r="O37" s="358"/>
      <c r="P37" s="222" t="s">
        <v>1810</v>
      </c>
    </row>
    <row r="38" spans="1:16" ht="15.75" thickBot="1">
      <c r="A38" s="355"/>
      <c r="B38" s="219" t="s">
        <v>1811</v>
      </c>
      <c r="C38" s="220"/>
      <c r="D38" s="221"/>
      <c r="E38" s="221"/>
      <c r="F38" s="221"/>
      <c r="G38" s="358"/>
      <c r="H38" s="222" t="s">
        <v>1811</v>
      </c>
      <c r="I38" s="355"/>
      <c r="J38" s="219" t="s">
        <v>1811</v>
      </c>
      <c r="K38" s="220"/>
      <c r="L38" s="221"/>
      <c r="M38" s="221"/>
      <c r="N38" s="221"/>
      <c r="O38" s="358"/>
      <c r="P38" s="222" t="s">
        <v>1811</v>
      </c>
    </row>
    <row r="39" spans="1:16" ht="15.75" thickBot="1">
      <c r="A39" s="355"/>
      <c r="B39" s="219" t="s">
        <v>1812</v>
      </c>
      <c r="C39" s="220"/>
      <c r="D39" s="221"/>
      <c r="E39" s="221"/>
      <c r="F39" s="221"/>
      <c r="G39" s="358"/>
      <c r="H39" s="222" t="s">
        <v>1812</v>
      </c>
      <c r="I39" s="355"/>
      <c r="J39" s="219" t="s">
        <v>1812</v>
      </c>
      <c r="K39" s="220"/>
      <c r="L39" s="221"/>
      <c r="M39" s="221"/>
      <c r="N39" s="221"/>
      <c r="O39" s="358"/>
      <c r="P39" s="222" t="s">
        <v>1812</v>
      </c>
    </row>
    <row r="40" spans="1:16" ht="15.75" thickBot="1">
      <c r="A40" s="355"/>
      <c r="B40" s="219" t="s">
        <v>1813</v>
      </c>
      <c r="C40" s="220"/>
      <c r="D40" s="221"/>
      <c r="E40" s="221"/>
      <c r="F40" s="221"/>
      <c r="G40" s="358"/>
      <c r="H40" s="222" t="s">
        <v>1813</v>
      </c>
      <c r="I40" s="355"/>
      <c r="J40" s="219" t="s">
        <v>1813</v>
      </c>
      <c r="K40" s="220"/>
      <c r="L40" s="221"/>
      <c r="M40" s="221"/>
      <c r="N40" s="221"/>
      <c r="O40" s="358"/>
      <c r="P40" s="222" t="s">
        <v>1813</v>
      </c>
    </row>
    <row r="41" spans="1:16" ht="15.75" thickBot="1">
      <c r="A41" s="355"/>
      <c r="B41" s="219" t="s">
        <v>1814</v>
      </c>
      <c r="C41" s="220"/>
      <c r="D41" s="221"/>
      <c r="E41" s="221"/>
      <c r="F41" s="221"/>
      <c r="G41" s="358"/>
      <c r="H41" s="222" t="s">
        <v>1814</v>
      </c>
      <c r="I41" s="355"/>
      <c r="J41" s="219" t="s">
        <v>1814</v>
      </c>
      <c r="K41" s="220"/>
      <c r="L41" s="221"/>
      <c r="M41" s="221"/>
      <c r="N41" s="221"/>
      <c r="O41" s="358"/>
      <c r="P41" s="222" t="s">
        <v>1814</v>
      </c>
    </row>
    <row r="42" spans="1:16" ht="26.25" thickBot="1">
      <c r="A42" s="356"/>
      <c r="B42" s="219" t="s">
        <v>1815</v>
      </c>
      <c r="C42" s="220"/>
      <c r="D42" s="221"/>
      <c r="E42" s="221"/>
      <c r="F42" s="221"/>
      <c r="G42" s="359"/>
      <c r="H42" s="222" t="s">
        <v>1816</v>
      </c>
      <c r="I42" s="356"/>
      <c r="J42" s="219" t="s">
        <v>1815</v>
      </c>
      <c r="K42" s="220"/>
      <c r="L42" s="221"/>
      <c r="M42" s="221"/>
      <c r="N42" s="221"/>
      <c r="O42" s="359"/>
      <c r="P42" s="222" t="s">
        <v>1816</v>
      </c>
    </row>
    <row r="43" spans="1:16" ht="15.75" thickBot="1">
      <c r="A43" s="354" t="s">
        <v>2112</v>
      </c>
      <c r="B43" s="219" t="s">
        <v>1803</v>
      </c>
      <c r="C43" s="220"/>
      <c r="D43" s="221"/>
      <c r="E43" s="221"/>
      <c r="F43" s="221"/>
      <c r="G43" s="357" t="s">
        <v>2112</v>
      </c>
      <c r="H43" s="222" t="s">
        <v>1803</v>
      </c>
      <c r="I43" s="354" t="s">
        <v>2112</v>
      </c>
      <c r="J43" s="219" t="s">
        <v>1803</v>
      </c>
      <c r="K43" s="220"/>
      <c r="L43" s="221"/>
      <c r="M43" s="221"/>
      <c r="N43" s="221"/>
      <c r="O43" s="357" t="s">
        <v>2112</v>
      </c>
      <c r="P43" s="222" t="s">
        <v>1803</v>
      </c>
    </row>
    <row r="44" spans="1:16" ht="15.75" thickBot="1">
      <c r="A44" s="355"/>
      <c r="B44" s="219" t="s">
        <v>1805</v>
      </c>
      <c r="C44" s="220"/>
      <c r="D44" s="221"/>
      <c r="E44" s="221"/>
      <c r="F44" s="221"/>
      <c r="G44" s="358"/>
      <c r="H44" s="222" t="s">
        <v>1805</v>
      </c>
      <c r="I44" s="355"/>
      <c r="J44" s="219" t="s">
        <v>1805</v>
      </c>
      <c r="K44" s="220"/>
      <c r="L44" s="221"/>
      <c r="M44" s="221"/>
      <c r="N44" s="221"/>
      <c r="O44" s="358"/>
      <c r="P44" s="222" t="s">
        <v>1805</v>
      </c>
    </row>
    <row r="45" spans="1:16" ht="15.75" thickBot="1">
      <c r="A45" s="355"/>
      <c r="B45" s="219" t="s">
        <v>1806</v>
      </c>
      <c r="C45" s="220"/>
      <c r="D45" s="221"/>
      <c r="E45" s="221"/>
      <c r="F45" s="221"/>
      <c r="G45" s="358"/>
      <c r="H45" s="222" t="s">
        <v>1806</v>
      </c>
      <c r="I45" s="355"/>
      <c r="J45" s="219" t="s">
        <v>1806</v>
      </c>
      <c r="K45" s="220"/>
      <c r="L45" s="221"/>
      <c r="M45" s="221"/>
      <c r="N45" s="221"/>
      <c r="O45" s="358"/>
      <c r="P45" s="222" t="s">
        <v>1806</v>
      </c>
    </row>
    <row r="46" spans="1:16" ht="15.75" thickBot="1">
      <c r="A46" s="355"/>
      <c r="B46" s="219" t="s">
        <v>1807</v>
      </c>
      <c r="C46" s="220"/>
      <c r="D46" s="221"/>
      <c r="E46" s="221"/>
      <c r="F46" s="221"/>
      <c r="G46" s="358"/>
      <c r="H46" s="222" t="s">
        <v>1807</v>
      </c>
      <c r="I46" s="355"/>
      <c r="J46" s="219" t="s">
        <v>1807</v>
      </c>
      <c r="K46" s="220"/>
      <c r="L46" s="221"/>
      <c r="M46" s="221"/>
      <c r="N46" s="221"/>
      <c r="O46" s="358"/>
      <c r="P46" s="222" t="s">
        <v>1807</v>
      </c>
    </row>
    <row r="47" spans="1:16" ht="15.75" thickBot="1">
      <c r="A47" s="355"/>
      <c r="B47" s="219" t="s">
        <v>1808</v>
      </c>
      <c r="C47" s="220"/>
      <c r="D47" s="221"/>
      <c r="E47" s="221"/>
      <c r="F47" s="221"/>
      <c r="G47" s="358"/>
      <c r="H47" s="222" t="s">
        <v>1808</v>
      </c>
      <c r="I47" s="355"/>
      <c r="J47" s="219" t="s">
        <v>1808</v>
      </c>
      <c r="K47" s="220"/>
      <c r="L47" s="221"/>
      <c r="M47" s="221"/>
      <c r="N47" s="221"/>
      <c r="O47" s="358"/>
      <c r="P47" s="222" t="s">
        <v>1808</v>
      </c>
    </row>
    <row r="48" spans="1:16" ht="15.75" thickBot="1">
      <c r="A48" s="355"/>
      <c r="B48" s="219" t="s">
        <v>1809</v>
      </c>
      <c r="C48" s="220"/>
      <c r="D48" s="221"/>
      <c r="E48" s="221"/>
      <c r="F48" s="221"/>
      <c r="G48" s="358"/>
      <c r="H48" s="222" t="s">
        <v>1809</v>
      </c>
      <c r="I48" s="355"/>
      <c r="J48" s="219" t="s">
        <v>1809</v>
      </c>
      <c r="K48" s="220"/>
      <c r="L48" s="221"/>
      <c r="M48" s="221"/>
      <c r="N48" s="221"/>
      <c r="O48" s="358"/>
      <c r="P48" s="222" t="s">
        <v>1809</v>
      </c>
    </row>
    <row r="49" spans="1:16" ht="15.75" thickBot="1">
      <c r="A49" s="355"/>
      <c r="B49" s="219" t="s">
        <v>1810</v>
      </c>
      <c r="C49" s="220"/>
      <c r="D49" s="221"/>
      <c r="E49" s="221"/>
      <c r="F49" s="221"/>
      <c r="G49" s="358"/>
      <c r="H49" s="222" t="s">
        <v>1810</v>
      </c>
      <c r="I49" s="355"/>
      <c r="J49" s="219" t="s">
        <v>1810</v>
      </c>
      <c r="K49" s="220"/>
      <c r="L49" s="221"/>
      <c r="M49" s="221"/>
      <c r="N49" s="221"/>
      <c r="O49" s="358"/>
      <c r="P49" s="222" t="s">
        <v>1810</v>
      </c>
    </row>
    <row r="50" spans="1:16" ht="15.75" thickBot="1">
      <c r="A50" s="355"/>
      <c r="B50" s="219" t="s">
        <v>1811</v>
      </c>
      <c r="C50" s="220"/>
      <c r="D50" s="221"/>
      <c r="E50" s="221"/>
      <c r="F50" s="221"/>
      <c r="G50" s="358"/>
      <c r="H50" s="222" t="s">
        <v>1811</v>
      </c>
      <c r="I50" s="355"/>
      <c r="J50" s="219" t="s">
        <v>1811</v>
      </c>
      <c r="K50" s="220"/>
      <c r="L50" s="221"/>
      <c r="M50" s="221"/>
      <c r="N50" s="221"/>
      <c r="O50" s="358"/>
      <c r="P50" s="222" t="s">
        <v>1811</v>
      </c>
    </row>
    <row r="51" spans="1:16" ht="15.75" thickBot="1">
      <c r="A51" s="355"/>
      <c r="B51" s="219" t="s">
        <v>1812</v>
      </c>
      <c r="C51" s="220"/>
      <c r="D51" s="221"/>
      <c r="E51" s="221"/>
      <c r="F51" s="221"/>
      <c r="G51" s="358"/>
      <c r="H51" s="222" t="s">
        <v>1812</v>
      </c>
      <c r="I51" s="355"/>
      <c r="J51" s="219" t="s">
        <v>1812</v>
      </c>
      <c r="K51" s="220"/>
      <c r="L51" s="221"/>
      <c r="M51" s="221"/>
      <c r="N51" s="221"/>
      <c r="O51" s="358"/>
      <c r="P51" s="222" t="s">
        <v>1812</v>
      </c>
    </row>
    <row r="52" spans="1:16" ht="15.75" thickBot="1">
      <c r="A52" s="355"/>
      <c r="B52" s="219" t="s">
        <v>1813</v>
      </c>
      <c r="C52" s="220"/>
      <c r="D52" s="221"/>
      <c r="E52" s="221"/>
      <c r="F52" s="221"/>
      <c r="G52" s="358"/>
      <c r="H52" s="222" t="s">
        <v>1813</v>
      </c>
      <c r="I52" s="355"/>
      <c r="J52" s="219" t="s">
        <v>1813</v>
      </c>
      <c r="K52" s="220"/>
      <c r="L52" s="221"/>
      <c r="M52" s="221"/>
      <c r="N52" s="221"/>
      <c r="O52" s="358"/>
      <c r="P52" s="222" t="s">
        <v>1813</v>
      </c>
    </row>
    <row r="53" spans="1:16" ht="15.75" thickBot="1">
      <c r="A53" s="355"/>
      <c r="B53" s="219" t="s">
        <v>1814</v>
      </c>
      <c r="C53" s="220"/>
      <c r="D53" s="221"/>
      <c r="E53" s="221"/>
      <c r="F53" s="221"/>
      <c r="G53" s="358"/>
      <c r="H53" s="222" t="s">
        <v>1814</v>
      </c>
      <c r="I53" s="355"/>
      <c r="J53" s="219" t="s">
        <v>1814</v>
      </c>
      <c r="K53" s="220"/>
      <c r="L53" s="221"/>
      <c r="M53" s="221"/>
      <c r="N53" s="221"/>
      <c r="O53" s="358"/>
      <c r="P53" s="222" t="s">
        <v>1814</v>
      </c>
    </row>
    <row r="54" spans="1:16" ht="26.25" thickBot="1">
      <c r="A54" s="356"/>
      <c r="B54" s="219" t="s">
        <v>1815</v>
      </c>
      <c r="C54" s="220"/>
      <c r="D54" s="221"/>
      <c r="E54" s="221"/>
      <c r="F54" s="221"/>
      <c r="G54" s="359"/>
      <c r="H54" s="222" t="s">
        <v>1816</v>
      </c>
      <c r="I54" s="356"/>
      <c r="J54" s="219" t="s">
        <v>1815</v>
      </c>
      <c r="K54" s="220"/>
      <c r="L54" s="221"/>
      <c r="M54" s="221"/>
      <c r="N54" s="221"/>
      <c r="O54" s="359"/>
      <c r="P54" s="222" t="s">
        <v>1816</v>
      </c>
    </row>
    <row r="55" spans="1:16" ht="15.75" thickBot="1">
      <c r="A55" s="354" t="s">
        <v>2113</v>
      </c>
      <c r="B55" s="219" t="s">
        <v>1803</v>
      </c>
      <c r="C55" s="220"/>
      <c r="D55" s="221"/>
      <c r="E55" s="221"/>
      <c r="F55" s="221"/>
      <c r="G55" s="357" t="s">
        <v>2113</v>
      </c>
      <c r="H55" s="222" t="s">
        <v>1803</v>
      </c>
      <c r="I55" s="354" t="s">
        <v>2113</v>
      </c>
      <c r="J55" s="219" t="s">
        <v>1803</v>
      </c>
      <c r="K55" s="220"/>
      <c r="L55" s="221"/>
      <c r="M55" s="221"/>
      <c r="N55" s="221"/>
      <c r="O55" s="357" t="s">
        <v>2113</v>
      </c>
      <c r="P55" s="222" t="s">
        <v>1803</v>
      </c>
    </row>
    <row r="56" spans="1:16" ht="15.75" thickBot="1">
      <c r="A56" s="355"/>
      <c r="B56" s="219" t="s">
        <v>1805</v>
      </c>
      <c r="C56" s="220"/>
      <c r="D56" s="221"/>
      <c r="E56" s="221"/>
      <c r="F56" s="221"/>
      <c r="G56" s="358"/>
      <c r="H56" s="222" t="s">
        <v>1805</v>
      </c>
      <c r="I56" s="355"/>
      <c r="J56" s="219" t="s">
        <v>1805</v>
      </c>
      <c r="K56" s="220"/>
      <c r="L56" s="221"/>
      <c r="M56" s="221"/>
      <c r="N56" s="221"/>
      <c r="O56" s="358"/>
      <c r="P56" s="222" t="s">
        <v>1805</v>
      </c>
    </row>
    <row r="57" spans="1:16" ht="15.75" thickBot="1">
      <c r="A57" s="355"/>
      <c r="B57" s="219" t="s">
        <v>1806</v>
      </c>
      <c r="C57" s="220"/>
      <c r="D57" s="221"/>
      <c r="E57" s="221"/>
      <c r="F57" s="221"/>
      <c r="G57" s="358"/>
      <c r="H57" s="222" t="s">
        <v>1806</v>
      </c>
      <c r="I57" s="355"/>
      <c r="J57" s="219" t="s">
        <v>1806</v>
      </c>
      <c r="K57" s="220"/>
      <c r="L57" s="221"/>
      <c r="M57" s="221"/>
      <c r="N57" s="221"/>
      <c r="O57" s="358"/>
      <c r="P57" s="222" t="s">
        <v>1806</v>
      </c>
    </row>
    <row r="58" spans="1:16" ht="15.75" thickBot="1">
      <c r="A58" s="355"/>
      <c r="B58" s="219" t="s">
        <v>1807</v>
      </c>
      <c r="C58" s="220"/>
      <c r="D58" s="221"/>
      <c r="E58" s="221"/>
      <c r="F58" s="221"/>
      <c r="G58" s="358"/>
      <c r="H58" s="222" t="s">
        <v>1807</v>
      </c>
      <c r="I58" s="355"/>
      <c r="J58" s="219" t="s">
        <v>1807</v>
      </c>
      <c r="K58" s="220"/>
      <c r="L58" s="221"/>
      <c r="M58" s="221"/>
      <c r="N58" s="221"/>
      <c r="O58" s="358"/>
      <c r="P58" s="222" t="s">
        <v>1807</v>
      </c>
    </row>
    <row r="59" spans="1:16" ht="15.75" thickBot="1">
      <c r="A59" s="355"/>
      <c r="B59" s="219" t="s">
        <v>1808</v>
      </c>
      <c r="C59" s="220"/>
      <c r="D59" s="221"/>
      <c r="E59" s="221"/>
      <c r="F59" s="221"/>
      <c r="G59" s="358"/>
      <c r="H59" s="222" t="s">
        <v>1808</v>
      </c>
      <c r="I59" s="355"/>
      <c r="J59" s="219" t="s">
        <v>1808</v>
      </c>
      <c r="K59" s="220"/>
      <c r="L59" s="221"/>
      <c r="M59" s="221"/>
      <c r="N59" s="221"/>
      <c r="O59" s="358"/>
      <c r="P59" s="222" t="s">
        <v>1808</v>
      </c>
    </row>
    <row r="60" spans="1:16" ht="15.75" thickBot="1">
      <c r="A60" s="355"/>
      <c r="B60" s="219" t="s">
        <v>1809</v>
      </c>
      <c r="C60" s="220"/>
      <c r="D60" s="221"/>
      <c r="E60" s="221"/>
      <c r="F60" s="221"/>
      <c r="G60" s="358"/>
      <c r="H60" s="222" t="s">
        <v>1809</v>
      </c>
      <c r="I60" s="355"/>
      <c r="J60" s="219" t="s">
        <v>1809</v>
      </c>
      <c r="K60" s="220"/>
      <c r="L60" s="221"/>
      <c r="M60" s="221"/>
      <c r="N60" s="221"/>
      <c r="O60" s="358"/>
      <c r="P60" s="222" t="s">
        <v>1809</v>
      </c>
    </row>
    <row r="61" spans="1:16" ht="15.75" thickBot="1">
      <c r="A61" s="355"/>
      <c r="B61" s="219" t="s">
        <v>1810</v>
      </c>
      <c r="C61" s="220"/>
      <c r="D61" s="221"/>
      <c r="E61" s="221"/>
      <c r="F61" s="221"/>
      <c r="G61" s="358"/>
      <c r="H61" s="222" t="s">
        <v>1810</v>
      </c>
      <c r="I61" s="355"/>
      <c r="J61" s="219" t="s">
        <v>1810</v>
      </c>
      <c r="K61" s="220"/>
      <c r="L61" s="221"/>
      <c r="M61" s="221"/>
      <c r="N61" s="221"/>
      <c r="O61" s="358"/>
      <c r="P61" s="222" t="s">
        <v>1810</v>
      </c>
    </row>
    <row r="62" spans="1:16" ht="15.75" thickBot="1">
      <c r="A62" s="355"/>
      <c r="B62" s="219" t="s">
        <v>1811</v>
      </c>
      <c r="C62" s="220"/>
      <c r="D62" s="221"/>
      <c r="E62" s="221"/>
      <c r="F62" s="221"/>
      <c r="G62" s="358"/>
      <c r="H62" s="222" t="s">
        <v>1811</v>
      </c>
      <c r="I62" s="355"/>
      <c r="J62" s="219" t="s">
        <v>1811</v>
      </c>
      <c r="K62" s="220"/>
      <c r="L62" s="221"/>
      <c r="M62" s="221"/>
      <c r="N62" s="221"/>
      <c r="O62" s="358"/>
      <c r="P62" s="222" t="s">
        <v>1811</v>
      </c>
    </row>
    <row r="63" spans="1:16" ht="15.75" thickBot="1">
      <c r="A63" s="355"/>
      <c r="B63" s="219" t="s">
        <v>1812</v>
      </c>
      <c r="C63" s="220"/>
      <c r="D63" s="221"/>
      <c r="E63" s="221"/>
      <c r="F63" s="221"/>
      <c r="G63" s="358"/>
      <c r="H63" s="222" t="s">
        <v>1812</v>
      </c>
      <c r="I63" s="355"/>
      <c r="J63" s="219" t="s">
        <v>1812</v>
      </c>
      <c r="K63" s="220"/>
      <c r="L63" s="221"/>
      <c r="M63" s="221"/>
      <c r="N63" s="221"/>
      <c r="O63" s="358"/>
      <c r="P63" s="222" t="s">
        <v>1812</v>
      </c>
    </row>
    <row r="64" spans="1:16" ht="15.75" thickBot="1">
      <c r="A64" s="355"/>
      <c r="B64" s="219" t="s">
        <v>1813</v>
      </c>
      <c r="C64" s="220"/>
      <c r="D64" s="221"/>
      <c r="E64" s="221"/>
      <c r="F64" s="221"/>
      <c r="G64" s="358"/>
      <c r="H64" s="222" t="s">
        <v>1813</v>
      </c>
      <c r="I64" s="355"/>
      <c r="J64" s="219" t="s">
        <v>1813</v>
      </c>
      <c r="K64" s="220"/>
      <c r="L64" s="221"/>
      <c r="M64" s="221"/>
      <c r="N64" s="221"/>
      <c r="O64" s="358"/>
      <c r="P64" s="222" t="s">
        <v>1813</v>
      </c>
    </row>
    <row r="65" spans="1:16" ht="15.75" thickBot="1">
      <c r="A65" s="355"/>
      <c r="B65" s="219" t="s">
        <v>1814</v>
      </c>
      <c r="C65" s="220"/>
      <c r="D65" s="221"/>
      <c r="E65" s="221"/>
      <c r="F65" s="221"/>
      <c r="G65" s="358"/>
      <c r="H65" s="222" t="s">
        <v>1814</v>
      </c>
      <c r="I65" s="355"/>
      <c r="J65" s="219" t="s">
        <v>1814</v>
      </c>
      <c r="K65" s="220"/>
      <c r="L65" s="221"/>
      <c r="M65" s="221"/>
      <c r="N65" s="221"/>
      <c r="O65" s="358"/>
      <c r="P65" s="222" t="s">
        <v>1814</v>
      </c>
    </row>
    <row r="66" spans="1:16" ht="26.25" thickBot="1">
      <c r="A66" s="356"/>
      <c r="B66" s="219" t="s">
        <v>1815</v>
      </c>
      <c r="C66" s="220"/>
      <c r="D66" s="221"/>
      <c r="E66" s="221"/>
      <c r="F66" s="221"/>
      <c r="G66" s="359"/>
      <c r="H66" s="222" t="s">
        <v>1816</v>
      </c>
      <c r="I66" s="356"/>
      <c r="J66" s="219" t="s">
        <v>1815</v>
      </c>
      <c r="K66" s="220"/>
      <c r="L66" s="221"/>
      <c r="M66" s="221"/>
      <c r="N66" s="221"/>
      <c r="O66" s="359"/>
      <c r="P66" s="222" t="s">
        <v>1816</v>
      </c>
    </row>
    <row r="67" spans="1:16" ht="15.75" thickBot="1">
      <c r="A67" s="354" t="s">
        <v>2114</v>
      </c>
      <c r="B67" s="219" t="s">
        <v>1803</v>
      </c>
      <c r="C67" s="220"/>
      <c r="D67" s="221"/>
      <c r="E67" s="221"/>
      <c r="F67" s="221"/>
      <c r="G67" s="357" t="s">
        <v>2114</v>
      </c>
      <c r="H67" s="222" t="s">
        <v>1803</v>
      </c>
      <c r="I67" s="354" t="s">
        <v>2114</v>
      </c>
      <c r="J67" s="219" t="s">
        <v>1803</v>
      </c>
      <c r="K67" s="220"/>
      <c r="L67" s="221"/>
      <c r="M67" s="221"/>
      <c r="N67" s="221"/>
      <c r="O67" s="357" t="s">
        <v>2114</v>
      </c>
      <c r="P67" s="222" t="s">
        <v>1803</v>
      </c>
    </row>
    <row r="68" spans="1:16" ht="15.75" thickBot="1">
      <c r="A68" s="355"/>
      <c r="B68" s="219" t="s">
        <v>1805</v>
      </c>
      <c r="C68" s="220"/>
      <c r="D68" s="221"/>
      <c r="E68" s="221"/>
      <c r="F68" s="221"/>
      <c r="G68" s="358"/>
      <c r="H68" s="222" t="s">
        <v>1805</v>
      </c>
      <c r="I68" s="355"/>
      <c r="J68" s="219" t="s">
        <v>1805</v>
      </c>
      <c r="K68" s="220"/>
      <c r="L68" s="221"/>
      <c r="M68" s="221"/>
      <c r="N68" s="221"/>
      <c r="O68" s="358"/>
      <c r="P68" s="222" t="s">
        <v>1805</v>
      </c>
    </row>
    <row r="69" spans="1:16" ht="15.75" thickBot="1">
      <c r="A69" s="355"/>
      <c r="B69" s="219" t="s">
        <v>1806</v>
      </c>
      <c r="C69" s="220"/>
      <c r="D69" s="221"/>
      <c r="E69" s="221"/>
      <c r="F69" s="221"/>
      <c r="G69" s="358"/>
      <c r="H69" s="222" t="s">
        <v>1806</v>
      </c>
      <c r="I69" s="355"/>
      <c r="J69" s="219" t="s">
        <v>1806</v>
      </c>
      <c r="K69" s="220"/>
      <c r="L69" s="221"/>
      <c r="M69" s="221"/>
      <c r="N69" s="221"/>
      <c r="O69" s="358"/>
      <c r="P69" s="222" t="s">
        <v>1806</v>
      </c>
    </row>
    <row r="70" spans="1:16" ht="15.75" thickBot="1">
      <c r="A70" s="355"/>
      <c r="B70" s="219" t="s">
        <v>1807</v>
      </c>
      <c r="C70" s="220"/>
      <c r="D70" s="221"/>
      <c r="E70" s="221"/>
      <c r="F70" s="221"/>
      <c r="G70" s="358"/>
      <c r="H70" s="222" t="s">
        <v>1807</v>
      </c>
      <c r="I70" s="355"/>
      <c r="J70" s="219" t="s">
        <v>1807</v>
      </c>
      <c r="K70" s="220"/>
      <c r="L70" s="221"/>
      <c r="M70" s="221"/>
      <c r="N70" s="221"/>
      <c r="O70" s="358"/>
      <c r="P70" s="222" t="s">
        <v>1807</v>
      </c>
    </row>
    <row r="71" spans="1:16" ht="15.75" thickBot="1">
      <c r="A71" s="355"/>
      <c r="B71" s="219" t="s">
        <v>1808</v>
      </c>
      <c r="C71" s="220"/>
      <c r="D71" s="221"/>
      <c r="E71" s="221"/>
      <c r="F71" s="221"/>
      <c r="G71" s="358"/>
      <c r="H71" s="222" t="s">
        <v>1808</v>
      </c>
      <c r="I71" s="355"/>
      <c r="J71" s="219" t="s">
        <v>1808</v>
      </c>
      <c r="K71" s="220"/>
      <c r="L71" s="221"/>
      <c r="M71" s="221"/>
      <c r="N71" s="221"/>
      <c r="O71" s="358"/>
      <c r="P71" s="222" t="s">
        <v>1808</v>
      </c>
    </row>
    <row r="72" spans="1:16" ht="15.75" thickBot="1">
      <c r="A72" s="355"/>
      <c r="B72" s="219" t="s">
        <v>1809</v>
      </c>
      <c r="C72" s="220"/>
      <c r="D72" s="221"/>
      <c r="E72" s="221"/>
      <c r="F72" s="221"/>
      <c r="G72" s="358"/>
      <c r="H72" s="222" t="s">
        <v>1809</v>
      </c>
      <c r="I72" s="355"/>
      <c r="J72" s="219" t="s">
        <v>1809</v>
      </c>
      <c r="K72" s="220"/>
      <c r="L72" s="221"/>
      <c r="M72" s="221"/>
      <c r="N72" s="221"/>
      <c r="O72" s="358"/>
      <c r="P72" s="222" t="s">
        <v>1809</v>
      </c>
    </row>
    <row r="73" spans="1:16" ht="15.75" thickBot="1">
      <c r="A73" s="355"/>
      <c r="B73" s="219" t="s">
        <v>1810</v>
      </c>
      <c r="C73" s="220"/>
      <c r="D73" s="221"/>
      <c r="E73" s="221"/>
      <c r="F73" s="221"/>
      <c r="G73" s="358"/>
      <c r="H73" s="222" t="s">
        <v>1810</v>
      </c>
      <c r="I73" s="355"/>
      <c r="J73" s="219" t="s">
        <v>1810</v>
      </c>
      <c r="K73" s="220"/>
      <c r="L73" s="221"/>
      <c r="M73" s="221"/>
      <c r="N73" s="221"/>
      <c r="O73" s="358"/>
      <c r="P73" s="222" t="s">
        <v>1810</v>
      </c>
    </row>
    <row r="74" spans="1:16" ht="15.75" thickBot="1">
      <c r="A74" s="355"/>
      <c r="B74" s="219" t="s">
        <v>1811</v>
      </c>
      <c r="C74" s="220"/>
      <c r="D74" s="221"/>
      <c r="E74" s="221"/>
      <c r="F74" s="221"/>
      <c r="G74" s="358"/>
      <c r="H74" s="222" t="s">
        <v>1811</v>
      </c>
      <c r="I74" s="355"/>
      <c r="J74" s="219" t="s">
        <v>1811</v>
      </c>
      <c r="K74" s="220"/>
      <c r="L74" s="221"/>
      <c r="M74" s="221"/>
      <c r="N74" s="221"/>
      <c r="O74" s="358"/>
      <c r="P74" s="222" t="s">
        <v>1811</v>
      </c>
    </row>
    <row r="75" spans="1:16" ht="15.75" thickBot="1">
      <c r="A75" s="355"/>
      <c r="B75" s="219" t="s">
        <v>1812</v>
      </c>
      <c r="C75" s="220"/>
      <c r="D75" s="221"/>
      <c r="E75" s="221"/>
      <c r="F75" s="221"/>
      <c r="G75" s="358"/>
      <c r="H75" s="222" t="s">
        <v>1812</v>
      </c>
      <c r="I75" s="355"/>
      <c r="J75" s="219" t="s">
        <v>1812</v>
      </c>
      <c r="K75" s="220"/>
      <c r="L75" s="221"/>
      <c r="M75" s="221"/>
      <c r="N75" s="221"/>
      <c r="O75" s="358"/>
      <c r="P75" s="222" t="s">
        <v>1812</v>
      </c>
    </row>
    <row r="76" spans="1:16" ht="15.75" thickBot="1">
      <c r="A76" s="355"/>
      <c r="B76" s="219" t="s">
        <v>1813</v>
      </c>
      <c r="C76" s="220"/>
      <c r="D76" s="221"/>
      <c r="E76" s="221"/>
      <c r="F76" s="221"/>
      <c r="G76" s="358"/>
      <c r="H76" s="222" t="s">
        <v>1813</v>
      </c>
      <c r="I76" s="355"/>
      <c r="J76" s="219" t="s">
        <v>1813</v>
      </c>
      <c r="K76" s="220"/>
      <c r="L76" s="221"/>
      <c r="M76" s="221"/>
      <c r="N76" s="221"/>
      <c r="O76" s="358"/>
      <c r="P76" s="222" t="s">
        <v>1813</v>
      </c>
    </row>
    <row r="77" spans="1:16" ht="15.75" thickBot="1">
      <c r="A77" s="355"/>
      <c r="B77" s="219" t="s">
        <v>1814</v>
      </c>
      <c r="C77" s="220"/>
      <c r="D77" s="221"/>
      <c r="E77" s="221"/>
      <c r="F77" s="221"/>
      <c r="G77" s="358"/>
      <c r="H77" s="222" t="s">
        <v>1814</v>
      </c>
      <c r="I77" s="355"/>
      <c r="J77" s="219" t="s">
        <v>1814</v>
      </c>
      <c r="K77" s="220"/>
      <c r="L77" s="221"/>
      <c r="M77" s="221"/>
      <c r="N77" s="221"/>
      <c r="O77" s="358"/>
      <c r="P77" s="222" t="s">
        <v>1814</v>
      </c>
    </row>
    <row r="78" spans="1:16" ht="26.25" thickBot="1">
      <c r="A78" s="356"/>
      <c r="B78" s="219" t="s">
        <v>1815</v>
      </c>
      <c r="C78" s="220"/>
      <c r="D78" s="221"/>
      <c r="E78" s="221"/>
      <c r="F78" s="221"/>
      <c r="G78" s="359"/>
      <c r="H78" s="222" t="s">
        <v>1816</v>
      </c>
      <c r="I78" s="356"/>
      <c r="J78" s="219" t="s">
        <v>1815</v>
      </c>
      <c r="K78" s="220"/>
      <c r="L78" s="221"/>
      <c r="M78" s="221"/>
      <c r="N78" s="221"/>
      <c r="O78" s="359"/>
      <c r="P78" s="222" t="s">
        <v>1816</v>
      </c>
    </row>
    <row r="79" spans="1:16" ht="15.75" thickBot="1">
      <c r="A79" s="354" t="s">
        <v>2115</v>
      </c>
      <c r="B79" s="219" t="s">
        <v>1803</v>
      </c>
      <c r="C79" s="220"/>
      <c r="D79" s="221"/>
      <c r="E79" s="221"/>
      <c r="F79" s="221"/>
      <c r="G79" s="357" t="s">
        <v>2115</v>
      </c>
      <c r="H79" s="222" t="s">
        <v>1803</v>
      </c>
      <c r="I79" s="354" t="s">
        <v>2115</v>
      </c>
      <c r="J79" s="219" t="s">
        <v>1803</v>
      </c>
      <c r="K79" s="220"/>
      <c r="L79" s="221"/>
      <c r="M79" s="221"/>
      <c r="N79" s="221"/>
      <c r="O79" s="357" t="s">
        <v>2115</v>
      </c>
      <c r="P79" s="222" t="s">
        <v>1803</v>
      </c>
    </row>
    <row r="80" spans="1:16" ht="15.75" thickBot="1">
      <c r="A80" s="355"/>
      <c r="B80" s="219" t="s">
        <v>1805</v>
      </c>
      <c r="C80" s="220"/>
      <c r="D80" s="221"/>
      <c r="E80" s="221"/>
      <c r="F80" s="221"/>
      <c r="G80" s="358"/>
      <c r="H80" s="222" t="s">
        <v>1805</v>
      </c>
      <c r="I80" s="355"/>
      <c r="J80" s="219" t="s">
        <v>1805</v>
      </c>
      <c r="K80" s="220"/>
      <c r="L80" s="221"/>
      <c r="M80" s="221"/>
      <c r="N80" s="221"/>
      <c r="O80" s="358"/>
      <c r="P80" s="222" t="s">
        <v>1805</v>
      </c>
    </row>
    <row r="81" spans="1:16" ht="15.75" thickBot="1">
      <c r="A81" s="355"/>
      <c r="B81" s="219" t="s">
        <v>1806</v>
      </c>
      <c r="C81" s="220"/>
      <c r="D81" s="221"/>
      <c r="E81" s="221"/>
      <c r="F81" s="221"/>
      <c r="G81" s="358"/>
      <c r="H81" s="222" t="s">
        <v>1806</v>
      </c>
      <c r="I81" s="355"/>
      <c r="J81" s="219" t="s">
        <v>1806</v>
      </c>
      <c r="K81" s="220"/>
      <c r="L81" s="221"/>
      <c r="M81" s="221"/>
      <c r="N81" s="221"/>
      <c r="O81" s="358"/>
      <c r="P81" s="222" t="s">
        <v>1806</v>
      </c>
    </row>
    <row r="82" spans="1:16" ht="15.75" thickBot="1">
      <c r="A82" s="355"/>
      <c r="B82" s="219" t="s">
        <v>1807</v>
      </c>
      <c r="C82" s="220"/>
      <c r="D82" s="221"/>
      <c r="E82" s="221"/>
      <c r="F82" s="221"/>
      <c r="G82" s="358"/>
      <c r="H82" s="222" t="s">
        <v>1807</v>
      </c>
      <c r="I82" s="355"/>
      <c r="J82" s="219" t="s">
        <v>1807</v>
      </c>
      <c r="K82" s="220"/>
      <c r="L82" s="221"/>
      <c r="M82" s="221"/>
      <c r="N82" s="221"/>
      <c r="O82" s="358"/>
      <c r="P82" s="222" t="s">
        <v>1807</v>
      </c>
    </row>
    <row r="83" spans="1:16" ht="15.75" thickBot="1">
      <c r="A83" s="355"/>
      <c r="B83" s="219" t="s">
        <v>1808</v>
      </c>
      <c r="C83" s="220"/>
      <c r="D83" s="221"/>
      <c r="E83" s="221"/>
      <c r="F83" s="221"/>
      <c r="G83" s="358"/>
      <c r="H83" s="222" t="s">
        <v>1808</v>
      </c>
      <c r="I83" s="355"/>
      <c r="J83" s="219" t="s">
        <v>1808</v>
      </c>
      <c r="K83" s="220"/>
      <c r="L83" s="221"/>
      <c r="M83" s="221"/>
      <c r="N83" s="221"/>
      <c r="O83" s="358"/>
      <c r="P83" s="222" t="s">
        <v>1808</v>
      </c>
    </row>
    <row r="84" spans="1:16" ht="15.75" thickBot="1">
      <c r="A84" s="355"/>
      <c r="B84" s="219" t="s">
        <v>1809</v>
      </c>
      <c r="C84" s="220"/>
      <c r="D84" s="221"/>
      <c r="E84" s="221"/>
      <c r="F84" s="221"/>
      <c r="G84" s="358"/>
      <c r="H84" s="222" t="s">
        <v>1809</v>
      </c>
      <c r="I84" s="355"/>
      <c r="J84" s="219" t="s">
        <v>1809</v>
      </c>
      <c r="K84" s="220"/>
      <c r="L84" s="221"/>
      <c r="M84" s="221"/>
      <c r="N84" s="221"/>
      <c r="O84" s="358"/>
      <c r="P84" s="222" t="s">
        <v>1809</v>
      </c>
    </row>
    <row r="85" spans="1:16" ht="15.75" thickBot="1">
      <c r="A85" s="355"/>
      <c r="B85" s="219" t="s">
        <v>1810</v>
      </c>
      <c r="C85" s="220"/>
      <c r="D85" s="221"/>
      <c r="E85" s="221"/>
      <c r="F85" s="221"/>
      <c r="G85" s="358"/>
      <c r="H85" s="222" t="s">
        <v>1810</v>
      </c>
      <c r="I85" s="355"/>
      <c r="J85" s="219" t="s">
        <v>1810</v>
      </c>
      <c r="K85" s="220"/>
      <c r="L85" s="221"/>
      <c r="M85" s="221"/>
      <c r="N85" s="221"/>
      <c r="O85" s="358"/>
      <c r="P85" s="222" t="s">
        <v>1810</v>
      </c>
    </row>
    <row r="86" spans="1:16" ht="15.75" thickBot="1">
      <c r="A86" s="355"/>
      <c r="B86" s="219" t="s">
        <v>1811</v>
      </c>
      <c r="C86" s="220"/>
      <c r="D86" s="221"/>
      <c r="E86" s="221"/>
      <c r="F86" s="221"/>
      <c r="G86" s="358"/>
      <c r="H86" s="222" t="s">
        <v>1811</v>
      </c>
      <c r="I86" s="355"/>
      <c r="J86" s="219" t="s">
        <v>1811</v>
      </c>
      <c r="K86" s="220"/>
      <c r="L86" s="221"/>
      <c r="M86" s="221"/>
      <c r="N86" s="221"/>
      <c r="O86" s="358"/>
      <c r="P86" s="222" t="s">
        <v>1811</v>
      </c>
    </row>
    <row r="87" spans="1:16" ht="15.75" thickBot="1">
      <c r="A87" s="355"/>
      <c r="B87" s="219" t="s">
        <v>1812</v>
      </c>
      <c r="C87" s="220"/>
      <c r="D87" s="221"/>
      <c r="E87" s="221"/>
      <c r="F87" s="221"/>
      <c r="G87" s="358"/>
      <c r="H87" s="222" t="s">
        <v>1812</v>
      </c>
      <c r="I87" s="355"/>
      <c r="J87" s="219" t="s">
        <v>1812</v>
      </c>
      <c r="K87" s="220"/>
      <c r="L87" s="221"/>
      <c r="M87" s="221"/>
      <c r="N87" s="221"/>
      <c r="O87" s="358"/>
      <c r="P87" s="222" t="s">
        <v>1812</v>
      </c>
    </row>
    <row r="88" spans="1:16" ht="15.75" thickBot="1">
      <c r="A88" s="355"/>
      <c r="B88" s="219" t="s">
        <v>1813</v>
      </c>
      <c r="C88" s="220"/>
      <c r="D88" s="221"/>
      <c r="E88" s="221"/>
      <c r="F88" s="221"/>
      <c r="G88" s="358"/>
      <c r="H88" s="222" t="s">
        <v>1813</v>
      </c>
      <c r="I88" s="355"/>
      <c r="J88" s="219" t="s">
        <v>1813</v>
      </c>
      <c r="K88" s="220"/>
      <c r="L88" s="221"/>
      <c r="M88" s="221"/>
      <c r="N88" s="221"/>
      <c r="O88" s="358"/>
      <c r="P88" s="222" t="s">
        <v>1813</v>
      </c>
    </row>
    <row r="89" spans="1:16" ht="15.75" thickBot="1">
      <c r="A89" s="355"/>
      <c r="B89" s="219" t="s">
        <v>1814</v>
      </c>
      <c r="C89" s="220"/>
      <c r="D89" s="221"/>
      <c r="E89" s="221"/>
      <c r="F89" s="221"/>
      <c r="G89" s="358"/>
      <c r="H89" s="222" t="s">
        <v>1814</v>
      </c>
      <c r="I89" s="355"/>
      <c r="J89" s="219" t="s">
        <v>1814</v>
      </c>
      <c r="K89" s="220"/>
      <c r="L89" s="221"/>
      <c r="M89" s="221"/>
      <c r="N89" s="221"/>
      <c r="O89" s="358"/>
      <c r="P89" s="222" t="s">
        <v>1814</v>
      </c>
    </row>
    <row r="90" spans="1:16" ht="26.25" thickBot="1">
      <c r="A90" s="356"/>
      <c r="B90" s="219" t="s">
        <v>1815</v>
      </c>
      <c r="C90" s="220"/>
      <c r="D90" s="221"/>
      <c r="E90" s="221"/>
      <c r="F90" s="221"/>
      <c r="G90" s="359"/>
      <c r="H90" s="222" t="s">
        <v>1816</v>
      </c>
      <c r="I90" s="356"/>
      <c r="J90" s="219" t="s">
        <v>1815</v>
      </c>
      <c r="K90" s="220"/>
      <c r="L90" s="221"/>
      <c r="M90" s="221"/>
      <c r="N90" s="221"/>
      <c r="O90" s="359"/>
      <c r="P90" s="222" t="s">
        <v>1816</v>
      </c>
    </row>
    <row r="91" spans="1:16" ht="15.75" thickBot="1">
      <c r="A91" s="354" t="s">
        <v>2116</v>
      </c>
      <c r="B91" s="219" t="s">
        <v>1803</v>
      </c>
      <c r="C91" s="220"/>
      <c r="D91" s="221"/>
      <c r="E91" s="221"/>
      <c r="F91" s="221"/>
      <c r="G91" s="357" t="s">
        <v>2116</v>
      </c>
      <c r="H91" s="222" t="s">
        <v>1803</v>
      </c>
      <c r="I91" s="354" t="s">
        <v>2116</v>
      </c>
      <c r="J91" s="219" t="s">
        <v>1803</v>
      </c>
      <c r="K91" s="220"/>
      <c r="L91" s="221"/>
      <c r="M91" s="221"/>
      <c r="N91" s="221"/>
      <c r="O91" s="357" t="s">
        <v>2116</v>
      </c>
      <c r="P91" s="222" t="s">
        <v>1803</v>
      </c>
    </row>
    <row r="92" spans="1:16" ht="15.75" thickBot="1">
      <c r="A92" s="355"/>
      <c r="B92" s="219" t="s">
        <v>1805</v>
      </c>
      <c r="C92" s="220"/>
      <c r="D92" s="221"/>
      <c r="E92" s="221"/>
      <c r="F92" s="221"/>
      <c r="G92" s="358"/>
      <c r="H92" s="222" t="s">
        <v>1805</v>
      </c>
      <c r="I92" s="355"/>
      <c r="J92" s="219" t="s">
        <v>1805</v>
      </c>
      <c r="K92" s="220"/>
      <c r="L92" s="221"/>
      <c r="M92" s="221"/>
      <c r="N92" s="221"/>
      <c r="O92" s="358"/>
      <c r="P92" s="222" t="s">
        <v>1805</v>
      </c>
    </row>
    <row r="93" spans="1:16" ht="15.75" thickBot="1">
      <c r="A93" s="355"/>
      <c r="B93" s="219" t="s">
        <v>1806</v>
      </c>
      <c r="C93" s="220"/>
      <c r="D93" s="221"/>
      <c r="E93" s="221"/>
      <c r="F93" s="221"/>
      <c r="G93" s="358"/>
      <c r="H93" s="222" t="s">
        <v>1806</v>
      </c>
      <c r="I93" s="355"/>
      <c r="J93" s="219" t="s">
        <v>1806</v>
      </c>
      <c r="K93" s="220"/>
      <c r="L93" s="221"/>
      <c r="M93" s="221"/>
      <c r="N93" s="221"/>
      <c r="O93" s="358"/>
      <c r="P93" s="222" t="s">
        <v>1806</v>
      </c>
    </row>
    <row r="94" spans="1:16" ht="15.75" thickBot="1">
      <c r="A94" s="355"/>
      <c r="B94" s="219" t="s">
        <v>1807</v>
      </c>
      <c r="C94" s="220"/>
      <c r="D94" s="221"/>
      <c r="E94" s="221"/>
      <c r="F94" s="221"/>
      <c r="G94" s="358"/>
      <c r="H94" s="222" t="s">
        <v>1807</v>
      </c>
      <c r="I94" s="355"/>
      <c r="J94" s="219" t="s">
        <v>1807</v>
      </c>
      <c r="K94" s="220"/>
      <c r="L94" s="221"/>
      <c r="M94" s="221"/>
      <c r="N94" s="221"/>
      <c r="O94" s="358"/>
      <c r="P94" s="222" t="s">
        <v>1807</v>
      </c>
    </row>
    <row r="95" spans="1:16" ht="15.75" thickBot="1">
      <c r="A95" s="355"/>
      <c r="B95" s="219" t="s">
        <v>1808</v>
      </c>
      <c r="C95" s="220"/>
      <c r="D95" s="221"/>
      <c r="E95" s="221"/>
      <c r="F95" s="221"/>
      <c r="G95" s="358"/>
      <c r="H95" s="222" t="s">
        <v>1808</v>
      </c>
      <c r="I95" s="355"/>
      <c r="J95" s="219" t="s">
        <v>1808</v>
      </c>
      <c r="K95" s="220"/>
      <c r="L95" s="221"/>
      <c r="M95" s="221"/>
      <c r="N95" s="221"/>
      <c r="O95" s="358"/>
      <c r="P95" s="222" t="s">
        <v>1808</v>
      </c>
    </row>
    <row r="96" spans="1:16" ht="15.75" thickBot="1">
      <c r="A96" s="355"/>
      <c r="B96" s="219" t="s">
        <v>1809</v>
      </c>
      <c r="C96" s="220"/>
      <c r="D96" s="221"/>
      <c r="E96" s="221"/>
      <c r="F96" s="221"/>
      <c r="G96" s="358"/>
      <c r="H96" s="222" t="s">
        <v>1809</v>
      </c>
      <c r="I96" s="355"/>
      <c r="J96" s="219" t="s">
        <v>1809</v>
      </c>
      <c r="K96" s="220"/>
      <c r="L96" s="221"/>
      <c r="M96" s="221"/>
      <c r="N96" s="221"/>
      <c r="O96" s="358"/>
      <c r="P96" s="222" t="s">
        <v>1809</v>
      </c>
    </row>
    <row r="97" spans="1:16" ht="15.75" thickBot="1">
      <c r="A97" s="355"/>
      <c r="B97" s="219" t="s">
        <v>1810</v>
      </c>
      <c r="C97" s="220"/>
      <c r="D97" s="221"/>
      <c r="E97" s="221"/>
      <c r="F97" s="221"/>
      <c r="G97" s="358"/>
      <c r="H97" s="222" t="s">
        <v>1810</v>
      </c>
      <c r="I97" s="355"/>
      <c r="J97" s="219" t="s">
        <v>1810</v>
      </c>
      <c r="K97" s="220"/>
      <c r="L97" s="221"/>
      <c r="M97" s="221"/>
      <c r="N97" s="221"/>
      <c r="O97" s="358"/>
      <c r="P97" s="222" t="s">
        <v>1810</v>
      </c>
    </row>
    <row r="98" spans="1:16" ht="15.75" thickBot="1">
      <c r="A98" s="355"/>
      <c r="B98" s="219" t="s">
        <v>1811</v>
      </c>
      <c r="C98" s="220"/>
      <c r="D98" s="221"/>
      <c r="E98" s="221"/>
      <c r="F98" s="221"/>
      <c r="G98" s="358"/>
      <c r="H98" s="222" t="s">
        <v>1811</v>
      </c>
      <c r="I98" s="355"/>
      <c r="J98" s="219" t="s">
        <v>1811</v>
      </c>
      <c r="K98" s="220"/>
      <c r="L98" s="221"/>
      <c r="M98" s="221"/>
      <c r="N98" s="221"/>
      <c r="O98" s="358"/>
      <c r="P98" s="222" t="s">
        <v>1811</v>
      </c>
    </row>
    <row r="99" spans="1:16" ht="15.75" thickBot="1">
      <c r="A99" s="355"/>
      <c r="B99" s="219" t="s">
        <v>1812</v>
      </c>
      <c r="C99" s="220"/>
      <c r="D99" s="221"/>
      <c r="E99" s="221"/>
      <c r="F99" s="221"/>
      <c r="G99" s="358"/>
      <c r="H99" s="222" t="s">
        <v>1812</v>
      </c>
      <c r="I99" s="355"/>
      <c r="J99" s="219" t="s">
        <v>1812</v>
      </c>
      <c r="K99" s="220"/>
      <c r="L99" s="221"/>
      <c r="M99" s="221"/>
      <c r="N99" s="221"/>
      <c r="O99" s="358"/>
      <c r="P99" s="222" t="s">
        <v>1812</v>
      </c>
    </row>
    <row r="100" spans="1:16" ht="15.75" thickBot="1">
      <c r="A100" s="355"/>
      <c r="B100" s="219" t="s">
        <v>1813</v>
      </c>
      <c r="C100" s="220"/>
      <c r="D100" s="221"/>
      <c r="E100" s="221"/>
      <c r="F100" s="221"/>
      <c r="G100" s="358"/>
      <c r="H100" s="222" t="s">
        <v>1813</v>
      </c>
      <c r="I100" s="355"/>
      <c r="J100" s="219" t="s">
        <v>1813</v>
      </c>
      <c r="K100" s="220"/>
      <c r="L100" s="221"/>
      <c r="M100" s="221"/>
      <c r="N100" s="221"/>
      <c r="O100" s="358"/>
      <c r="P100" s="222" t="s">
        <v>1813</v>
      </c>
    </row>
    <row r="101" spans="1:16" ht="15.75" thickBot="1">
      <c r="A101" s="355"/>
      <c r="B101" s="219" t="s">
        <v>1814</v>
      </c>
      <c r="C101" s="220"/>
      <c r="D101" s="221"/>
      <c r="E101" s="221"/>
      <c r="F101" s="221"/>
      <c r="G101" s="358"/>
      <c r="H101" s="222" t="s">
        <v>1814</v>
      </c>
      <c r="I101" s="355"/>
      <c r="J101" s="219" t="s">
        <v>1814</v>
      </c>
      <c r="K101" s="220"/>
      <c r="L101" s="221"/>
      <c r="M101" s="221"/>
      <c r="N101" s="221"/>
      <c r="O101" s="358"/>
      <c r="P101" s="222" t="s">
        <v>1814</v>
      </c>
    </row>
    <row r="102" spans="1:16" ht="26.25" thickBot="1">
      <c r="A102" s="356"/>
      <c r="B102" s="219" t="s">
        <v>1815</v>
      </c>
      <c r="C102" s="220"/>
      <c r="D102" s="221"/>
      <c r="E102" s="221"/>
      <c r="F102" s="221"/>
      <c r="G102" s="359"/>
      <c r="H102" s="222" t="s">
        <v>1816</v>
      </c>
      <c r="I102" s="356"/>
      <c r="J102" s="219" t="s">
        <v>1815</v>
      </c>
      <c r="K102" s="220"/>
      <c r="L102" s="221"/>
      <c r="M102" s="221"/>
      <c r="N102" s="221"/>
      <c r="O102" s="359"/>
      <c r="P102" s="222" t="s">
        <v>1816</v>
      </c>
    </row>
    <row r="103" spans="1:16" ht="15.75" thickBot="1">
      <c r="A103" s="354" t="s">
        <v>2117</v>
      </c>
      <c r="B103" s="219" t="s">
        <v>1803</v>
      </c>
      <c r="C103" s="220"/>
      <c r="D103" s="221"/>
      <c r="E103" s="221"/>
      <c r="F103" s="221"/>
      <c r="G103" s="357" t="s">
        <v>2117</v>
      </c>
      <c r="H103" s="222" t="s">
        <v>1803</v>
      </c>
      <c r="I103" s="354" t="s">
        <v>2117</v>
      </c>
      <c r="J103" s="219" t="s">
        <v>1803</v>
      </c>
      <c r="K103" s="220"/>
      <c r="L103" s="221"/>
      <c r="M103" s="221"/>
      <c r="N103" s="221"/>
      <c r="O103" s="357" t="s">
        <v>2117</v>
      </c>
      <c r="P103" s="222" t="s">
        <v>1803</v>
      </c>
    </row>
    <row r="104" spans="1:16" ht="15.75" thickBot="1">
      <c r="A104" s="355"/>
      <c r="B104" s="219" t="s">
        <v>1805</v>
      </c>
      <c r="C104" s="220"/>
      <c r="D104" s="221"/>
      <c r="E104" s="221"/>
      <c r="F104" s="221"/>
      <c r="G104" s="358"/>
      <c r="H104" s="222" t="s">
        <v>1805</v>
      </c>
      <c r="I104" s="355"/>
      <c r="J104" s="219" t="s">
        <v>1805</v>
      </c>
      <c r="K104" s="220"/>
      <c r="L104" s="221"/>
      <c r="M104" s="221"/>
      <c r="N104" s="221"/>
      <c r="O104" s="358"/>
      <c r="P104" s="222" t="s">
        <v>1805</v>
      </c>
    </row>
    <row r="105" spans="1:16" ht="15.75" thickBot="1">
      <c r="A105" s="355"/>
      <c r="B105" s="219" t="s">
        <v>1806</v>
      </c>
      <c r="C105" s="220"/>
      <c r="D105" s="221"/>
      <c r="E105" s="221"/>
      <c r="F105" s="221"/>
      <c r="G105" s="358"/>
      <c r="H105" s="222" t="s">
        <v>1806</v>
      </c>
      <c r="I105" s="355"/>
      <c r="J105" s="219" t="s">
        <v>1806</v>
      </c>
      <c r="K105" s="220"/>
      <c r="L105" s="221"/>
      <c r="M105" s="221"/>
      <c r="N105" s="221"/>
      <c r="O105" s="358"/>
      <c r="P105" s="222" t="s">
        <v>1806</v>
      </c>
    </row>
    <row r="106" spans="1:16" ht="15.75" thickBot="1">
      <c r="A106" s="355"/>
      <c r="B106" s="219" t="s">
        <v>1807</v>
      </c>
      <c r="C106" s="220"/>
      <c r="D106" s="221"/>
      <c r="E106" s="221"/>
      <c r="F106" s="221"/>
      <c r="G106" s="358"/>
      <c r="H106" s="222" t="s">
        <v>1807</v>
      </c>
      <c r="I106" s="355"/>
      <c r="J106" s="219" t="s">
        <v>1807</v>
      </c>
      <c r="K106" s="220"/>
      <c r="L106" s="221"/>
      <c r="M106" s="221"/>
      <c r="N106" s="221"/>
      <c r="O106" s="358"/>
      <c r="P106" s="222" t="s">
        <v>1807</v>
      </c>
    </row>
    <row r="107" spans="1:16" ht="15.75" thickBot="1">
      <c r="A107" s="355"/>
      <c r="B107" s="219" t="s">
        <v>1808</v>
      </c>
      <c r="C107" s="220"/>
      <c r="D107" s="221"/>
      <c r="E107" s="221"/>
      <c r="F107" s="221"/>
      <c r="G107" s="358"/>
      <c r="H107" s="222" t="s">
        <v>1808</v>
      </c>
      <c r="I107" s="355"/>
      <c r="J107" s="219" t="s">
        <v>1808</v>
      </c>
      <c r="K107" s="220"/>
      <c r="L107" s="221"/>
      <c r="M107" s="221"/>
      <c r="N107" s="221"/>
      <c r="O107" s="358"/>
      <c r="P107" s="222" t="s">
        <v>1808</v>
      </c>
    </row>
    <row r="108" spans="1:16" ht="15.75" thickBot="1">
      <c r="A108" s="355"/>
      <c r="B108" s="219" t="s">
        <v>1809</v>
      </c>
      <c r="C108" s="220"/>
      <c r="D108" s="221"/>
      <c r="E108" s="221"/>
      <c r="F108" s="221"/>
      <c r="G108" s="358"/>
      <c r="H108" s="222" t="s">
        <v>1809</v>
      </c>
      <c r="I108" s="355"/>
      <c r="J108" s="219" t="s">
        <v>1809</v>
      </c>
      <c r="K108" s="220"/>
      <c r="L108" s="221"/>
      <c r="M108" s="221"/>
      <c r="N108" s="221"/>
      <c r="O108" s="358"/>
      <c r="P108" s="222" t="s">
        <v>1809</v>
      </c>
    </row>
    <row r="109" spans="1:16" ht="15.75" thickBot="1">
      <c r="A109" s="355"/>
      <c r="B109" s="219" t="s">
        <v>1810</v>
      </c>
      <c r="C109" s="220"/>
      <c r="D109" s="221"/>
      <c r="E109" s="221"/>
      <c r="F109" s="221"/>
      <c r="G109" s="358"/>
      <c r="H109" s="222" t="s">
        <v>1810</v>
      </c>
      <c r="I109" s="355"/>
      <c r="J109" s="219" t="s">
        <v>1810</v>
      </c>
      <c r="K109" s="220"/>
      <c r="L109" s="221"/>
      <c r="M109" s="221"/>
      <c r="N109" s="221"/>
      <c r="O109" s="358"/>
      <c r="P109" s="222" t="s">
        <v>1810</v>
      </c>
    </row>
    <row r="110" spans="1:16" ht="15.75" thickBot="1">
      <c r="A110" s="355"/>
      <c r="B110" s="219" t="s">
        <v>1811</v>
      </c>
      <c r="C110" s="220"/>
      <c r="D110" s="221"/>
      <c r="E110" s="221"/>
      <c r="F110" s="221"/>
      <c r="G110" s="358"/>
      <c r="H110" s="222" t="s">
        <v>1811</v>
      </c>
      <c r="I110" s="355"/>
      <c r="J110" s="219" t="s">
        <v>1811</v>
      </c>
      <c r="K110" s="220"/>
      <c r="L110" s="221"/>
      <c r="M110" s="221"/>
      <c r="N110" s="221"/>
      <c r="O110" s="358"/>
      <c r="P110" s="222" t="s">
        <v>1811</v>
      </c>
    </row>
    <row r="111" spans="1:16" ht="15.75" thickBot="1">
      <c r="A111" s="355"/>
      <c r="B111" s="219" t="s">
        <v>1812</v>
      </c>
      <c r="C111" s="220"/>
      <c r="D111" s="221"/>
      <c r="E111" s="221"/>
      <c r="F111" s="221"/>
      <c r="G111" s="358"/>
      <c r="H111" s="222" t="s">
        <v>1812</v>
      </c>
      <c r="I111" s="355"/>
      <c r="J111" s="219" t="s">
        <v>1812</v>
      </c>
      <c r="K111" s="220"/>
      <c r="L111" s="221"/>
      <c r="M111" s="221"/>
      <c r="N111" s="221"/>
      <c r="O111" s="358"/>
      <c r="P111" s="222" t="s">
        <v>1812</v>
      </c>
    </row>
    <row r="112" spans="1:16" ht="15.75" thickBot="1">
      <c r="A112" s="355"/>
      <c r="B112" s="219" t="s">
        <v>1813</v>
      </c>
      <c r="C112" s="220"/>
      <c r="D112" s="221"/>
      <c r="E112" s="221"/>
      <c r="F112" s="221"/>
      <c r="G112" s="358"/>
      <c r="H112" s="222" t="s">
        <v>1813</v>
      </c>
      <c r="I112" s="355"/>
      <c r="J112" s="219" t="s">
        <v>1813</v>
      </c>
      <c r="K112" s="220"/>
      <c r="L112" s="221"/>
      <c r="M112" s="221"/>
      <c r="N112" s="221"/>
      <c r="O112" s="358"/>
      <c r="P112" s="222" t="s">
        <v>1813</v>
      </c>
    </row>
    <row r="113" spans="1:16" ht="15.75" thickBot="1">
      <c r="A113" s="355"/>
      <c r="B113" s="219" t="s">
        <v>1814</v>
      </c>
      <c r="C113" s="220"/>
      <c r="D113" s="221"/>
      <c r="E113" s="221"/>
      <c r="F113" s="221"/>
      <c r="G113" s="358"/>
      <c r="H113" s="222" t="s">
        <v>1814</v>
      </c>
      <c r="I113" s="355"/>
      <c r="J113" s="219" t="s">
        <v>1814</v>
      </c>
      <c r="K113" s="220"/>
      <c r="L113" s="221"/>
      <c r="M113" s="221"/>
      <c r="N113" s="221"/>
      <c r="O113" s="358"/>
      <c r="P113" s="222" t="s">
        <v>1814</v>
      </c>
    </row>
    <row r="114" spans="1:16" ht="26.25" thickBot="1">
      <c r="A114" s="356"/>
      <c r="B114" s="219" t="s">
        <v>1815</v>
      </c>
      <c r="C114" s="220"/>
      <c r="D114" s="221"/>
      <c r="E114" s="221"/>
      <c r="F114" s="221"/>
      <c r="G114" s="359"/>
      <c r="H114" s="222" t="s">
        <v>1816</v>
      </c>
      <c r="I114" s="356"/>
      <c r="J114" s="219" t="s">
        <v>1815</v>
      </c>
      <c r="K114" s="220"/>
      <c r="L114" s="221"/>
      <c r="M114" s="221"/>
      <c r="N114" s="221"/>
      <c r="O114" s="359"/>
      <c r="P114" s="222" t="s">
        <v>1816</v>
      </c>
    </row>
    <row r="115" spans="1:16" ht="15.75" thickBot="1">
      <c r="A115" s="354" t="s">
        <v>2118</v>
      </c>
      <c r="B115" s="219" t="s">
        <v>1803</v>
      </c>
      <c r="C115" s="220"/>
      <c r="D115" s="221"/>
      <c r="E115" s="221"/>
      <c r="F115" s="221"/>
      <c r="G115" s="357" t="s">
        <v>2118</v>
      </c>
      <c r="H115" s="222" t="s">
        <v>1803</v>
      </c>
      <c r="I115" s="354" t="s">
        <v>2118</v>
      </c>
      <c r="J115" s="219" t="s">
        <v>1803</v>
      </c>
      <c r="K115" s="220"/>
      <c r="L115" s="221"/>
      <c r="M115" s="221"/>
      <c r="N115" s="221"/>
      <c r="O115" s="357" t="s">
        <v>2118</v>
      </c>
      <c r="P115" s="222" t="s">
        <v>1803</v>
      </c>
    </row>
    <row r="116" spans="1:16" ht="15.75" thickBot="1">
      <c r="A116" s="355"/>
      <c r="B116" s="219" t="s">
        <v>1805</v>
      </c>
      <c r="C116" s="220"/>
      <c r="D116" s="221"/>
      <c r="E116" s="221"/>
      <c r="F116" s="221"/>
      <c r="G116" s="358"/>
      <c r="H116" s="222" t="s">
        <v>1805</v>
      </c>
      <c r="I116" s="355"/>
      <c r="J116" s="219" t="s">
        <v>1805</v>
      </c>
      <c r="K116" s="220"/>
      <c r="L116" s="221"/>
      <c r="M116" s="221"/>
      <c r="N116" s="221"/>
      <c r="O116" s="358"/>
      <c r="P116" s="222" t="s">
        <v>1805</v>
      </c>
    </row>
    <row r="117" spans="1:16" ht="15.75" thickBot="1">
      <c r="A117" s="355"/>
      <c r="B117" s="219" t="s">
        <v>1806</v>
      </c>
      <c r="C117" s="220"/>
      <c r="D117" s="221"/>
      <c r="E117" s="221"/>
      <c r="F117" s="221"/>
      <c r="G117" s="358"/>
      <c r="H117" s="222" t="s">
        <v>1806</v>
      </c>
      <c r="I117" s="355"/>
      <c r="J117" s="219" t="s">
        <v>1806</v>
      </c>
      <c r="K117" s="220"/>
      <c r="L117" s="221"/>
      <c r="M117" s="221"/>
      <c r="N117" s="221"/>
      <c r="O117" s="358"/>
      <c r="P117" s="222" t="s">
        <v>1806</v>
      </c>
    </row>
    <row r="118" spans="1:16" ht="15.75" thickBot="1">
      <c r="A118" s="355"/>
      <c r="B118" s="219" t="s">
        <v>1807</v>
      </c>
      <c r="C118" s="220"/>
      <c r="D118" s="221"/>
      <c r="E118" s="221"/>
      <c r="F118" s="221"/>
      <c r="G118" s="358"/>
      <c r="H118" s="222" t="s">
        <v>1807</v>
      </c>
      <c r="I118" s="355"/>
      <c r="J118" s="219" t="s">
        <v>1807</v>
      </c>
      <c r="K118" s="220"/>
      <c r="L118" s="221"/>
      <c r="M118" s="221"/>
      <c r="N118" s="221"/>
      <c r="O118" s="358"/>
      <c r="P118" s="222" t="s">
        <v>1807</v>
      </c>
    </row>
    <row r="119" spans="1:16" ht="15.75" thickBot="1">
      <c r="A119" s="355"/>
      <c r="B119" s="219" t="s">
        <v>1808</v>
      </c>
      <c r="C119" s="220"/>
      <c r="D119" s="221"/>
      <c r="E119" s="221"/>
      <c r="F119" s="221"/>
      <c r="G119" s="358"/>
      <c r="H119" s="222" t="s">
        <v>1808</v>
      </c>
      <c r="I119" s="355"/>
      <c r="J119" s="219" t="s">
        <v>1808</v>
      </c>
      <c r="K119" s="220"/>
      <c r="L119" s="221"/>
      <c r="M119" s="221"/>
      <c r="N119" s="221"/>
      <c r="O119" s="358"/>
      <c r="P119" s="222" t="s">
        <v>1808</v>
      </c>
    </row>
    <row r="120" spans="1:16" ht="15.75" thickBot="1">
      <c r="A120" s="355"/>
      <c r="B120" s="219" t="s">
        <v>1809</v>
      </c>
      <c r="C120" s="220"/>
      <c r="D120" s="221"/>
      <c r="E120" s="221"/>
      <c r="F120" s="221"/>
      <c r="G120" s="358"/>
      <c r="H120" s="222" t="s">
        <v>1809</v>
      </c>
      <c r="I120" s="355"/>
      <c r="J120" s="219" t="s">
        <v>1809</v>
      </c>
      <c r="K120" s="220"/>
      <c r="L120" s="221"/>
      <c r="M120" s="221"/>
      <c r="N120" s="221"/>
      <c r="O120" s="358"/>
      <c r="P120" s="222" t="s">
        <v>1809</v>
      </c>
    </row>
    <row r="121" spans="1:16" ht="15.75" thickBot="1">
      <c r="A121" s="355"/>
      <c r="B121" s="219" t="s">
        <v>1810</v>
      </c>
      <c r="C121" s="220"/>
      <c r="D121" s="221"/>
      <c r="E121" s="221"/>
      <c r="F121" s="221"/>
      <c r="G121" s="358"/>
      <c r="H121" s="222" t="s">
        <v>1810</v>
      </c>
      <c r="I121" s="355"/>
      <c r="J121" s="219" t="s">
        <v>1810</v>
      </c>
      <c r="K121" s="220"/>
      <c r="L121" s="221"/>
      <c r="M121" s="221"/>
      <c r="N121" s="221"/>
      <c r="O121" s="358"/>
      <c r="P121" s="222" t="s">
        <v>1810</v>
      </c>
    </row>
    <row r="122" spans="1:16" ht="15.75" thickBot="1">
      <c r="A122" s="355"/>
      <c r="B122" s="219" t="s">
        <v>1811</v>
      </c>
      <c r="C122" s="220"/>
      <c r="D122" s="221"/>
      <c r="E122" s="221"/>
      <c r="F122" s="221"/>
      <c r="G122" s="358"/>
      <c r="H122" s="222" t="s">
        <v>1811</v>
      </c>
      <c r="I122" s="355"/>
      <c r="J122" s="219" t="s">
        <v>1811</v>
      </c>
      <c r="K122" s="220"/>
      <c r="L122" s="221"/>
      <c r="M122" s="221"/>
      <c r="N122" s="221"/>
      <c r="O122" s="358"/>
      <c r="P122" s="222" t="s">
        <v>1811</v>
      </c>
    </row>
    <row r="123" spans="1:16" ht="15.75" thickBot="1">
      <c r="A123" s="355"/>
      <c r="B123" s="219" t="s">
        <v>1812</v>
      </c>
      <c r="C123" s="220"/>
      <c r="D123" s="221"/>
      <c r="E123" s="221"/>
      <c r="F123" s="221"/>
      <c r="G123" s="358"/>
      <c r="H123" s="222" t="s">
        <v>1812</v>
      </c>
      <c r="I123" s="355"/>
      <c r="J123" s="219" t="s">
        <v>1812</v>
      </c>
      <c r="K123" s="220"/>
      <c r="L123" s="221"/>
      <c r="M123" s="221"/>
      <c r="N123" s="221"/>
      <c r="O123" s="358"/>
      <c r="P123" s="222" t="s">
        <v>1812</v>
      </c>
    </row>
    <row r="124" spans="1:16" ht="15.75" thickBot="1">
      <c r="A124" s="355"/>
      <c r="B124" s="219" t="s">
        <v>1813</v>
      </c>
      <c r="C124" s="220"/>
      <c r="D124" s="221"/>
      <c r="E124" s="221"/>
      <c r="F124" s="221"/>
      <c r="G124" s="358"/>
      <c r="H124" s="222" t="s">
        <v>1813</v>
      </c>
      <c r="I124" s="355"/>
      <c r="J124" s="219" t="s">
        <v>1813</v>
      </c>
      <c r="K124" s="220"/>
      <c r="L124" s="221"/>
      <c r="M124" s="221"/>
      <c r="N124" s="221"/>
      <c r="O124" s="358"/>
      <c r="P124" s="222" t="s">
        <v>1813</v>
      </c>
    </row>
    <row r="125" spans="1:16" ht="15.75" thickBot="1">
      <c r="A125" s="355"/>
      <c r="B125" s="219" t="s">
        <v>1814</v>
      </c>
      <c r="C125" s="220"/>
      <c r="D125" s="221"/>
      <c r="E125" s="221"/>
      <c r="F125" s="221"/>
      <c r="G125" s="358"/>
      <c r="H125" s="222" t="s">
        <v>1814</v>
      </c>
      <c r="I125" s="355"/>
      <c r="J125" s="219" t="s">
        <v>1814</v>
      </c>
      <c r="K125" s="220"/>
      <c r="L125" s="221"/>
      <c r="M125" s="221"/>
      <c r="N125" s="221"/>
      <c r="O125" s="358"/>
      <c r="P125" s="222" t="s">
        <v>1814</v>
      </c>
    </row>
    <row r="126" spans="1:16" ht="26.25" thickBot="1">
      <c r="A126" s="356"/>
      <c r="B126" s="219" t="s">
        <v>1815</v>
      </c>
      <c r="C126" s="220"/>
      <c r="D126" s="221"/>
      <c r="E126" s="221"/>
      <c r="F126" s="221"/>
      <c r="G126" s="359"/>
      <c r="H126" s="222" t="s">
        <v>1816</v>
      </c>
      <c r="I126" s="356"/>
      <c r="J126" s="219" t="s">
        <v>1815</v>
      </c>
      <c r="K126" s="220"/>
      <c r="L126" s="221"/>
      <c r="M126" s="221"/>
      <c r="N126" s="221"/>
      <c r="O126" s="359"/>
      <c r="P126" s="222" t="s">
        <v>1816</v>
      </c>
    </row>
    <row r="127" spans="1:16" ht="15.75" thickBot="1">
      <c r="A127" s="354" t="s">
        <v>2119</v>
      </c>
      <c r="B127" s="219" t="s">
        <v>1803</v>
      </c>
      <c r="C127" s="220"/>
      <c r="D127" s="221"/>
      <c r="E127" s="221"/>
      <c r="F127" s="221"/>
      <c r="G127" s="357" t="s">
        <v>2119</v>
      </c>
      <c r="H127" s="222" t="s">
        <v>1803</v>
      </c>
      <c r="I127" s="354" t="s">
        <v>2119</v>
      </c>
      <c r="J127" s="219" t="s">
        <v>1803</v>
      </c>
      <c r="K127" s="220"/>
      <c r="L127" s="221"/>
      <c r="M127" s="221"/>
      <c r="N127" s="221"/>
      <c r="O127" s="357" t="s">
        <v>2119</v>
      </c>
      <c r="P127" s="222" t="s">
        <v>1803</v>
      </c>
    </row>
    <row r="128" spans="1:16" ht="15.75" thickBot="1">
      <c r="A128" s="355"/>
      <c r="B128" s="219" t="s">
        <v>1805</v>
      </c>
      <c r="C128" s="220"/>
      <c r="D128" s="221"/>
      <c r="E128" s="221"/>
      <c r="F128" s="221"/>
      <c r="G128" s="358"/>
      <c r="H128" s="222" t="s">
        <v>1805</v>
      </c>
      <c r="I128" s="355"/>
      <c r="J128" s="219" t="s">
        <v>1805</v>
      </c>
      <c r="K128" s="220"/>
      <c r="L128" s="221"/>
      <c r="M128" s="221"/>
      <c r="N128" s="221"/>
      <c r="O128" s="358"/>
      <c r="P128" s="222" t="s">
        <v>1805</v>
      </c>
    </row>
    <row r="129" spans="1:16" ht="15.75" thickBot="1">
      <c r="A129" s="355"/>
      <c r="B129" s="219" t="s">
        <v>1806</v>
      </c>
      <c r="C129" s="220"/>
      <c r="D129" s="221"/>
      <c r="E129" s="221"/>
      <c r="F129" s="221"/>
      <c r="G129" s="358"/>
      <c r="H129" s="222" t="s">
        <v>1806</v>
      </c>
      <c r="I129" s="355"/>
      <c r="J129" s="219" t="s">
        <v>1806</v>
      </c>
      <c r="K129" s="220"/>
      <c r="L129" s="221"/>
      <c r="M129" s="221"/>
      <c r="N129" s="221"/>
      <c r="O129" s="358"/>
      <c r="P129" s="222" t="s">
        <v>1806</v>
      </c>
    </row>
    <row r="130" spans="1:16" ht="15.75" thickBot="1">
      <c r="A130" s="355"/>
      <c r="B130" s="219" t="s">
        <v>1807</v>
      </c>
      <c r="C130" s="220"/>
      <c r="D130" s="221"/>
      <c r="E130" s="221"/>
      <c r="F130" s="221"/>
      <c r="G130" s="358"/>
      <c r="H130" s="222" t="s">
        <v>1807</v>
      </c>
      <c r="I130" s="355"/>
      <c r="J130" s="219" t="s">
        <v>1807</v>
      </c>
      <c r="K130" s="220"/>
      <c r="L130" s="221"/>
      <c r="M130" s="221"/>
      <c r="N130" s="221"/>
      <c r="O130" s="358"/>
      <c r="P130" s="222" t="s">
        <v>1807</v>
      </c>
    </row>
    <row r="131" spans="1:16" ht="15.75" thickBot="1">
      <c r="A131" s="355"/>
      <c r="B131" s="219" t="s">
        <v>1808</v>
      </c>
      <c r="C131" s="220"/>
      <c r="D131" s="221"/>
      <c r="E131" s="221"/>
      <c r="F131" s="221"/>
      <c r="G131" s="358"/>
      <c r="H131" s="222" t="s">
        <v>1808</v>
      </c>
      <c r="I131" s="355"/>
      <c r="J131" s="219" t="s">
        <v>1808</v>
      </c>
      <c r="K131" s="220"/>
      <c r="L131" s="221"/>
      <c r="M131" s="221"/>
      <c r="N131" s="221"/>
      <c r="O131" s="358"/>
      <c r="P131" s="222" t="s">
        <v>1808</v>
      </c>
    </row>
    <row r="132" spans="1:16" ht="15.75" thickBot="1">
      <c r="A132" s="355"/>
      <c r="B132" s="219" t="s">
        <v>1809</v>
      </c>
      <c r="C132" s="220"/>
      <c r="D132" s="221"/>
      <c r="E132" s="221"/>
      <c r="F132" s="221"/>
      <c r="G132" s="358"/>
      <c r="H132" s="222" t="s">
        <v>1809</v>
      </c>
      <c r="I132" s="355"/>
      <c r="J132" s="219" t="s">
        <v>1809</v>
      </c>
      <c r="K132" s="220"/>
      <c r="L132" s="221"/>
      <c r="M132" s="221"/>
      <c r="N132" s="221"/>
      <c r="O132" s="358"/>
      <c r="P132" s="222" t="s">
        <v>1809</v>
      </c>
    </row>
    <row r="133" spans="1:16" ht="15.75" thickBot="1">
      <c r="A133" s="355"/>
      <c r="B133" s="219" t="s">
        <v>1810</v>
      </c>
      <c r="C133" s="220"/>
      <c r="D133" s="221"/>
      <c r="E133" s="221"/>
      <c r="F133" s="221"/>
      <c r="G133" s="358"/>
      <c r="H133" s="222" t="s">
        <v>1810</v>
      </c>
      <c r="I133" s="355"/>
      <c r="J133" s="219" t="s">
        <v>1810</v>
      </c>
      <c r="K133" s="220"/>
      <c r="L133" s="221"/>
      <c r="M133" s="221"/>
      <c r="N133" s="221"/>
      <c r="O133" s="358"/>
      <c r="P133" s="222" t="s">
        <v>1810</v>
      </c>
    </row>
    <row r="134" spans="1:16" ht="15.75" thickBot="1">
      <c r="A134" s="355"/>
      <c r="B134" s="219" t="s">
        <v>1811</v>
      </c>
      <c r="C134" s="220"/>
      <c r="D134" s="221"/>
      <c r="E134" s="221"/>
      <c r="F134" s="221"/>
      <c r="G134" s="358"/>
      <c r="H134" s="222" t="s">
        <v>1811</v>
      </c>
      <c r="I134" s="355"/>
      <c r="J134" s="219" t="s">
        <v>1811</v>
      </c>
      <c r="K134" s="220"/>
      <c r="L134" s="221"/>
      <c r="M134" s="221"/>
      <c r="N134" s="221"/>
      <c r="O134" s="358"/>
      <c r="P134" s="222" t="s">
        <v>1811</v>
      </c>
    </row>
    <row r="135" spans="1:16" ht="15.75" thickBot="1">
      <c r="A135" s="355"/>
      <c r="B135" s="219" t="s">
        <v>1812</v>
      </c>
      <c r="C135" s="220"/>
      <c r="D135" s="221"/>
      <c r="E135" s="221"/>
      <c r="F135" s="221"/>
      <c r="G135" s="358"/>
      <c r="H135" s="222" t="s">
        <v>1812</v>
      </c>
      <c r="I135" s="355"/>
      <c r="J135" s="219" t="s">
        <v>1812</v>
      </c>
      <c r="K135" s="220"/>
      <c r="L135" s="221"/>
      <c r="M135" s="221"/>
      <c r="N135" s="221"/>
      <c r="O135" s="358"/>
      <c r="P135" s="222" t="s">
        <v>1812</v>
      </c>
    </row>
    <row r="136" spans="1:16" ht="15.75" thickBot="1">
      <c r="A136" s="355"/>
      <c r="B136" s="219" t="s">
        <v>1813</v>
      </c>
      <c r="C136" s="220"/>
      <c r="D136" s="221"/>
      <c r="E136" s="221"/>
      <c r="F136" s="221"/>
      <c r="G136" s="358"/>
      <c r="H136" s="222" t="s">
        <v>1813</v>
      </c>
      <c r="I136" s="355"/>
      <c r="J136" s="219" t="s">
        <v>1813</v>
      </c>
      <c r="K136" s="220"/>
      <c r="L136" s="221"/>
      <c r="M136" s="221"/>
      <c r="N136" s="221"/>
      <c r="O136" s="358"/>
      <c r="P136" s="222" t="s">
        <v>1813</v>
      </c>
    </row>
    <row r="137" spans="1:16" ht="15.75" thickBot="1">
      <c r="A137" s="355"/>
      <c r="B137" s="219" t="s">
        <v>1814</v>
      </c>
      <c r="C137" s="220"/>
      <c r="D137" s="221"/>
      <c r="E137" s="221"/>
      <c r="F137" s="221"/>
      <c r="G137" s="358"/>
      <c r="H137" s="222" t="s">
        <v>1814</v>
      </c>
      <c r="I137" s="355"/>
      <c r="J137" s="219" t="s">
        <v>1814</v>
      </c>
      <c r="K137" s="220"/>
      <c r="L137" s="221"/>
      <c r="M137" s="221"/>
      <c r="N137" s="221"/>
      <c r="O137" s="358"/>
      <c r="P137" s="222" t="s">
        <v>1814</v>
      </c>
    </row>
    <row r="138" spans="1:16" ht="26.25" thickBot="1">
      <c r="A138" s="356"/>
      <c r="B138" s="219" t="s">
        <v>1815</v>
      </c>
      <c r="C138" s="220"/>
      <c r="D138" s="221"/>
      <c r="E138" s="221"/>
      <c r="F138" s="221"/>
      <c r="G138" s="359"/>
      <c r="H138" s="222" t="s">
        <v>1816</v>
      </c>
      <c r="I138" s="356"/>
      <c r="J138" s="219" t="s">
        <v>1815</v>
      </c>
      <c r="K138" s="220"/>
      <c r="L138" s="221"/>
      <c r="M138" s="221"/>
      <c r="N138" s="221"/>
      <c r="O138" s="359"/>
      <c r="P138" s="222" t="s">
        <v>1816</v>
      </c>
    </row>
    <row r="139" spans="1:16" ht="15.75" thickBot="1">
      <c r="A139" s="354" t="s">
        <v>2120</v>
      </c>
      <c r="B139" s="219" t="s">
        <v>1803</v>
      </c>
      <c r="C139" s="220"/>
      <c r="D139" s="221"/>
      <c r="E139" s="221"/>
      <c r="F139" s="221"/>
      <c r="G139" s="357" t="s">
        <v>2120</v>
      </c>
      <c r="H139" s="222" t="s">
        <v>1803</v>
      </c>
      <c r="I139" s="354" t="s">
        <v>2120</v>
      </c>
      <c r="J139" s="219" t="s">
        <v>1803</v>
      </c>
      <c r="K139" s="220"/>
      <c r="L139" s="221"/>
      <c r="M139" s="221"/>
      <c r="N139" s="221"/>
      <c r="O139" s="357" t="s">
        <v>2120</v>
      </c>
      <c r="P139" s="222" t="s">
        <v>1803</v>
      </c>
    </row>
    <row r="140" spans="1:16" ht="15.75" thickBot="1">
      <c r="A140" s="355"/>
      <c r="B140" s="219" t="s">
        <v>1805</v>
      </c>
      <c r="C140" s="220"/>
      <c r="D140" s="221"/>
      <c r="E140" s="221"/>
      <c r="F140" s="221"/>
      <c r="G140" s="358"/>
      <c r="H140" s="222" t="s">
        <v>1805</v>
      </c>
      <c r="I140" s="355"/>
      <c r="J140" s="219" t="s">
        <v>1805</v>
      </c>
      <c r="K140" s="220"/>
      <c r="L140" s="221"/>
      <c r="M140" s="221"/>
      <c r="N140" s="221"/>
      <c r="O140" s="358"/>
      <c r="P140" s="222" t="s">
        <v>1805</v>
      </c>
    </row>
    <row r="141" spans="1:16" ht="15.75" thickBot="1">
      <c r="A141" s="355"/>
      <c r="B141" s="219" t="s">
        <v>1806</v>
      </c>
      <c r="C141" s="220"/>
      <c r="D141" s="221"/>
      <c r="E141" s="221"/>
      <c r="F141" s="221"/>
      <c r="G141" s="358"/>
      <c r="H141" s="222" t="s">
        <v>1806</v>
      </c>
      <c r="I141" s="355"/>
      <c r="J141" s="219" t="s">
        <v>1806</v>
      </c>
      <c r="K141" s="220"/>
      <c r="L141" s="221"/>
      <c r="M141" s="221"/>
      <c r="N141" s="221"/>
      <c r="O141" s="358"/>
      <c r="P141" s="222" t="s">
        <v>1806</v>
      </c>
    </row>
    <row r="142" spans="1:16" ht="15.75" thickBot="1">
      <c r="A142" s="355"/>
      <c r="B142" s="219" t="s">
        <v>1807</v>
      </c>
      <c r="C142" s="220"/>
      <c r="D142" s="221"/>
      <c r="E142" s="221"/>
      <c r="F142" s="221"/>
      <c r="G142" s="358"/>
      <c r="H142" s="222" t="s">
        <v>1807</v>
      </c>
      <c r="I142" s="355"/>
      <c r="J142" s="219" t="s">
        <v>1807</v>
      </c>
      <c r="K142" s="220"/>
      <c r="L142" s="221"/>
      <c r="M142" s="221"/>
      <c r="N142" s="221"/>
      <c r="O142" s="358"/>
      <c r="P142" s="222" t="s">
        <v>1807</v>
      </c>
    </row>
    <row r="143" spans="1:16" ht="15.75" thickBot="1">
      <c r="A143" s="355"/>
      <c r="B143" s="219" t="s">
        <v>1808</v>
      </c>
      <c r="C143" s="220"/>
      <c r="D143" s="221"/>
      <c r="E143" s="221"/>
      <c r="F143" s="221"/>
      <c r="G143" s="358"/>
      <c r="H143" s="222" t="s">
        <v>1808</v>
      </c>
      <c r="I143" s="355"/>
      <c r="J143" s="219" t="s">
        <v>1808</v>
      </c>
      <c r="K143" s="220"/>
      <c r="L143" s="221"/>
      <c r="M143" s="221"/>
      <c r="N143" s="221"/>
      <c r="O143" s="358"/>
      <c r="P143" s="222" t="s">
        <v>1808</v>
      </c>
    </row>
    <row r="144" spans="1:16" ht="15.75" thickBot="1">
      <c r="A144" s="355"/>
      <c r="B144" s="219" t="s">
        <v>1809</v>
      </c>
      <c r="C144" s="220"/>
      <c r="D144" s="221"/>
      <c r="E144" s="221"/>
      <c r="F144" s="221"/>
      <c r="G144" s="358"/>
      <c r="H144" s="222" t="s">
        <v>1809</v>
      </c>
      <c r="I144" s="355"/>
      <c r="J144" s="219" t="s">
        <v>1809</v>
      </c>
      <c r="K144" s="220"/>
      <c r="L144" s="221"/>
      <c r="M144" s="221"/>
      <c r="N144" s="221"/>
      <c r="O144" s="358"/>
      <c r="P144" s="222" t="s">
        <v>1809</v>
      </c>
    </row>
    <row r="145" spans="1:16" ht="15.75" thickBot="1">
      <c r="A145" s="355"/>
      <c r="B145" s="219" t="s">
        <v>1810</v>
      </c>
      <c r="C145" s="220"/>
      <c r="D145" s="221"/>
      <c r="E145" s="221"/>
      <c r="F145" s="221"/>
      <c r="G145" s="358"/>
      <c r="H145" s="222" t="s">
        <v>1810</v>
      </c>
      <c r="I145" s="355"/>
      <c r="J145" s="219" t="s">
        <v>1810</v>
      </c>
      <c r="K145" s="220"/>
      <c r="L145" s="221"/>
      <c r="M145" s="221"/>
      <c r="N145" s="221"/>
      <c r="O145" s="358"/>
      <c r="P145" s="222" t="s">
        <v>1810</v>
      </c>
    </row>
    <row r="146" spans="1:16" ht="15.75" thickBot="1">
      <c r="A146" s="355"/>
      <c r="B146" s="219" t="s">
        <v>1811</v>
      </c>
      <c r="C146" s="220"/>
      <c r="D146" s="221"/>
      <c r="E146" s="221"/>
      <c r="F146" s="221"/>
      <c r="G146" s="358"/>
      <c r="H146" s="222" t="s">
        <v>1811</v>
      </c>
      <c r="I146" s="355"/>
      <c r="J146" s="219" t="s">
        <v>1811</v>
      </c>
      <c r="K146" s="220"/>
      <c r="L146" s="221"/>
      <c r="M146" s="221"/>
      <c r="N146" s="221"/>
      <c r="O146" s="358"/>
      <c r="P146" s="222" t="s">
        <v>1811</v>
      </c>
    </row>
    <row r="147" spans="1:16" ht="15.75" thickBot="1">
      <c r="A147" s="355"/>
      <c r="B147" s="219" t="s">
        <v>1812</v>
      </c>
      <c r="C147" s="220"/>
      <c r="D147" s="221"/>
      <c r="E147" s="221"/>
      <c r="F147" s="221"/>
      <c r="G147" s="358"/>
      <c r="H147" s="222" t="s">
        <v>1812</v>
      </c>
      <c r="I147" s="355"/>
      <c r="J147" s="219" t="s">
        <v>1812</v>
      </c>
      <c r="K147" s="220"/>
      <c r="L147" s="221"/>
      <c r="M147" s="221"/>
      <c r="N147" s="221"/>
      <c r="O147" s="358"/>
      <c r="P147" s="222" t="s">
        <v>1812</v>
      </c>
    </row>
    <row r="148" spans="1:16" ht="15.75" thickBot="1">
      <c r="A148" s="355"/>
      <c r="B148" s="219" t="s">
        <v>1813</v>
      </c>
      <c r="C148" s="220"/>
      <c r="D148" s="221"/>
      <c r="E148" s="221"/>
      <c r="F148" s="221"/>
      <c r="G148" s="358"/>
      <c r="H148" s="222" t="s">
        <v>1813</v>
      </c>
      <c r="I148" s="355"/>
      <c r="J148" s="219" t="s">
        <v>1813</v>
      </c>
      <c r="K148" s="220"/>
      <c r="L148" s="221"/>
      <c r="M148" s="221"/>
      <c r="N148" s="221"/>
      <c r="O148" s="358"/>
      <c r="P148" s="222" t="s">
        <v>1813</v>
      </c>
    </row>
    <row r="149" spans="1:16" ht="15.75" thickBot="1">
      <c r="A149" s="355"/>
      <c r="B149" s="219" t="s">
        <v>1814</v>
      </c>
      <c r="C149" s="220"/>
      <c r="D149" s="221"/>
      <c r="E149" s="221"/>
      <c r="F149" s="221"/>
      <c r="G149" s="358"/>
      <c r="H149" s="222" t="s">
        <v>1814</v>
      </c>
      <c r="I149" s="355"/>
      <c r="J149" s="219" t="s">
        <v>1814</v>
      </c>
      <c r="K149" s="220"/>
      <c r="L149" s="221"/>
      <c r="M149" s="221"/>
      <c r="N149" s="221"/>
      <c r="O149" s="358"/>
      <c r="P149" s="222" t="s">
        <v>1814</v>
      </c>
    </row>
    <row r="150" spans="1:16" ht="26.25" thickBot="1">
      <c r="A150" s="356"/>
      <c r="B150" s="219" t="s">
        <v>1815</v>
      </c>
      <c r="C150" s="220"/>
      <c r="D150" s="221"/>
      <c r="E150" s="221"/>
      <c r="F150" s="221"/>
      <c r="G150" s="359"/>
      <c r="H150" s="222" t="s">
        <v>1816</v>
      </c>
      <c r="I150" s="356"/>
      <c r="J150" s="219" t="s">
        <v>1815</v>
      </c>
      <c r="K150" s="220"/>
      <c r="L150" s="221"/>
      <c r="M150" s="221"/>
      <c r="N150" s="221"/>
      <c r="O150" s="359"/>
      <c r="P150" s="222" t="s">
        <v>1816</v>
      </c>
    </row>
    <row r="151" spans="1:16" ht="15.75" thickBot="1">
      <c r="A151" s="354" t="s">
        <v>2121</v>
      </c>
      <c r="B151" s="219" t="s">
        <v>1803</v>
      </c>
      <c r="C151" s="220"/>
      <c r="D151" s="221"/>
      <c r="E151" s="221"/>
      <c r="F151" s="221"/>
      <c r="G151" s="357" t="s">
        <v>2121</v>
      </c>
      <c r="H151" s="222" t="s">
        <v>1803</v>
      </c>
      <c r="I151" s="354" t="s">
        <v>2121</v>
      </c>
      <c r="J151" s="219" t="s">
        <v>1803</v>
      </c>
      <c r="K151" s="220"/>
      <c r="L151" s="221"/>
      <c r="M151" s="221"/>
      <c r="N151" s="221"/>
      <c r="O151" s="357" t="s">
        <v>2121</v>
      </c>
      <c r="P151" s="222" t="s">
        <v>1803</v>
      </c>
    </row>
    <row r="152" spans="1:16" ht="15.75" thickBot="1">
      <c r="A152" s="355"/>
      <c r="B152" s="219" t="s">
        <v>1805</v>
      </c>
      <c r="C152" s="220"/>
      <c r="D152" s="221"/>
      <c r="E152" s="221"/>
      <c r="F152" s="221"/>
      <c r="G152" s="358"/>
      <c r="H152" s="222" t="s">
        <v>1805</v>
      </c>
      <c r="I152" s="355"/>
      <c r="J152" s="219" t="s">
        <v>1805</v>
      </c>
      <c r="K152" s="220"/>
      <c r="L152" s="221"/>
      <c r="M152" s="221"/>
      <c r="N152" s="221"/>
      <c r="O152" s="358"/>
      <c r="P152" s="222" t="s">
        <v>1805</v>
      </c>
    </row>
    <row r="153" spans="1:16" ht="15.75" thickBot="1">
      <c r="A153" s="355"/>
      <c r="B153" s="219" t="s">
        <v>1806</v>
      </c>
      <c r="C153" s="220"/>
      <c r="D153" s="221"/>
      <c r="E153" s="221"/>
      <c r="F153" s="221"/>
      <c r="G153" s="358"/>
      <c r="H153" s="222" t="s">
        <v>1806</v>
      </c>
      <c r="I153" s="355"/>
      <c r="J153" s="219" t="s">
        <v>1806</v>
      </c>
      <c r="K153" s="220"/>
      <c r="L153" s="221"/>
      <c r="M153" s="221"/>
      <c r="N153" s="221"/>
      <c r="O153" s="358"/>
      <c r="P153" s="222" t="s">
        <v>1806</v>
      </c>
    </row>
    <row r="154" spans="1:16" ht="15.75" thickBot="1">
      <c r="A154" s="355"/>
      <c r="B154" s="219" t="s">
        <v>1807</v>
      </c>
      <c r="C154" s="220"/>
      <c r="D154" s="221"/>
      <c r="E154" s="221"/>
      <c r="F154" s="221"/>
      <c r="G154" s="358"/>
      <c r="H154" s="222" t="s">
        <v>1807</v>
      </c>
      <c r="I154" s="355"/>
      <c r="J154" s="219" t="s">
        <v>1807</v>
      </c>
      <c r="K154" s="220"/>
      <c r="L154" s="221"/>
      <c r="M154" s="221"/>
      <c r="N154" s="221"/>
      <c r="O154" s="358"/>
      <c r="P154" s="222" t="s">
        <v>1807</v>
      </c>
    </row>
    <row r="155" spans="1:16" ht="15.75" thickBot="1">
      <c r="A155" s="355"/>
      <c r="B155" s="219" t="s">
        <v>1808</v>
      </c>
      <c r="C155" s="220"/>
      <c r="D155" s="221"/>
      <c r="E155" s="221"/>
      <c r="F155" s="221"/>
      <c r="G155" s="358"/>
      <c r="H155" s="222" t="s">
        <v>1808</v>
      </c>
      <c r="I155" s="355"/>
      <c r="J155" s="219" t="s">
        <v>1808</v>
      </c>
      <c r="K155" s="220"/>
      <c r="L155" s="221"/>
      <c r="M155" s="221"/>
      <c r="N155" s="221"/>
      <c r="O155" s="358"/>
      <c r="P155" s="222" t="s">
        <v>1808</v>
      </c>
    </row>
    <row r="156" spans="1:16" ht="15.75" thickBot="1">
      <c r="A156" s="355"/>
      <c r="B156" s="219" t="s">
        <v>1809</v>
      </c>
      <c r="C156" s="220"/>
      <c r="D156" s="221"/>
      <c r="E156" s="221"/>
      <c r="F156" s="221"/>
      <c r="G156" s="358"/>
      <c r="H156" s="222" t="s">
        <v>1809</v>
      </c>
      <c r="I156" s="355"/>
      <c r="J156" s="219" t="s">
        <v>1809</v>
      </c>
      <c r="K156" s="220"/>
      <c r="L156" s="221"/>
      <c r="M156" s="221"/>
      <c r="N156" s="221"/>
      <c r="O156" s="358"/>
      <c r="P156" s="222" t="s">
        <v>1809</v>
      </c>
    </row>
    <row r="157" spans="1:16" ht="15.75" thickBot="1">
      <c r="A157" s="355"/>
      <c r="B157" s="219" t="s">
        <v>1810</v>
      </c>
      <c r="C157" s="220"/>
      <c r="D157" s="221"/>
      <c r="E157" s="221"/>
      <c r="F157" s="221"/>
      <c r="G157" s="358"/>
      <c r="H157" s="222" t="s">
        <v>1810</v>
      </c>
      <c r="I157" s="355"/>
      <c r="J157" s="219" t="s">
        <v>1810</v>
      </c>
      <c r="K157" s="220"/>
      <c r="L157" s="221"/>
      <c r="M157" s="221"/>
      <c r="N157" s="221"/>
      <c r="O157" s="358"/>
      <c r="P157" s="222" t="s">
        <v>1810</v>
      </c>
    </row>
    <row r="158" spans="1:16" ht="15.75" thickBot="1">
      <c r="A158" s="355"/>
      <c r="B158" s="219" t="s">
        <v>1811</v>
      </c>
      <c r="C158" s="220"/>
      <c r="D158" s="221"/>
      <c r="E158" s="221"/>
      <c r="F158" s="221"/>
      <c r="G158" s="358"/>
      <c r="H158" s="222" t="s">
        <v>1811</v>
      </c>
      <c r="I158" s="355"/>
      <c r="J158" s="219" t="s">
        <v>1811</v>
      </c>
      <c r="K158" s="220"/>
      <c r="L158" s="221"/>
      <c r="M158" s="221"/>
      <c r="N158" s="221"/>
      <c r="O158" s="358"/>
      <c r="P158" s="222" t="s">
        <v>1811</v>
      </c>
    </row>
    <row r="159" spans="1:16" ht="15.75" thickBot="1">
      <c r="A159" s="355"/>
      <c r="B159" s="219" t="s">
        <v>1812</v>
      </c>
      <c r="C159" s="220"/>
      <c r="D159" s="221"/>
      <c r="E159" s="221"/>
      <c r="F159" s="221"/>
      <c r="G159" s="358"/>
      <c r="H159" s="222" t="s">
        <v>1812</v>
      </c>
      <c r="I159" s="355"/>
      <c r="J159" s="219" t="s">
        <v>1812</v>
      </c>
      <c r="K159" s="220"/>
      <c r="L159" s="221"/>
      <c r="M159" s="221"/>
      <c r="N159" s="221"/>
      <c r="O159" s="358"/>
      <c r="P159" s="222" t="s">
        <v>1812</v>
      </c>
    </row>
    <row r="160" spans="1:16" ht="15.75" thickBot="1">
      <c r="A160" s="355"/>
      <c r="B160" s="219" t="s">
        <v>1813</v>
      </c>
      <c r="C160" s="220"/>
      <c r="D160" s="221"/>
      <c r="E160" s="221"/>
      <c r="F160" s="221"/>
      <c r="G160" s="358"/>
      <c r="H160" s="222" t="s">
        <v>1813</v>
      </c>
      <c r="I160" s="355"/>
      <c r="J160" s="219" t="s">
        <v>1813</v>
      </c>
      <c r="K160" s="220"/>
      <c r="L160" s="221"/>
      <c r="M160" s="221"/>
      <c r="N160" s="221"/>
      <c r="O160" s="358"/>
      <c r="P160" s="222" t="s">
        <v>1813</v>
      </c>
    </row>
    <row r="161" spans="1:16" ht="15.75" thickBot="1">
      <c r="A161" s="355"/>
      <c r="B161" s="219" t="s">
        <v>1814</v>
      </c>
      <c r="C161" s="220"/>
      <c r="D161" s="221"/>
      <c r="E161" s="221"/>
      <c r="F161" s="221"/>
      <c r="G161" s="358"/>
      <c r="H161" s="222" t="s">
        <v>1814</v>
      </c>
      <c r="I161" s="355"/>
      <c r="J161" s="219" t="s">
        <v>1814</v>
      </c>
      <c r="K161" s="220"/>
      <c r="L161" s="221"/>
      <c r="M161" s="221"/>
      <c r="N161" s="221"/>
      <c r="O161" s="358"/>
      <c r="P161" s="222" t="s">
        <v>1814</v>
      </c>
    </row>
    <row r="162" spans="1:16" ht="26.25" thickBot="1">
      <c r="A162" s="356"/>
      <c r="B162" s="219" t="s">
        <v>1815</v>
      </c>
      <c r="C162" s="220"/>
      <c r="D162" s="221"/>
      <c r="E162" s="221"/>
      <c r="F162" s="221"/>
      <c r="G162" s="359"/>
      <c r="H162" s="222" t="s">
        <v>1816</v>
      </c>
      <c r="I162" s="356"/>
      <c r="J162" s="219" t="s">
        <v>1815</v>
      </c>
      <c r="K162" s="220"/>
      <c r="L162" s="221"/>
      <c r="M162" s="221"/>
      <c r="N162" s="221"/>
      <c r="O162" s="359"/>
      <c r="P162" s="222" t="s">
        <v>1816</v>
      </c>
    </row>
    <row r="163" spans="1:16" ht="15.75" thickBot="1">
      <c r="A163" s="354" t="s">
        <v>2122</v>
      </c>
      <c r="B163" s="219" t="s">
        <v>1803</v>
      </c>
      <c r="C163" s="220"/>
      <c r="D163" s="221"/>
      <c r="E163" s="221"/>
      <c r="F163" s="221"/>
      <c r="G163" s="357" t="s">
        <v>2122</v>
      </c>
      <c r="H163" s="222" t="s">
        <v>1803</v>
      </c>
      <c r="I163" s="354" t="s">
        <v>2122</v>
      </c>
      <c r="J163" s="219" t="s">
        <v>1803</v>
      </c>
      <c r="K163" s="220"/>
      <c r="L163" s="221"/>
      <c r="M163" s="221"/>
      <c r="N163" s="221"/>
      <c r="O163" s="357" t="s">
        <v>2122</v>
      </c>
      <c r="P163" s="222" t="s">
        <v>1803</v>
      </c>
    </row>
    <row r="164" spans="1:16" ht="15.75" thickBot="1">
      <c r="A164" s="355"/>
      <c r="B164" s="219" t="s">
        <v>1805</v>
      </c>
      <c r="C164" s="220"/>
      <c r="D164" s="221"/>
      <c r="E164" s="221"/>
      <c r="F164" s="221"/>
      <c r="G164" s="358"/>
      <c r="H164" s="222" t="s">
        <v>1805</v>
      </c>
      <c r="I164" s="355"/>
      <c r="J164" s="219" t="s">
        <v>1805</v>
      </c>
      <c r="K164" s="220"/>
      <c r="L164" s="221"/>
      <c r="M164" s="221"/>
      <c r="N164" s="221"/>
      <c r="O164" s="358"/>
      <c r="P164" s="222" t="s">
        <v>1805</v>
      </c>
    </row>
    <row r="165" spans="1:16" ht="15.75" thickBot="1">
      <c r="A165" s="355"/>
      <c r="B165" s="219" t="s">
        <v>1806</v>
      </c>
      <c r="C165" s="220"/>
      <c r="D165" s="221"/>
      <c r="E165" s="221"/>
      <c r="F165" s="221"/>
      <c r="G165" s="358"/>
      <c r="H165" s="222" t="s">
        <v>1806</v>
      </c>
      <c r="I165" s="355"/>
      <c r="J165" s="219" t="s">
        <v>1806</v>
      </c>
      <c r="K165" s="220"/>
      <c r="L165" s="221"/>
      <c r="M165" s="221"/>
      <c r="N165" s="221"/>
      <c r="O165" s="358"/>
      <c r="P165" s="222" t="s">
        <v>1806</v>
      </c>
    </row>
    <row r="166" spans="1:16" ht="15.75" thickBot="1">
      <c r="A166" s="355"/>
      <c r="B166" s="219" t="s">
        <v>1807</v>
      </c>
      <c r="C166" s="220"/>
      <c r="D166" s="221"/>
      <c r="E166" s="221"/>
      <c r="F166" s="221"/>
      <c r="G166" s="358"/>
      <c r="H166" s="222" t="s">
        <v>1807</v>
      </c>
      <c r="I166" s="355"/>
      <c r="J166" s="219" t="s">
        <v>1807</v>
      </c>
      <c r="K166" s="220"/>
      <c r="L166" s="221"/>
      <c r="M166" s="221"/>
      <c r="N166" s="221"/>
      <c r="O166" s="358"/>
      <c r="P166" s="222" t="s">
        <v>1807</v>
      </c>
    </row>
    <row r="167" spans="1:16" ht="15.75" thickBot="1">
      <c r="A167" s="355"/>
      <c r="B167" s="219" t="s">
        <v>1808</v>
      </c>
      <c r="C167" s="220"/>
      <c r="D167" s="221"/>
      <c r="E167" s="221"/>
      <c r="F167" s="221"/>
      <c r="G167" s="358"/>
      <c r="H167" s="222" t="s">
        <v>1808</v>
      </c>
      <c r="I167" s="355"/>
      <c r="J167" s="219" t="s">
        <v>1808</v>
      </c>
      <c r="K167" s="220"/>
      <c r="L167" s="221"/>
      <c r="M167" s="221"/>
      <c r="N167" s="221"/>
      <c r="O167" s="358"/>
      <c r="P167" s="222" t="s">
        <v>1808</v>
      </c>
    </row>
    <row r="168" spans="1:16" ht="15.75" thickBot="1">
      <c r="A168" s="355"/>
      <c r="B168" s="219" t="s">
        <v>1809</v>
      </c>
      <c r="C168" s="220"/>
      <c r="D168" s="221"/>
      <c r="E168" s="221"/>
      <c r="F168" s="221"/>
      <c r="G168" s="358"/>
      <c r="H168" s="222" t="s">
        <v>1809</v>
      </c>
      <c r="I168" s="355"/>
      <c r="J168" s="219" t="s">
        <v>1809</v>
      </c>
      <c r="K168" s="220"/>
      <c r="L168" s="221"/>
      <c r="M168" s="221"/>
      <c r="N168" s="221"/>
      <c r="O168" s="358"/>
      <c r="P168" s="222" t="s">
        <v>1809</v>
      </c>
    </row>
    <row r="169" spans="1:16" ht="15.75" thickBot="1">
      <c r="A169" s="355"/>
      <c r="B169" s="219" t="s">
        <v>1810</v>
      </c>
      <c r="C169" s="220"/>
      <c r="D169" s="221"/>
      <c r="E169" s="221"/>
      <c r="F169" s="221"/>
      <c r="G169" s="358"/>
      <c r="H169" s="222" t="s">
        <v>1810</v>
      </c>
      <c r="I169" s="355"/>
      <c r="J169" s="219" t="s">
        <v>1810</v>
      </c>
      <c r="K169" s="220"/>
      <c r="L169" s="221"/>
      <c r="M169" s="221"/>
      <c r="N169" s="221"/>
      <c r="O169" s="358"/>
      <c r="P169" s="222" t="s">
        <v>1810</v>
      </c>
    </row>
    <row r="170" spans="1:16" ht="15.75" thickBot="1">
      <c r="A170" s="355"/>
      <c r="B170" s="219" t="s">
        <v>1811</v>
      </c>
      <c r="C170" s="220"/>
      <c r="D170" s="221"/>
      <c r="E170" s="221"/>
      <c r="F170" s="221"/>
      <c r="G170" s="358"/>
      <c r="H170" s="222" t="s">
        <v>1811</v>
      </c>
      <c r="I170" s="355"/>
      <c r="J170" s="219" t="s">
        <v>1811</v>
      </c>
      <c r="K170" s="220"/>
      <c r="L170" s="221"/>
      <c r="M170" s="221"/>
      <c r="N170" s="221"/>
      <c r="O170" s="358"/>
      <c r="P170" s="222" t="s">
        <v>1811</v>
      </c>
    </row>
    <row r="171" spans="1:16" ht="15.75" thickBot="1">
      <c r="A171" s="355"/>
      <c r="B171" s="219" t="s">
        <v>1812</v>
      </c>
      <c r="C171" s="220"/>
      <c r="D171" s="221"/>
      <c r="E171" s="221"/>
      <c r="F171" s="221"/>
      <c r="G171" s="358"/>
      <c r="H171" s="222" t="s">
        <v>1812</v>
      </c>
      <c r="I171" s="355"/>
      <c r="J171" s="219" t="s">
        <v>1812</v>
      </c>
      <c r="K171" s="220"/>
      <c r="L171" s="221"/>
      <c r="M171" s="221"/>
      <c r="N171" s="221"/>
      <c r="O171" s="358"/>
      <c r="P171" s="222" t="s">
        <v>1812</v>
      </c>
    </row>
    <row r="172" spans="1:16" ht="15.75" thickBot="1">
      <c r="A172" s="355"/>
      <c r="B172" s="219" t="s">
        <v>1813</v>
      </c>
      <c r="C172" s="220"/>
      <c r="D172" s="221"/>
      <c r="E172" s="221"/>
      <c r="F172" s="221"/>
      <c r="G172" s="358"/>
      <c r="H172" s="222" t="s">
        <v>1813</v>
      </c>
      <c r="I172" s="355"/>
      <c r="J172" s="219" t="s">
        <v>1813</v>
      </c>
      <c r="K172" s="220"/>
      <c r="L172" s="221"/>
      <c r="M172" s="221"/>
      <c r="N172" s="221"/>
      <c r="O172" s="358"/>
      <c r="P172" s="222" t="s">
        <v>1813</v>
      </c>
    </row>
    <row r="173" spans="1:16" ht="15.75" thickBot="1">
      <c r="A173" s="355"/>
      <c r="B173" s="219" t="s">
        <v>1814</v>
      </c>
      <c r="C173" s="220"/>
      <c r="D173" s="221"/>
      <c r="E173" s="221"/>
      <c r="F173" s="221"/>
      <c r="G173" s="358"/>
      <c r="H173" s="222" t="s">
        <v>1814</v>
      </c>
      <c r="I173" s="355"/>
      <c r="J173" s="219" t="s">
        <v>1814</v>
      </c>
      <c r="K173" s="220"/>
      <c r="L173" s="221"/>
      <c r="M173" s="221"/>
      <c r="N173" s="221"/>
      <c r="O173" s="358"/>
      <c r="P173" s="222" t="s">
        <v>1814</v>
      </c>
    </row>
    <row r="174" spans="1:16" ht="26.25" thickBot="1">
      <c r="A174" s="356"/>
      <c r="B174" s="219" t="s">
        <v>1815</v>
      </c>
      <c r="C174" s="220"/>
      <c r="D174" s="221"/>
      <c r="E174" s="221"/>
      <c r="F174" s="221"/>
      <c r="G174" s="359"/>
      <c r="H174" s="222" t="s">
        <v>1816</v>
      </c>
      <c r="I174" s="356"/>
      <c r="J174" s="219" t="s">
        <v>1815</v>
      </c>
      <c r="K174" s="220"/>
      <c r="L174" s="221"/>
      <c r="M174" s="221"/>
      <c r="N174" s="221"/>
      <c r="O174" s="359"/>
      <c r="P174" s="222" t="s">
        <v>1816</v>
      </c>
    </row>
    <row r="175" spans="1:16" ht="15.75" thickBot="1">
      <c r="A175" s="354" t="s">
        <v>2123</v>
      </c>
      <c r="B175" s="219" t="s">
        <v>1803</v>
      </c>
      <c r="C175" s="220"/>
      <c r="D175" s="221"/>
      <c r="E175" s="221"/>
      <c r="F175" s="221"/>
      <c r="G175" s="357" t="s">
        <v>2123</v>
      </c>
      <c r="H175" s="222" t="s">
        <v>1803</v>
      </c>
      <c r="I175" s="354" t="s">
        <v>2123</v>
      </c>
      <c r="J175" s="219" t="s">
        <v>1803</v>
      </c>
      <c r="K175" s="220"/>
      <c r="L175" s="221"/>
      <c r="M175" s="221"/>
      <c r="N175" s="221"/>
      <c r="O175" s="357" t="s">
        <v>2123</v>
      </c>
      <c r="P175" s="222" t="s">
        <v>1803</v>
      </c>
    </row>
    <row r="176" spans="1:16" ht="15.75" thickBot="1">
      <c r="A176" s="355"/>
      <c r="B176" s="219" t="s">
        <v>1805</v>
      </c>
      <c r="C176" s="220"/>
      <c r="D176" s="221"/>
      <c r="E176" s="221"/>
      <c r="F176" s="221"/>
      <c r="G176" s="358"/>
      <c r="H176" s="222" t="s">
        <v>1805</v>
      </c>
      <c r="I176" s="355"/>
      <c r="J176" s="219" t="s">
        <v>1805</v>
      </c>
      <c r="K176" s="220"/>
      <c r="L176" s="221"/>
      <c r="M176" s="221"/>
      <c r="N176" s="221"/>
      <c r="O176" s="358"/>
      <c r="P176" s="222" t="s">
        <v>1805</v>
      </c>
    </row>
    <row r="177" spans="1:16" ht="15.75" thickBot="1">
      <c r="A177" s="355"/>
      <c r="B177" s="219" t="s">
        <v>1806</v>
      </c>
      <c r="C177" s="220"/>
      <c r="D177" s="221"/>
      <c r="E177" s="221"/>
      <c r="F177" s="221"/>
      <c r="G177" s="358"/>
      <c r="H177" s="222" t="s">
        <v>1806</v>
      </c>
      <c r="I177" s="355"/>
      <c r="J177" s="219" t="s">
        <v>1806</v>
      </c>
      <c r="K177" s="220"/>
      <c r="L177" s="221"/>
      <c r="M177" s="221"/>
      <c r="N177" s="221"/>
      <c r="O177" s="358"/>
      <c r="P177" s="222" t="s">
        <v>1806</v>
      </c>
    </row>
    <row r="178" spans="1:16" ht="15.75" thickBot="1">
      <c r="A178" s="355"/>
      <c r="B178" s="219" t="s">
        <v>1807</v>
      </c>
      <c r="C178" s="220"/>
      <c r="D178" s="221"/>
      <c r="E178" s="221"/>
      <c r="F178" s="221"/>
      <c r="G178" s="358"/>
      <c r="H178" s="222" t="s">
        <v>1807</v>
      </c>
      <c r="I178" s="355"/>
      <c r="J178" s="219" t="s">
        <v>1807</v>
      </c>
      <c r="K178" s="220"/>
      <c r="L178" s="221"/>
      <c r="M178" s="221"/>
      <c r="N178" s="221"/>
      <c r="O178" s="358"/>
      <c r="P178" s="222" t="s">
        <v>1807</v>
      </c>
    </row>
    <row r="179" spans="1:16" ht="15.75" thickBot="1">
      <c r="A179" s="355"/>
      <c r="B179" s="219" t="s">
        <v>1808</v>
      </c>
      <c r="C179" s="220"/>
      <c r="D179" s="221"/>
      <c r="E179" s="221"/>
      <c r="F179" s="221"/>
      <c r="G179" s="358"/>
      <c r="H179" s="222" t="s">
        <v>1808</v>
      </c>
      <c r="I179" s="355"/>
      <c r="J179" s="219" t="s">
        <v>1808</v>
      </c>
      <c r="K179" s="220"/>
      <c r="L179" s="221"/>
      <c r="M179" s="221"/>
      <c r="N179" s="221"/>
      <c r="O179" s="358"/>
      <c r="P179" s="222" t="s">
        <v>1808</v>
      </c>
    </row>
    <row r="180" spans="1:16" ht="15.75" thickBot="1">
      <c r="A180" s="355"/>
      <c r="B180" s="219" t="s">
        <v>1809</v>
      </c>
      <c r="C180" s="220"/>
      <c r="D180" s="221"/>
      <c r="E180" s="221"/>
      <c r="F180" s="221"/>
      <c r="G180" s="358"/>
      <c r="H180" s="222" t="s">
        <v>1809</v>
      </c>
      <c r="I180" s="355"/>
      <c r="J180" s="219" t="s">
        <v>1809</v>
      </c>
      <c r="K180" s="220"/>
      <c r="L180" s="221"/>
      <c r="M180" s="221"/>
      <c r="N180" s="221"/>
      <c r="O180" s="358"/>
      <c r="P180" s="222" t="s">
        <v>1809</v>
      </c>
    </row>
    <row r="181" spans="1:16" ht="15.75" thickBot="1">
      <c r="A181" s="355"/>
      <c r="B181" s="219" t="s">
        <v>1810</v>
      </c>
      <c r="C181" s="220"/>
      <c r="D181" s="221"/>
      <c r="E181" s="221"/>
      <c r="F181" s="221"/>
      <c r="G181" s="358"/>
      <c r="H181" s="222" t="s">
        <v>1810</v>
      </c>
      <c r="I181" s="355"/>
      <c r="J181" s="219" t="s">
        <v>1810</v>
      </c>
      <c r="K181" s="220"/>
      <c r="L181" s="221"/>
      <c r="M181" s="221"/>
      <c r="N181" s="221"/>
      <c r="O181" s="358"/>
      <c r="P181" s="222" t="s">
        <v>1810</v>
      </c>
    </row>
    <row r="182" spans="1:16" ht="15.75" thickBot="1">
      <c r="A182" s="355"/>
      <c r="B182" s="219" t="s">
        <v>1811</v>
      </c>
      <c r="C182" s="220"/>
      <c r="D182" s="221"/>
      <c r="E182" s="221"/>
      <c r="F182" s="221"/>
      <c r="G182" s="358"/>
      <c r="H182" s="222" t="s">
        <v>1811</v>
      </c>
      <c r="I182" s="355"/>
      <c r="J182" s="219" t="s">
        <v>1811</v>
      </c>
      <c r="K182" s="220"/>
      <c r="L182" s="221"/>
      <c r="M182" s="221"/>
      <c r="N182" s="221"/>
      <c r="O182" s="358"/>
      <c r="P182" s="222" t="s">
        <v>1811</v>
      </c>
    </row>
    <row r="183" spans="1:16" ht="15.75" thickBot="1">
      <c r="A183" s="355"/>
      <c r="B183" s="219" t="s">
        <v>1812</v>
      </c>
      <c r="C183" s="220"/>
      <c r="D183" s="221"/>
      <c r="E183" s="221"/>
      <c r="F183" s="221"/>
      <c r="G183" s="358"/>
      <c r="H183" s="222" t="s">
        <v>1812</v>
      </c>
      <c r="I183" s="355"/>
      <c r="J183" s="219" t="s">
        <v>1812</v>
      </c>
      <c r="K183" s="220"/>
      <c r="L183" s="221"/>
      <c r="M183" s="221"/>
      <c r="N183" s="221"/>
      <c r="O183" s="358"/>
      <c r="P183" s="222" t="s">
        <v>1812</v>
      </c>
    </row>
    <row r="184" spans="1:16" ht="15.75" thickBot="1">
      <c r="A184" s="355"/>
      <c r="B184" s="219" t="s">
        <v>1813</v>
      </c>
      <c r="C184" s="220"/>
      <c r="D184" s="221"/>
      <c r="E184" s="221"/>
      <c r="F184" s="221"/>
      <c r="G184" s="358"/>
      <c r="H184" s="222" t="s">
        <v>1813</v>
      </c>
      <c r="I184" s="355"/>
      <c r="J184" s="219" t="s">
        <v>1813</v>
      </c>
      <c r="K184" s="220"/>
      <c r="L184" s="221"/>
      <c r="M184" s="221"/>
      <c r="N184" s="221"/>
      <c r="O184" s="358"/>
      <c r="P184" s="222" t="s">
        <v>1813</v>
      </c>
    </row>
    <row r="185" spans="1:16" ht="15.75" thickBot="1">
      <c r="A185" s="355"/>
      <c r="B185" s="219" t="s">
        <v>1814</v>
      </c>
      <c r="C185" s="220"/>
      <c r="D185" s="221"/>
      <c r="E185" s="221"/>
      <c r="F185" s="221"/>
      <c r="G185" s="358"/>
      <c r="H185" s="222" t="s">
        <v>1814</v>
      </c>
      <c r="I185" s="355"/>
      <c r="J185" s="219" t="s">
        <v>1814</v>
      </c>
      <c r="K185" s="220"/>
      <c r="L185" s="221"/>
      <c r="M185" s="221"/>
      <c r="N185" s="221"/>
      <c r="O185" s="358"/>
      <c r="P185" s="222" t="s">
        <v>1814</v>
      </c>
    </row>
    <row r="186" spans="1:16" ht="26.25" thickBot="1">
      <c r="A186" s="356"/>
      <c r="B186" s="219" t="s">
        <v>1815</v>
      </c>
      <c r="C186" s="220"/>
      <c r="D186" s="221"/>
      <c r="E186" s="221"/>
      <c r="F186" s="221"/>
      <c r="G186" s="359"/>
      <c r="H186" s="222" t="s">
        <v>1816</v>
      </c>
      <c r="I186" s="356"/>
      <c r="J186" s="219" t="s">
        <v>1815</v>
      </c>
      <c r="K186" s="220"/>
      <c r="L186" s="221"/>
      <c r="M186" s="221"/>
      <c r="N186" s="221"/>
      <c r="O186" s="359"/>
      <c r="P186" s="222" t="s">
        <v>1816</v>
      </c>
    </row>
    <row r="187" spans="1:16" ht="15.75" thickBot="1">
      <c r="A187" s="354" t="s">
        <v>2124</v>
      </c>
      <c r="B187" s="219" t="s">
        <v>1803</v>
      </c>
      <c r="C187" s="220"/>
      <c r="D187" s="221"/>
      <c r="E187" s="221"/>
      <c r="F187" s="221"/>
      <c r="G187" s="357" t="s">
        <v>2124</v>
      </c>
      <c r="H187" s="222" t="s">
        <v>1803</v>
      </c>
      <c r="I187" s="354" t="s">
        <v>2124</v>
      </c>
      <c r="J187" s="219" t="s">
        <v>1803</v>
      </c>
      <c r="K187" s="220"/>
      <c r="L187" s="221"/>
      <c r="M187" s="221"/>
      <c r="N187" s="221"/>
      <c r="O187" s="357" t="s">
        <v>2124</v>
      </c>
      <c r="P187" s="222" t="s">
        <v>1803</v>
      </c>
    </row>
    <row r="188" spans="1:16" ht="15.75" thickBot="1">
      <c r="A188" s="355"/>
      <c r="B188" s="219" t="s">
        <v>1805</v>
      </c>
      <c r="C188" s="220"/>
      <c r="D188" s="221"/>
      <c r="E188" s="221"/>
      <c r="F188" s="221"/>
      <c r="G188" s="358"/>
      <c r="H188" s="222" t="s">
        <v>1805</v>
      </c>
      <c r="I188" s="355"/>
      <c r="J188" s="219" t="s">
        <v>1805</v>
      </c>
      <c r="K188" s="220"/>
      <c r="L188" s="221"/>
      <c r="M188" s="221"/>
      <c r="N188" s="221"/>
      <c r="O188" s="358"/>
      <c r="P188" s="222" t="s">
        <v>1805</v>
      </c>
    </row>
    <row r="189" spans="1:16" ht="15.75" thickBot="1">
      <c r="A189" s="355"/>
      <c r="B189" s="219" t="s">
        <v>1806</v>
      </c>
      <c r="C189" s="220"/>
      <c r="D189" s="221"/>
      <c r="E189" s="221"/>
      <c r="F189" s="221"/>
      <c r="G189" s="358"/>
      <c r="H189" s="222" t="s">
        <v>1806</v>
      </c>
      <c r="I189" s="355"/>
      <c r="J189" s="219" t="s">
        <v>1806</v>
      </c>
      <c r="K189" s="220"/>
      <c r="L189" s="221"/>
      <c r="M189" s="221"/>
      <c r="N189" s="221"/>
      <c r="O189" s="358"/>
      <c r="P189" s="222" t="s">
        <v>1806</v>
      </c>
    </row>
    <row r="190" spans="1:16" ht="15.75" thickBot="1">
      <c r="A190" s="355"/>
      <c r="B190" s="219" t="s">
        <v>1807</v>
      </c>
      <c r="C190" s="220"/>
      <c r="D190" s="221"/>
      <c r="E190" s="221"/>
      <c r="F190" s="221"/>
      <c r="G190" s="358"/>
      <c r="H190" s="222" t="s">
        <v>1807</v>
      </c>
      <c r="I190" s="355"/>
      <c r="J190" s="219" t="s">
        <v>1807</v>
      </c>
      <c r="K190" s="220"/>
      <c r="L190" s="221"/>
      <c r="M190" s="221"/>
      <c r="N190" s="221"/>
      <c r="O190" s="358"/>
      <c r="P190" s="222" t="s">
        <v>1807</v>
      </c>
    </row>
    <row r="191" spans="1:16" ht="15.75" thickBot="1">
      <c r="A191" s="355"/>
      <c r="B191" s="219" t="s">
        <v>1808</v>
      </c>
      <c r="C191" s="220"/>
      <c r="D191" s="221"/>
      <c r="E191" s="221"/>
      <c r="F191" s="221"/>
      <c r="G191" s="358"/>
      <c r="H191" s="222" t="s">
        <v>1808</v>
      </c>
      <c r="I191" s="355"/>
      <c r="J191" s="219" t="s">
        <v>1808</v>
      </c>
      <c r="K191" s="220"/>
      <c r="L191" s="221"/>
      <c r="M191" s="221"/>
      <c r="N191" s="221"/>
      <c r="O191" s="358"/>
      <c r="P191" s="222" t="s">
        <v>1808</v>
      </c>
    </row>
    <row r="192" spans="1:16" ht="15.75" thickBot="1">
      <c r="A192" s="355"/>
      <c r="B192" s="219" t="s">
        <v>1809</v>
      </c>
      <c r="C192" s="220"/>
      <c r="D192" s="221"/>
      <c r="E192" s="221"/>
      <c r="F192" s="221"/>
      <c r="G192" s="358"/>
      <c r="H192" s="222" t="s">
        <v>1809</v>
      </c>
      <c r="I192" s="355"/>
      <c r="J192" s="219" t="s">
        <v>1809</v>
      </c>
      <c r="K192" s="220"/>
      <c r="L192" s="221"/>
      <c r="M192" s="221"/>
      <c r="N192" s="221"/>
      <c r="O192" s="358"/>
      <c r="P192" s="222" t="s">
        <v>1809</v>
      </c>
    </row>
    <row r="193" spans="1:16" ht="15.75" thickBot="1">
      <c r="A193" s="355"/>
      <c r="B193" s="219" t="s">
        <v>1810</v>
      </c>
      <c r="C193" s="220"/>
      <c r="D193" s="221"/>
      <c r="E193" s="221"/>
      <c r="F193" s="221"/>
      <c r="G193" s="358"/>
      <c r="H193" s="222" t="s">
        <v>1810</v>
      </c>
      <c r="I193" s="355"/>
      <c r="J193" s="219" t="s">
        <v>1810</v>
      </c>
      <c r="K193" s="220"/>
      <c r="L193" s="221"/>
      <c r="M193" s="221"/>
      <c r="N193" s="221"/>
      <c r="O193" s="358"/>
      <c r="P193" s="222" t="s">
        <v>1810</v>
      </c>
    </row>
    <row r="194" spans="1:16" ht="15.75" thickBot="1">
      <c r="A194" s="355"/>
      <c r="B194" s="219" t="s">
        <v>1811</v>
      </c>
      <c r="C194" s="220"/>
      <c r="D194" s="221"/>
      <c r="E194" s="221"/>
      <c r="F194" s="221"/>
      <c r="G194" s="358"/>
      <c r="H194" s="222" t="s">
        <v>1811</v>
      </c>
      <c r="I194" s="355"/>
      <c r="J194" s="219" t="s">
        <v>1811</v>
      </c>
      <c r="K194" s="220"/>
      <c r="L194" s="221"/>
      <c r="M194" s="221"/>
      <c r="N194" s="221"/>
      <c r="O194" s="358"/>
      <c r="P194" s="222" t="s">
        <v>1811</v>
      </c>
    </row>
    <row r="195" spans="1:16" ht="15.75" thickBot="1">
      <c r="A195" s="355"/>
      <c r="B195" s="219" t="s">
        <v>1812</v>
      </c>
      <c r="C195" s="220"/>
      <c r="D195" s="221"/>
      <c r="E195" s="221"/>
      <c r="F195" s="221"/>
      <c r="G195" s="358"/>
      <c r="H195" s="222" t="s">
        <v>1812</v>
      </c>
      <c r="I195" s="355"/>
      <c r="J195" s="219" t="s">
        <v>1812</v>
      </c>
      <c r="K195" s="220"/>
      <c r="L195" s="221"/>
      <c r="M195" s="221"/>
      <c r="N195" s="221"/>
      <c r="O195" s="358"/>
      <c r="P195" s="222" t="s">
        <v>1812</v>
      </c>
    </row>
    <row r="196" spans="1:16" ht="15.75" thickBot="1">
      <c r="A196" s="355"/>
      <c r="B196" s="219" t="s">
        <v>1813</v>
      </c>
      <c r="C196" s="220"/>
      <c r="D196" s="221"/>
      <c r="E196" s="221"/>
      <c r="F196" s="221"/>
      <c r="G196" s="358"/>
      <c r="H196" s="222" t="s">
        <v>1813</v>
      </c>
      <c r="I196" s="355"/>
      <c r="J196" s="219" t="s">
        <v>1813</v>
      </c>
      <c r="K196" s="220"/>
      <c r="L196" s="221"/>
      <c r="M196" s="221"/>
      <c r="N196" s="221"/>
      <c r="O196" s="358"/>
      <c r="P196" s="222" t="s">
        <v>1813</v>
      </c>
    </row>
    <row r="197" spans="1:16" ht="15.75" thickBot="1">
      <c r="A197" s="355"/>
      <c r="B197" s="219" t="s">
        <v>1814</v>
      </c>
      <c r="C197" s="220"/>
      <c r="D197" s="221"/>
      <c r="E197" s="221"/>
      <c r="F197" s="221"/>
      <c r="G197" s="358"/>
      <c r="H197" s="222" t="s">
        <v>1814</v>
      </c>
      <c r="I197" s="355"/>
      <c r="J197" s="219" t="s">
        <v>1814</v>
      </c>
      <c r="K197" s="220"/>
      <c r="L197" s="221"/>
      <c r="M197" s="221"/>
      <c r="N197" s="221"/>
      <c r="O197" s="358"/>
      <c r="P197" s="222" t="s">
        <v>1814</v>
      </c>
    </row>
    <row r="198" spans="1:16" ht="26.25" thickBot="1">
      <c r="A198" s="356"/>
      <c r="B198" s="219" t="s">
        <v>1815</v>
      </c>
      <c r="C198" s="220"/>
      <c r="D198" s="221"/>
      <c r="E198" s="221"/>
      <c r="F198" s="221"/>
      <c r="G198" s="359"/>
      <c r="H198" s="222" t="s">
        <v>1816</v>
      </c>
      <c r="I198" s="356"/>
      <c r="J198" s="219" t="s">
        <v>1815</v>
      </c>
      <c r="K198" s="220"/>
      <c r="L198" s="221"/>
      <c r="M198" s="221"/>
      <c r="N198" s="221"/>
      <c r="O198" s="359"/>
      <c r="P198" s="222" t="s">
        <v>1816</v>
      </c>
    </row>
    <row r="199" spans="1:16" ht="15.75" thickBot="1">
      <c r="A199" s="354" t="s">
        <v>2125</v>
      </c>
      <c r="B199" s="219" t="s">
        <v>1803</v>
      </c>
      <c r="C199" s="220"/>
      <c r="D199" s="221"/>
      <c r="E199" s="221"/>
      <c r="F199" s="221"/>
      <c r="G199" s="357" t="s">
        <v>2125</v>
      </c>
      <c r="H199" s="222" t="s">
        <v>1803</v>
      </c>
      <c r="I199" s="354" t="s">
        <v>2125</v>
      </c>
      <c r="J199" s="219" t="s">
        <v>1803</v>
      </c>
      <c r="K199" s="220"/>
      <c r="L199" s="221"/>
      <c r="M199" s="221"/>
      <c r="N199" s="221"/>
      <c r="O199" s="357" t="s">
        <v>2125</v>
      </c>
      <c r="P199" s="222" t="s">
        <v>1803</v>
      </c>
    </row>
    <row r="200" spans="1:16" ht="15.75" thickBot="1">
      <c r="A200" s="355"/>
      <c r="B200" s="219" t="s">
        <v>1805</v>
      </c>
      <c r="C200" s="220"/>
      <c r="D200" s="221"/>
      <c r="E200" s="221"/>
      <c r="F200" s="221"/>
      <c r="G200" s="358"/>
      <c r="H200" s="222" t="s">
        <v>1805</v>
      </c>
      <c r="I200" s="355"/>
      <c r="J200" s="219" t="s">
        <v>1805</v>
      </c>
      <c r="K200" s="220"/>
      <c r="L200" s="221"/>
      <c r="M200" s="221"/>
      <c r="N200" s="221"/>
      <c r="O200" s="358"/>
      <c r="P200" s="222" t="s">
        <v>1805</v>
      </c>
    </row>
    <row r="201" spans="1:16" ht="15.75" thickBot="1">
      <c r="A201" s="355"/>
      <c r="B201" s="219" t="s">
        <v>1806</v>
      </c>
      <c r="C201" s="220"/>
      <c r="D201" s="221"/>
      <c r="E201" s="221"/>
      <c r="F201" s="221"/>
      <c r="G201" s="358"/>
      <c r="H201" s="222" t="s">
        <v>1806</v>
      </c>
      <c r="I201" s="355"/>
      <c r="J201" s="219" t="s">
        <v>1806</v>
      </c>
      <c r="K201" s="220"/>
      <c r="L201" s="221"/>
      <c r="M201" s="221"/>
      <c r="N201" s="221"/>
      <c r="O201" s="358"/>
      <c r="P201" s="222" t="s">
        <v>1806</v>
      </c>
    </row>
    <row r="202" spans="1:16" ht="15.75" thickBot="1">
      <c r="A202" s="355"/>
      <c r="B202" s="219" t="s">
        <v>1807</v>
      </c>
      <c r="C202" s="220"/>
      <c r="D202" s="221"/>
      <c r="E202" s="221"/>
      <c r="F202" s="221"/>
      <c r="G202" s="358"/>
      <c r="H202" s="222" t="s">
        <v>1807</v>
      </c>
      <c r="I202" s="355"/>
      <c r="J202" s="219" t="s">
        <v>1807</v>
      </c>
      <c r="K202" s="220"/>
      <c r="L202" s="221"/>
      <c r="M202" s="221"/>
      <c r="N202" s="221"/>
      <c r="O202" s="358"/>
      <c r="P202" s="222" t="s">
        <v>1807</v>
      </c>
    </row>
    <row r="203" spans="1:16" ht="15.75" thickBot="1">
      <c r="A203" s="355"/>
      <c r="B203" s="219" t="s">
        <v>1808</v>
      </c>
      <c r="C203" s="220"/>
      <c r="D203" s="221"/>
      <c r="E203" s="221"/>
      <c r="F203" s="221"/>
      <c r="G203" s="358"/>
      <c r="H203" s="222" t="s">
        <v>1808</v>
      </c>
      <c r="I203" s="355"/>
      <c r="J203" s="219" t="s">
        <v>1808</v>
      </c>
      <c r="K203" s="220"/>
      <c r="L203" s="221"/>
      <c r="M203" s="221"/>
      <c r="N203" s="221"/>
      <c r="O203" s="358"/>
      <c r="P203" s="222" t="s">
        <v>1808</v>
      </c>
    </row>
    <row r="204" spans="1:16" ht="15.75" thickBot="1">
      <c r="A204" s="355"/>
      <c r="B204" s="219" t="s">
        <v>1809</v>
      </c>
      <c r="C204" s="220"/>
      <c r="D204" s="221"/>
      <c r="E204" s="221"/>
      <c r="F204" s="221"/>
      <c r="G204" s="358"/>
      <c r="H204" s="222" t="s">
        <v>1809</v>
      </c>
      <c r="I204" s="355"/>
      <c r="J204" s="219" t="s">
        <v>1809</v>
      </c>
      <c r="K204" s="220"/>
      <c r="L204" s="221"/>
      <c r="M204" s="221"/>
      <c r="N204" s="221"/>
      <c r="O204" s="358"/>
      <c r="P204" s="222" t="s">
        <v>1809</v>
      </c>
    </row>
    <row r="205" spans="1:16" ht="15.75" thickBot="1">
      <c r="A205" s="355"/>
      <c r="B205" s="219" t="s">
        <v>1810</v>
      </c>
      <c r="C205" s="220"/>
      <c r="D205" s="221"/>
      <c r="E205" s="221"/>
      <c r="F205" s="221"/>
      <c r="G205" s="358"/>
      <c r="H205" s="222" t="s">
        <v>1810</v>
      </c>
      <c r="I205" s="355"/>
      <c r="J205" s="219" t="s">
        <v>1810</v>
      </c>
      <c r="K205" s="220"/>
      <c r="L205" s="221"/>
      <c r="M205" s="221"/>
      <c r="N205" s="221"/>
      <c r="O205" s="358"/>
      <c r="P205" s="222" t="s">
        <v>1810</v>
      </c>
    </row>
    <row r="206" spans="1:16" ht="15.75" thickBot="1">
      <c r="A206" s="355"/>
      <c r="B206" s="219" t="s">
        <v>1811</v>
      </c>
      <c r="C206" s="220"/>
      <c r="D206" s="221"/>
      <c r="E206" s="221"/>
      <c r="F206" s="221"/>
      <c r="G206" s="358"/>
      <c r="H206" s="222" t="s">
        <v>1811</v>
      </c>
      <c r="I206" s="355"/>
      <c r="J206" s="219" t="s">
        <v>1811</v>
      </c>
      <c r="K206" s="220"/>
      <c r="L206" s="221"/>
      <c r="M206" s="221"/>
      <c r="N206" s="221"/>
      <c r="O206" s="358"/>
      <c r="P206" s="222" t="s">
        <v>1811</v>
      </c>
    </row>
    <row r="207" spans="1:16" ht="15.75" thickBot="1">
      <c r="A207" s="355"/>
      <c r="B207" s="219" t="s">
        <v>1812</v>
      </c>
      <c r="C207" s="220"/>
      <c r="D207" s="221"/>
      <c r="E207" s="221"/>
      <c r="F207" s="221"/>
      <c r="G207" s="358"/>
      <c r="H207" s="222" t="s">
        <v>1812</v>
      </c>
      <c r="I207" s="355"/>
      <c r="J207" s="219" t="s">
        <v>1812</v>
      </c>
      <c r="K207" s="220"/>
      <c r="L207" s="221"/>
      <c r="M207" s="221"/>
      <c r="N207" s="221"/>
      <c r="O207" s="358"/>
      <c r="P207" s="222" t="s">
        <v>1812</v>
      </c>
    </row>
    <row r="208" spans="1:16" ht="15.75" thickBot="1">
      <c r="A208" s="355"/>
      <c r="B208" s="219" t="s">
        <v>1813</v>
      </c>
      <c r="C208" s="220"/>
      <c r="D208" s="221"/>
      <c r="E208" s="221"/>
      <c r="F208" s="221"/>
      <c r="G208" s="358"/>
      <c r="H208" s="222" t="s">
        <v>1813</v>
      </c>
      <c r="I208" s="355"/>
      <c r="J208" s="219" t="s">
        <v>1813</v>
      </c>
      <c r="K208" s="220"/>
      <c r="L208" s="221"/>
      <c r="M208" s="221"/>
      <c r="N208" s="221"/>
      <c r="O208" s="358"/>
      <c r="P208" s="222" t="s">
        <v>1813</v>
      </c>
    </row>
    <row r="209" spans="1:16" ht="15.75" thickBot="1">
      <c r="A209" s="355"/>
      <c r="B209" s="219" t="s">
        <v>1814</v>
      </c>
      <c r="C209" s="220"/>
      <c r="D209" s="221"/>
      <c r="E209" s="221"/>
      <c r="F209" s="221"/>
      <c r="G209" s="358"/>
      <c r="H209" s="222" t="s">
        <v>1814</v>
      </c>
      <c r="I209" s="355"/>
      <c r="J209" s="219" t="s">
        <v>1814</v>
      </c>
      <c r="K209" s="220"/>
      <c r="L209" s="221"/>
      <c r="M209" s="221"/>
      <c r="N209" s="221"/>
      <c r="O209" s="358"/>
      <c r="P209" s="222" t="s">
        <v>1814</v>
      </c>
    </row>
    <row r="210" spans="1:16" ht="26.25" thickBot="1">
      <c r="A210" s="356"/>
      <c r="B210" s="219" t="s">
        <v>1815</v>
      </c>
      <c r="C210" s="220"/>
      <c r="D210" s="221"/>
      <c r="E210" s="221"/>
      <c r="F210" s="221"/>
      <c r="G210" s="359"/>
      <c r="H210" s="222" t="s">
        <v>1816</v>
      </c>
      <c r="I210" s="356"/>
      <c r="J210" s="219" t="s">
        <v>1815</v>
      </c>
      <c r="K210" s="220"/>
      <c r="L210" s="221"/>
      <c r="M210" s="221"/>
      <c r="N210" s="221"/>
      <c r="O210" s="359"/>
      <c r="P210" s="222" t="s">
        <v>1816</v>
      </c>
    </row>
    <row r="211" spans="1:16" ht="15.75" thickBot="1">
      <c r="A211" s="354" t="s">
        <v>2126</v>
      </c>
      <c r="B211" s="219" t="s">
        <v>1803</v>
      </c>
      <c r="C211" s="220"/>
      <c r="D211" s="221"/>
      <c r="E211" s="221"/>
      <c r="F211" s="221"/>
      <c r="G211" s="357" t="s">
        <v>2126</v>
      </c>
      <c r="H211" s="222" t="s">
        <v>1803</v>
      </c>
      <c r="I211" s="354" t="s">
        <v>2126</v>
      </c>
      <c r="J211" s="219" t="s">
        <v>1803</v>
      </c>
      <c r="K211" s="220"/>
      <c r="L211" s="221"/>
      <c r="M211" s="221"/>
      <c r="N211" s="221"/>
      <c r="O211" s="357" t="s">
        <v>2126</v>
      </c>
      <c r="P211" s="222" t="s">
        <v>1803</v>
      </c>
    </row>
    <row r="212" spans="1:16" ht="15.75" thickBot="1">
      <c r="A212" s="355"/>
      <c r="B212" s="219" t="s">
        <v>1805</v>
      </c>
      <c r="C212" s="220"/>
      <c r="D212" s="221"/>
      <c r="E212" s="221"/>
      <c r="F212" s="221"/>
      <c r="G212" s="358"/>
      <c r="H212" s="222" t="s">
        <v>1805</v>
      </c>
      <c r="I212" s="355"/>
      <c r="J212" s="219" t="s">
        <v>1805</v>
      </c>
      <c r="K212" s="220"/>
      <c r="L212" s="221"/>
      <c r="M212" s="221"/>
      <c r="N212" s="221"/>
      <c r="O212" s="358"/>
      <c r="P212" s="222" t="s">
        <v>1805</v>
      </c>
    </row>
    <row r="213" spans="1:16" ht="15.75" thickBot="1">
      <c r="A213" s="355"/>
      <c r="B213" s="219" t="s">
        <v>1806</v>
      </c>
      <c r="C213" s="220"/>
      <c r="D213" s="221"/>
      <c r="E213" s="221"/>
      <c r="F213" s="221"/>
      <c r="G213" s="358"/>
      <c r="H213" s="222" t="s">
        <v>1806</v>
      </c>
      <c r="I213" s="355"/>
      <c r="J213" s="219" t="s">
        <v>1806</v>
      </c>
      <c r="K213" s="220"/>
      <c r="L213" s="221"/>
      <c r="M213" s="221"/>
      <c r="N213" s="221"/>
      <c r="O213" s="358"/>
      <c r="P213" s="222" t="s">
        <v>1806</v>
      </c>
    </row>
    <row r="214" spans="1:16" ht="15.75" thickBot="1">
      <c r="A214" s="355"/>
      <c r="B214" s="219" t="s">
        <v>1807</v>
      </c>
      <c r="C214" s="220"/>
      <c r="D214" s="221"/>
      <c r="E214" s="221"/>
      <c r="F214" s="221"/>
      <c r="G214" s="358"/>
      <c r="H214" s="222" t="s">
        <v>1807</v>
      </c>
      <c r="I214" s="355"/>
      <c r="J214" s="219" t="s">
        <v>1807</v>
      </c>
      <c r="K214" s="220"/>
      <c r="L214" s="221"/>
      <c r="M214" s="221"/>
      <c r="N214" s="221"/>
      <c r="O214" s="358"/>
      <c r="P214" s="222" t="s">
        <v>1807</v>
      </c>
    </row>
    <row r="215" spans="1:16" ht="15.75" thickBot="1">
      <c r="A215" s="355"/>
      <c r="B215" s="219" t="s">
        <v>1808</v>
      </c>
      <c r="C215" s="220"/>
      <c r="D215" s="221"/>
      <c r="E215" s="221"/>
      <c r="F215" s="221"/>
      <c r="G215" s="358"/>
      <c r="H215" s="222" t="s">
        <v>1808</v>
      </c>
      <c r="I215" s="355"/>
      <c r="J215" s="219" t="s">
        <v>1808</v>
      </c>
      <c r="K215" s="220"/>
      <c r="L215" s="221"/>
      <c r="M215" s="221"/>
      <c r="N215" s="221"/>
      <c r="O215" s="358"/>
      <c r="P215" s="222" t="s">
        <v>1808</v>
      </c>
    </row>
    <row r="216" spans="1:16" ht="15.75" thickBot="1">
      <c r="A216" s="355"/>
      <c r="B216" s="219" t="s">
        <v>1809</v>
      </c>
      <c r="C216" s="220"/>
      <c r="D216" s="221"/>
      <c r="E216" s="221"/>
      <c r="F216" s="221"/>
      <c r="G216" s="358"/>
      <c r="H216" s="222" t="s">
        <v>1809</v>
      </c>
      <c r="I216" s="355"/>
      <c r="J216" s="219" t="s">
        <v>1809</v>
      </c>
      <c r="K216" s="220"/>
      <c r="L216" s="221"/>
      <c r="M216" s="221"/>
      <c r="N216" s="221"/>
      <c r="O216" s="358"/>
      <c r="P216" s="222" t="s">
        <v>1809</v>
      </c>
    </row>
    <row r="217" spans="1:16" ht="15.75" thickBot="1">
      <c r="A217" s="355"/>
      <c r="B217" s="219" t="s">
        <v>1810</v>
      </c>
      <c r="C217" s="220"/>
      <c r="D217" s="221"/>
      <c r="E217" s="221"/>
      <c r="F217" s="221"/>
      <c r="G217" s="358"/>
      <c r="H217" s="222" t="s">
        <v>1810</v>
      </c>
      <c r="I217" s="355"/>
      <c r="J217" s="219" t="s">
        <v>1810</v>
      </c>
      <c r="K217" s="220"/>
      <c r="L217" s="221"/>
      <c r="M217" s="221"/>
      <c r="N217" s="221"/>
      <c r="O217" s="358"/>
      <c r="P217" s="222" t="s">
        <v>1810</v>
      </c>
    </row>
    <row r="218" spans="1:16" ht="15.75" thickBot="1">
      <c r="A218" s="355"/>
      <c r="B218" s="219" t="s">
        <v>1811</v>
      </c>
      <c r="C218" s="220"/>
      <c r="D218" s="221"/>
      <c r="E218" s="221"/>
      <c r="F218" s="221"/>
      <c r="G218" s="358"/>
      <c r="H218" s="222" t="s">
        <v>1811</v>
      </c>
      <c r="I218" s="355"/>
      <c r="J218" s="219" t="s">
        <v>1811</v>
      </c>
      <c r="K218" s="220"/>
      <c r="L218" s="221"/>
      <c r="M218" s="221"/>
      <c r="N218" s="221"/>
      <c r="O218" s="358"/>
      <c r="P218" s="222" t="s">
        <v>1811</v>
      </c>
    </row>
    <row r="219" spans="1:16" ht="15.75" thickBot="1">
      <c r="A219" s="355"/>
      <c r="B219" s="219" t="s">
        <v>1812</v>
      </c>
      <c r="C219" s="220"/>
      <c r="D219" s="221"/>
      <c r="E219" s="221"/>
      <c r="F219" s="221"/>
      <c r="G219" s="358"/>
      <c r="H219" s="222" t="s">
        <v>1812</v>
      </c>
      <c r="I219" s="355"/>
      <c r="J219" s="219" t="s">
        <v>1812</v>
      </c>
      <c r="K219" s="220"/>
      <c r="L219" s="221"/>
      <c r="M219" s="221"/>
      <c r="N219" s="221"/>
      <c r="O219" s="358"/>
      <c r="P219" s="222" t="s">
        <v>1812</v>
      </c>
    </row>
    <row r="220" spans="1:16" ht="15.75" thickBot="1">
      <c r="A220" s="355"/>
      <c r="B220" s="219" t="s">
        <v>1813</v>
      </c>
      <c r="C220" s="220"/>
      <c r="D220" s="221"/>
      <c r="E220" s="221"/>
      <c r="F220" s="221"/>
      <c r="G220" s="358"/>
      <c r="H220" s="222" t="s">
        <v>1813</v>
      </c>
      <c r="I220" s="355"/>
      <c r="J220" s="219" t="s">
        <v>1813</v>
      </c>
      <c r="K220" s="220"/>
      <c r="L220" s="221"/>
      <c r="M220" s="221"/>
      <c r="N220" s="221"/>
      <c r="O220" s="358"/>
      <c r="P220" s="222" t="s">
        <v>1813</v>
      </c>
    </row>
    <row r="221" spans="1:16" ht="15.75" thickBot="1">
      <c r="A221" s="355"/>
      <c r="B221" s="219" t="s">
        <v>1814</v>
      </c>
      <c r="C221" s="220"/>
      <c r="D221" s="221"/>
      <c r="E221" s="221"/>
      <c r="F221" s="221"/>
      <c r="G221" s="358"/>
      <c r="H221" s="222" t="s">
        <v>1814</v>
      </c>
      <c r="I221" s="355"/>
      <c r="J221" s="219" t="s">
        <v>1814</v>
      </c>
      <c r="K221" s="220"/>
      <c r="L221" s="221"/>
      <c r="M221" s="221"/>
      <c r="N221" s="221"/>
      <c r="O221" s="358"/>
      <c r="P221" s="222" t="s">
        <v>1814</v>
      </c>
    </row>
    <row r="222" spans="1:16" ht="26.25" thickBot="1">
      <c r="A222" s="356"/>
      <c r="B222" s="219" t="s">
        <v>1815</v>
      </c>
      <c r="C222" s="220"/>
      <c r="D222" s="221"/>
      <c r="E222" s="221"/>
      <c r="F222" s="221"/>
      <c r="G222" s="359"/>
      <c r="H222" s="222" t="s">
        <v>1816</v>
      </c>
      <c r="I222" s="356"/>
      <c r="J222" s="219" t="s">
        <v>1815</v>
      </c>
      <c r="K222" s="220"/>
      <c r="L222" s="221"/>
      <c r="M222" s="221"/>
      <c r="N222" s="221"/>
      <c r="O222" s="359"/>
      <c r="P222" s="222" t="s">
        <v>1816</v>
      </c>
    </row>
    <row r="223" spans="1:16" ht="15.75" thickBot="1">
      <c r="A223" s="354" t="s">
        <v>2127</v>
      </c>
      <c r="B223" s="219" t="s">
        <v>1803</v>
      </c>
      <c r="C223" s="220"/>
      <c r="D223" s="221"/>
      <c r="E223" s="221"/>
      <c r="F223" s="221"/>
      <c r="G223" s="357" t="s">
        <v>2127</v>
      </c>
      <c r="H223" s="222" t="s">
        <v>1803</v>
      </c>
      <c r="I223" s="354" t="s">
        <v>2127</v>
      </c>
      <c r="J223" s="219" t="s">
        <v>1803</v>
      </c>
      <c r="K223" s="220"/>
      <c r="L223" s="221"/>
      <c r="M223" s="221"/>
      <c r="N223" s="221"/>
      <c r="O223" s="357" t="s">
        <v>2127</v>
      </c>
      <c r="P223" s="222" t="s">
        <v>1803</v>
      </c>
    </row>
    <row r="224" spans="1:16" ht="15.75" thickBot="1">
      <c r="A224" s="355"/>
      <c r="B224" s="219" t="s">
        <v>1805</v>
      </c>
      <c r="C224" s="220"/>
      <c r="D224" s="221"/>
      <c r="E224" s="221"/>
      <c r="F224" s="221"/>
      <c r="G224" s="358"/>
      <c r="H224" s="222" t="s">
        <v>1805</v>
      </c>
      <c r="I224" s="355"/>
      <c r="J224" s="219" t="s">
        <v>1805</v>
      </c>
      <c r="K224" s="220"/>
      <c r="L224" s="221"/>
      <c r="M224" s="221"/>
      <c r="N224" s="221"/>
      <c r="O224" s="358"/>
      <c r="P224" s="222" t="s">
        <v>1805</v>
      </c>
    </row>
    <row r="225" spans="1:16" ht="15.75" thickBot="1">
      <c r="A225" s="355"/>
      <c r="B225" s="219" t="s">
        <v>1806</v>
      </c>
      <c r="C225" s="220"/>
      <c r="D225" s="221"/>
      <c r="E225" s="221"/>
      <c r="F225" s="221"/>
      <c r="G225" s="358"/>
      <c r="H225" s="222" t="s">
        <v>1806</v>
      </c>
      <c r="I225" s="355"/>
      <c r="J225" s="219" t="s">
        <v>1806</v>
      </c>
      <c r="K225" s="220"/>
      <c r="L225" s="221"/>
      <c r="M225" s="221"/>
      <c r="N225" s="221"/>
      <c r="O225" s="358"/>
      <c r="P225" s="222" t="s">
        <v>1806</v>
      </c>
    </row>
    <row r="226" spans="1:16" ht="15.75" thickBot="1">
      <c r="A226" s="355"/>
      <c r="B226" s="219" t="s">
        <v>1807</v>
      </c>
      <c r="C226" s="220"/>
      <c r="D226" s="221"/>
      <c r="E226" s="221"/>
      <c r="F226" s="221"/>
      <c r="G226" s="358"/>
      <c r="H226" s="222" t="s">
        <v>1807</v>
      </c>
      <c r="I226" s="355"/>
      <c r="J226" s="219" t="s">
        <v>1807</v>
      </c>
      <c r="K226" s="220"/>
      <c r="L226" s="221"/>
      <c r="M226" s="221"/>
      <c r="N226" s="221"/>
      <c r="O226" s="358"/>
      <c r="P226" s="222" t="s">
        <v>1807</v>
      </c>
    </row>
    <row r="227" spans="1:16" ht="15.75" thickBot="1">
      <c r="A227" s="355"/>
      <c r="B227" s="219" t="s">
        <v>1808</v>
      </c>
      <c r="C227" s="220"/>
      <c r="D227" s="221"/>
      <c r="E227" s="221"/>
      <c r="F227" s="221"/>
      <c r="G227" s="358"/>
      <c r="H227" s="222" t="s">
        <v>1808</v>
      </c>
      <c r="I227" s="355"/>
      <c r="J227" s="219" t="s">
        <v>1808</v>
      </c>
      <c r="K227" s="220"/>
      <c r="L227" s="221"/>
      <c r="M227" s="221"/>
      <c r="N227" s="221"/>
      <c r="O227" s="358"/>
      <c r="P227" s="222" t="s">
        <v>1808</v>
      </c>
    </row>
    <row r="228" spans="1:16" ht="15.75" thickBot="1">
      <c r="A228" s="355"/>
      <c r="B228" s="219" t="s">
        <v>1809</v>
      </c>
      <c r="C228" s="220"/>
      <c r="D228" s="221"/>
      <c r="E228" s="221"/>
      <c r="F228" s="221"/>
      <c r="G228" s="358"/>
      <c r="H228" s="222" t="s">
        <v>1809</v>
      </c>
      <c r="I228" s="355"/>
      <c r="J228" s="219" t="s">
        <v>1809</v>
      </c>
      <c r="K228" s="220"/>
      <c r="L228" s="221"/>
      <c r="M228" s="221"/>
      <c r="N228" s="221"/>
      <c r="O228" s="358"/>
      <c r="P228" s="222" t="s">
        <v>1809</v>
      </c>
    </row>
    <row r="229" spans="1:16" ht="15.75" thickBot="1">
      <c r="A229" s="355"/>
      <c r="B229" s="219" t="s">
        <v>1810</v>
      </c>
      <c r="C229" s="220"/>
      <c r="D229" s="221"/>
      <c r="E229" s="221"/>
      <c r="F229" s="221"/>
      <c r="G229" s="358"/>
      <c r="H229" s="222" t="s">
        <v>1810</v>
      </c>
      <c r="I229" s="355"/>
      <c r="J229" s="219" t="s">
        <v>1810</v>
      </c>
      <c r="K229" s="220"/>
      <c r="L229" s="221"/>
      <c r="M229" s="221"/>
      <c r="N229" s="221"/>
      <c r="O229" s="358"/>
      <c r="P229" s="222" t="s">
        <v>1810</v>
      </c>
    </row>
    <row r="230" spans="1:16" ht="15.75" thickBot="1">
      <c r="A230" s="355"/>
      <c r="B230" s="219" t="s">
        <v>1811</v>
      </c>
      <c r="C230" s="220"/>
      <c r="D230" s="221"/>
      <c r="E230" s="221"/>
      <c r="F230" s="221"/>
      <c r="G230" s="358"/>
      <c r="H230" s="222" t="s">
        <v>1811</v>
      </c>
      <c r="I230" s="355"/>
      <c r="J230" s="219" t="s">
        <v>1811</v>
      </c>
      <c r="K230" s="220"/>
      <c r="L230" s="221"/>
      <c r="M230" s="221"/>
      <c r="N230" s="221"/>
      <c r="O230" s="358"/>
      <c r="P230" s="222" t="s">
        <v>1811</v>
      </c>
    </row>
    <row r="231" spans="1:16" ht="15.75" thickBot="1">
      <c r="A231" s="355"/>
      <c r="B231" s="219" t="s">
        <v>1812</v>
      </c>
      <c r="C231" s="220"/>
      <c r="D231" s="221"/>
      <c r="E231" s="221"/>
      <c r="F231" s="221"/>
      <c r="G231" s="358"/>
      <c r="H231" s="222" t="s">
        <v>1812</v>
      </c>
      <c r="I231" s="355"/>
      <c r="J231" s="219" t="s">
        <v>1812</v>
      </c>
      <c r="K231" s="220"/>
      <c r="L231" s="221"/>
      <c r="M231" s="221"/>
      <c r="N231" s="221"/>
      <c r="O231" s="358"/>
      <c r="P231" s="222" t="s">
        <v>1812</v>
      </c>
    </row>
    <row r="232" spans="1:16" ht="15.75" thickBot="1">
      <c r="A232" s="355"/>
      <c r="B232" s="219" t="s">
        <v>1813</v>
      </c>
      <c r="C232" s="220"/>
      <c r="D232" s="221"/>
      <c r="E232" s="221"/>
      <c r="F232" s="221"/>
      <c r="G232" s="358"/>
      <c r="H232" s="222" t="s">
        <v>1813</v>
      </c>
      <c r="I232" s="355"/>
      <c r="J232" s="219" t="s">
        <v>1813</v>
      </c>
      <c r="K232" s="220"/>
      <c r="L232" s="221"/>
      <c r="M232" s="221"/>
      <c r="N232" s="221"/>
      <c r="O232" s="358"/>
      <c r="P232" s="222" t="s">
        <v>1813</v>
      </c>
    </row>
    <row r="233" spans="1:16" ht="15.75" thickBot="1">
      <c r="A233" s="355"/>
      <c r="B233" s="219" t="s">
        <v>1814</v>
      </c>
      <c r="C233" s="220"/>
      <c r="D233" s="221"/>
      <c r="E233" s="221"/>
      <c r="F233" s="221"/>
      <c r="G233" s="358"/>
      <c r="H233" s="222" t="s">
        <v>1814</v>
      </c>
      <c r="I233" s="355"/>
      <c r="J233" s="219" t="s">
        <v>1814</v>
      </c>
      <c r="K233" s="220"/>
      <c r="L233" s="221"/>
      <c r="M233" s="221"/>
      <c r="N233" s="221"/>
      <c r="O233" s="358"/>
      <c r="P233" s="222" t="s">
        <v>1814</v>
      </c>
    </row>
    <row r="234" spans="1:16" ht="26.25" thickBot="1">
      <c r="A234" s="356"/>
      <c r="B234" s="219" t="s">
        <v>1815</v>
      </c>
      <c r="C234" s="220"/>
      <c r="D234" s="221"/>
      <c r="E234" s="221"/>
      <c r="F234" s="221"/>
      <c r="G234" s="359"/>
      <c r="H234" s="222" t="s">
        <v>1816</v>
      </c>
      <c r="I234" s="356"/>
      <c r="J234" s="219" t="s">
        <v>1815</v>
      </c>
      <c r="K234" s="220"/>
      <c r="L234" s="221"/>
      <c r="M234" s="221"/>
      <c r="N234" s="221"/>
      <c r="O234" s="359"/>
      <c r="P234" s="222" t="s">
        <v>1816</v>
      </c>
    </row>
    <row r="235" spans="1:16" ht="15.75" thickBot="1">
      <c r="A235" s="354" t="s">
        <v>2128</v>
      </c>
      <c r="B235" s="219" t="s">
        <v>1803</v>
      </c>
      <c r="C235" s="220"/>
      <c r="D235" s="221"/>
      <c r="E235" s="221"/>
      <c r="F235" s="221"/>
      <c r="G235" s="357" t="s">
        <v>2128</v>
      </c>
      <c r="H235" s="222" t="s">
        <v>1803</v>
      </c>
      <c r="I235" s="354" t="s">
        <v>2128</v>
      </c>
      <c r="J235" s="219" t="s">
        <v>1803</v>
      </c>
      <c r="K235" s="220"/>
      <c r="L235" s="221"/>
      <c r="M235" s="221"/>
      <c r="N235" s="221"/>
      <c r="O235" s="357" t="s">
        <v>2128</v>
      </c>
      <c r="P235" s="222" t="s">
        <v>1803</v>
      </c>
    </row>
    <row r="236" spans="1:16" ht="15.75" thickBot="1">
      <c r="A236" s="355"/>
      <c r="B236" s="219" t="s">
        <v>1805</v>
      </c>
      <c r="C236" s="220"/>
      <c r="D236" s="221"/>
      <c r="E236" s="221"/>
      <c r="F236" s="221"/>
      <c r="G236" s="358"/>
      <c r="H236" s="222" t="s">
        <v>1805</v>
      </c>
      <c r="I236" s="355"/>
      <c r="J236" s="219" t="s">
        <v>1805</v>
      </c>
      <c r="K236" s="220"/>
      <c r="L236" s="221"/>
      <c r="M236" s="221"/>
      <c r="N236" s="221"/>
      <c r="O236" s="358"/>
      <c r="P236" s="222" t="s">
        <v>1805</v>
      </c>
    </row>
    <row r="237" spans="1:16" ht="15.75" thickBot="1">
      <c r="A237" s="355"/>
      <c r="B237" s="219" t="s">
        <v>1806</v>
      </c>
      <c r="C237" s="220"/>
      <c r="D237" s="221"/>
      <c r="E237" s="221"/>
      <c r="F237" s="221"/>
      <c r="G237" s="358"/>
      <c r="H237" s="222" t="s">
        <v>1806</v>
      </c>
      <c r="I237" s="355"/>
      <c r="J237" s="219" t="s">
        <v>1806</v>
      </c>
      <c r="K237" s="220"/>
      <c r="L237" s="221"/>
      <c r="M237" s="221"/>
      <c r="N237" s="221"/>
      <c r="O237" s="358"/>
      <c r="P237" s="222" t="s">
        <v>1806</v>
      </c>
    </row>
    <row r="238" spans="1:16" ht="15.75" thickBot="1">
      <c r="A238" s="355"/>
      <c r="B238" s="219" t="s">
        <v>1807</v>
      </c>
      <c r="C238" s="220"/>
      <c r="D238" s="221"/>
      <c r="E238" s="221"/>
      <c r="F238" s="221"/>
      <c r="G238" s="358"/>
      <c r="H238" s="222" t="s">
        <v>1807</v>
      </c>
      <c r="I238" s="355"/>
      <c r="J238" s="219" t="s">
        <v>1807</v>
      </c>
      <c r="K238" s="220"/>
      <c r="L238" s="221"/>
      <c r="M238" s="221"/>
      <c r="N238" s="221"/>
      <c r="O238" s="358"/>
      <c r="P238" s="222" t="s">
        <v>1807</v>
      </c>
    </row>
    <row r="239" spans="1:16" ht="15.75" thickBot="1">
      <c r="A239" s="355"/>
      <c r="B239" s="219" t="s">
        <v>1808</v>
      </c>
      <c r="C239" s="220"/>
      <c r="D239" s="221"/>
      <c r="E239" s="221"/>
      <c r="F239" s="221"/>
      <c r="G239" s="358"/>
      <c r="H239" s="222" t="s">
        <v>1808</v>
      </c>
      <c r="I239" s="355"/>
      <c r="J239" s="219" t="s">
        <v>1808</v>
      </c>
      <c r="K239" s="220"/>
      <c r="L239" s="221"/>
      <c r="M239" s="221"/>
      <c r="N239" s="221"/>
      <c r="O239" s="358"/>
      <c r="P239" s="222" t="s">
        <v>1808</v>
      </c>
    </row>
    <row r="240" spans="1:16" ht="15.75" thickBot="1">
      <c r="A240" s="355"/>
      <c r="B240" s="219" t="s">
        <v>1809</v>
      </c>
      <c r="C240" s="220"/>
      <c r="D240" s="221"/>
      <c r="E240" s="221"/>
      <c r="F240" s="221"/>
      <c r="G240" s="358"/>
      <c r="H240" s="222" t="s">
        <v>1809</v>
      </c>
      <c r="I240" s="355"/>
      <c r="J240" s="219" t="s">
        <v>1809</v>
      </c>
      <c r="K240" s="220"/>
      <c r="L240" s="221"/>
      <c r="M240" s="221"/>
      <c r="N240" s="221"/>
      <c r="O240" s="358"/>
      <c r="P240" s="222" t="s">
        <v>1809</v>
      </c>
    </row>
    <row r="241" spans="1:16" ht="15.75" thickBot="1">
      <c r="A241" s="355"/>
      <c r="B241" s="219" t="s">
        <v>1810</v>
      </c>
      <c r="C241" s="220"/>
      <c r="D241" s="221"/>
      <c r="E241" s="221"/>
      <c r="F241" s="221"/>
      <c r="G241" s="358"/>
      <c r="H241" s="222" t="s">
        <v>1810</v>
      </c>
      <c r="I241" s="355"/>
      <c r="J241" s="219" t="s">
        <v>1810</v>
      </c>
      <c r="K241" s="220"/>
      <c r="L241" s="221"/>
      <c r="M241" s="221"/>
      <c r="N241" s="221"/>
      <c r="O241" s="358"/>
      <c r="P241" s="222" t="s">
        <v>1810</v>
      </c>
    </row>
    <row r="242" spans="1:16" ht="15.75" thickBot="1">
      <c r="A242" s="355"/>
      <c r="B242" s="219" t="s">
        <v>1811</v>
      </c>
      <c r="C242" s="220"/>
      <c r="D242" s="221"/>
      <c r="E242" s="221"/>
      <c r="F242" s="221"/>
      <c r="G242" s="358"/>
      <c r="H242" s="222" t="s">
        <v>1811</v>
      </c>
      <c r="I242" s="355"/>
      <c r="J242" s="219" t="s">
        <v>1811</v>
      </c>
      <c r="K242" s="220"/>
      <c r="L242" s="221"/>
      <c r="M242" s="221"/>
      <c r="N242" s="221"/>
      <c r="O242" s="358"/>
      <c r="P242" s="222" t="s">
        <v>1811</v>
      </c>
    </row>
    <row r="243" spans="1:16" ht="15.75" thickBot="1">
      <c r="A243" s="355"/>
      <c r="B243" s="219" t="s">
        <v>1812</v>
      </c>
      <c r="C243" s="220"/>
      <c r="D243" s="221"/>
      <c r="E243" s="221"/>
      <c r="F243" s="221"/>
      <c r="G243" s="358"/>
      <c r="H243" s="222" t="s">
        <v>1812</v>
      </c>
      <c r="I243" s="355"/>
      <c r="J243" s="219" t="s">
        <v>1812</v>
      </c>
      <c r="K243" s="220"/>
      <c r="L243" s="221"/>
      <c r="M243" s="221"/>
      <c r="N243" s="221"/>
      <c r="O243" s="358"/>
      <c r="P243" s="222" t="s">
        <v>1812</v>
      </c>
    </row>
    <row r="244" spans="1:16" ht="15.75" thickBot="1">
      <c r="A244" s="355"/>
      <c r="B244" s="219" t="s">
        <v>1813</v>
      </c>
      <c r="C244" s="220"/>
      <c r="D244" s="221"/>
      <c r="E244" s="221"/>
      <c r="F244" s="221"/>
      <c r="G244" s="358"/>
      <c r="H244" s="222" t="s">
        <v>1813</v>
      </c>
      <c r="I244" s="355"/>
      <c r="J244" s="219" t="s">
        <v>1813</v>
      </c>
      <c r="K244" s="220"/>
      <c r="L244" s="221"/>
      <c r="M244" s="221"/>
      <c r="N244" s="221"/>
      <c r="O244" s="358"/>
      <c r="P244" s="222" t="s">
        <v>1813</v>
      </c>
    </row>
    <row r="245" spans="1:16" ht="15.75" thickBot="1">
      <c r="A245" s="355"/>
      <c r="B245" s="219" t="s">
        <v>1814</v>
      </c>
      <c r="C245" s="220"/>
      <c r="D245" s="221"/>
      <c r="E245" s="221"/>
      <c r="F245" s="221"/>
      <c r="G245" s="358"/>
      <c r="H245" s="222" t="s">
        <v>1814</v>
      </c>
      <c r="I245" s="355"/>
      <c r="J245" s="219" t="s">
        <v>1814</v>
      </c>
      <c r="K245" s="220"/>
      <c r="L245" s="221"/>
      <c r="M245" s="221"/>
      <c r="N245" s="221"/>
      <c r="O245" s="358"/>
      <c r="P245" s="222" t="s">
        <v>1814</v>
      </c>
    </row>
    <row r="246" spans="1:16" ht="26.25" thickBot="1">
      <c r="A246" s="356"/>
      <c r="B246" s="219" t="s">
        <v>1815</v>
      </c>
      <c r="C246" s="220"/>
      <c r="D246" s="221"/>
      <c r="E246" s="221"/>
      <c r="F246" s="221"/>
      <c r="G246" s="359"/>
      <c r="H246" s="222" t="s">
        <v>1816</v>
      </c>
      <c r="I246" s="356"/>
      <c r="J246" s="219" t="s">
        <v>1815</v>
      </c>
      <c r="K246" s="220"/>
      <c r="L246" s="221"/>
      <c r="M246" s="221"/>
      <c r="N246" s="221"/>
      <c r="O246" s="359"/>
      <c r="P246" s="222" t="s">
        <v>1816</v>
      </c>
    </row>
    <row r="247" spans="1:16" ht="15.75" thickBot="1">
      <c r="A247" s="354" t="s">
        <v>2129</v>
      </c>
      <c r="B247" s="219" t="s">
        <v>1803</v>
      </c>
      <c r="C247" s="220"/>
      <c r="D247" s="221"/>
      <c r="E247" s="221"/>
      <c r="F247" s="221"/>
      <c r="G247" s="357" t="s">
        <v>2130</v>
      </c>
      <c r="H247" s="222" t="s">
        <v>1803</v>
      </c>
      <c r="I247" s="354" t="s">
        <v>2129</v>
      </c>
      <c r="J247" s="219" t="s">
        <v>1803</v>
      </c>
      <c r="K247" s="220"/>
      <c r="L247" s="221"/>
      <c r="M247" s="221"/>
      <c r="N247" s="221"/>
      <c r="O247" s="357" t="s">
        <v>2130</v>
      </c>
      <c r="P247" s="222" t="s">
        <v>1803</v>
      </c>
    </row>
    <row r="248" spans="1:16" ht="15.75" thickBot="1">
      <c r="A248" s="355"/>
      <c r="B248" s="219" t="s">
        <v>1805</v>
      </c>
      <c r="C248" s="220"/>
      <c r="D248" s="221"/>
      <c r="E248" s="221"/>
      <c r="F248" s="221"/>
      <c r="G248" s="358"/>
      <c r="H248" s="222" t="s">
        <v>1805</v>
      </c>
      <c r="I248" s="355"/>
      <c r="J248" s="219" t="s">
        <v>1805</v>
      </c>
      <c r="K248" s="220"/>
      <c r="L248" s="221"/>
      <c r="M248" s="221"/>
      <c r="N248" s="221"/>
      <c r="O248" s="358"/>
      <c r="P248" s="222" t="s">
        <v>1805</v>
      </c>
    </row>
    <row r="249" spans="1:16" ht="15.75" thickBot="1">
      <c r="A249" s="355"/>
      <c r="B249" s="219" t="s">
        <v>1806</v>
      </c>
      <c r="C249" s="220"/>
      <c r="D249" s="221"/>
      <c r="E249" s="221"/>
      <c r="F249" s="221"/>
      <c r="G249" s="358"/>
      <c r="H249" s="222" t="s">
        <v>1806</v>
      </c>
      <c r="I249" s="355"/>
      <c r="J249" s="219" t="s">
        <v>1806</v>
      </c>
      <c r="K249" s="220"/>
      <c r="L249" s="221"/>
      <c r="M249" s="221"/>
      <c r="N249" s="221"/>
      <c r="O249" s="358"/>
      <c r="P249" s="222" t="s">
        <v>1806</v>
      </c>
    </row>
    <row r="250" spans="1:16" ht="15.75" thickBot="1">
      <c r="A250" s="355"/>
      <c r="B250" s="219" t="s">
        <v>1807</v>
      </c>
      <c r="C250" s="220"/>
      <c r="D250" s="221"/>
      <c r="E250" s="221"/>
      <c r="F250" s="221"/>
      <c r="G250" s="358"/>
      <c r="H250" s="222" t="s">
        <v>1807</v>
      </c>
      <c r="I250" s="355"/>
      <c r="J250" s="219" t="s">
        <v>1807</v>
      </c>
      <c r="K250" s="220"/>
      <c r="L250" s="221"/>
      <c r="M250" s="221"/>
      <c r="N250" s="221"/>
      <c r="O250" s="358"/>
      <c r="P250" s="222" t="s">
        <v>1807</v>
      </c>
    </row>
    <row r="251" spans="1:16" ht="15.75" thickBot="1">
      <c r="A251" s="355"/>
      <c r="B251" s="219" t="s">
        <v>1808</v>
      </c>
      <c r="C251" s="220"/>
      <c r="D251" s="221"/>
      <c r="E251" s="221"/>
      <c r="F251" s="221"/>
      <c r="G251" s="358"/>
      <c r="H251" s="222" t="s">
        <v>1808</v>
      </c>
      <c r="I251" s="355"/>
      <c r="J251" s="219" t="s">
        <v>1808</v>
      </c>
      <c r="K251" s="220"/>
      <c r="L251" s="221"/>
      <c r="M251" s="221"/>
      <c r="N251" s="221"/>
      <c r="O251" s="358"/>
      <c r="P251" s="222" t="s">
        <v>1808</v>
      </c>
    </row>
    <row r="252" spans="1:16" ht="15.75" thickBot="1">
      <c r="A252" s="355"/>
      <c r="B252" s="219" t="s">
        <v>1809</v>
      </c>
      <c r="C252" s="220"/>
      <c r="D252" s="221"/>
      <c r="E252" s="221"/>
      <c r="F252" s="221"/>
      <c r="G252" s="358"/>
      <c r="H252" s="222" t="s">
        <v>1809</v>
      </c>
      <c r="I252" s="355"/>
      <c r="J252" s="219" t="s">
        <v>1809</v>
      </c>
      <c r="K252" s="220"/>
      <c r="L252" s="221"/>
      <c r="M252" s="221"/>
      <c r="N252" s="221"/>
      <c r="O252" s="358"/>
      <c r="P252" s="222" t="s">
        <v>1809</v>
      </c>
    </row>
    <row r="253" spans="1:16" ht="15.75" thickBot="1">
      <c r="A253" s="355"/>
      <c r="B253" s="219" t="s">
        <v>1810</v>
      </c>
      <c r="C253" s="220"/>
      <c r="D253" s="221"/>
      <c r="E253" s="221"/>
      <c r="F253" s="221"/>
      <c r="G253" s="358"/>
      <c r="H253" s="222" t="s">
        <v>1810</v>
      </c>
      <c r="I253" s="355"/>
      <c r="J253" s="219" t="s">
        <v>1810</v>
      </c>
      <c r="K253" s="220"/>
      <c r="L253" s="221"/>
      <c r="M253" s="221"/>
      <c r="N253" s="221"/>
      <c r="O253" s="358"/>
      <c r="P253" s="222" t="s">
        <v>1810</v>
      </c>
    </row>
    <row r="254" spans="1:16" ht="15.75" thickBot="1">
      <c r="A254" s="355"/>
      <c r="B254" s="219" t="s">
        <v>1811</v>
      </c>
      <c r="C254" s="220"/>
      <c r="D254" s="221"/>
      <c r="E254" s="221"/>
      <c r="F254" s="221"/>
      <c r="G254" s="358"/>
      <c r="H254" s="222" t="s">
        <v>1811</v>
      </c>
      <c r="I254" s="355"/>
      <c r="J254" s="219" t="s">
        <v>1811</v>
      </c>
      <c r="K254" s="220"/>
      <c r="L254" s="221"/>
      <c r="M254" s="221"/>
      <c r="N254" s="221"/>
      <c r="O254" s="358"/>
      <c r="P254" s="222" t="s">
        <v>1811</v>
      </c>
    </row>
    <row r="255" spans="1:16" ht="15.75" thickBot="1">
      <c r="A255" s="355"/>
      <c r="B255" s="219" t="s">
        <v>1812</v>
      </c>
      <c r="C255" s="220"/>
      <c r="D255" s="221"/>
      <c r="E255" s="221"/>
      <c r="F255" s="221"/>
      <c r="G255" s="358"/>
      <c r="H255" s="222" t="s">
        <v>1812</v>
      </c>
      <c r="I255" s="355"/>
      <c r="J255" s="219" t="s">
        <v>1812</v>
      </c>
      <c r="K255" s="220"/>
      <c r="L255" s="221"/>
      <c r="M255" s="221"/>
      <c r="N255" s="221"/>
      <c r="O255" s="358"/>
      <c r="P255" s="222" t="s">
        <v>1812</v>
      </c>
    </row>
    <row r="256" spans="1:16" ht="15.75" thickBot="1">
      <c r="A256" s="355"/>
      <c r="B256" s="219" t="s">
        <v>1813</v>
      </c>
      <c r="C256" s="220"/>
      <c r="D256" s="221"/>
      <c r="E256" s="221"/>
      <c r="F256" s="221"/>
      <c r="G256" s="358"/>
      <c r="H256" s="222" t="s">
        <v>1813</v>
      </c>
      <c r="I256" s="355"/>
      <c r="J256" s="219" t="s">
        <v>1813</v>
      </c>
      <c r="K256" s="220"/>
      <c r="L256" s="221"/>
      <c r="M256" s="221"/>
      <c r="N256" s="221"/>
      <c r="O256" s="358"/>
      <c r="P256" s="222" t="s">
        <v>1813</v>
      </c>
    </row>
    <row r="257" spans="1:16" ht="15.75" thickBot="1">
      <c r="A257" s="355"/>
      <c r="B257" s="219" t="s">
        <v>1814</v>
      </c>
      <c r="C257" s="220"/>
      <c r="D257" s="221"/>
      <c r="E257" s="221"/>
      <c r="F257" s="221"/>
      <c r="G257" s="358"/>
      <c r="H257" s="222" t="s">
        <v>1814</v>
      </c>
      <c r="I257" s="355"/>
      <c r="J257" s="219" t="s">
        <v>1814</v>
      </c>
      <c r="K257" s="220"/>
      <c r="L257" s="221"/>
      <c r="M257" s="221"/>
      <c r="N257" s="221"/>
      <c r="O257" s="358"/>
      <c r="P257" s="222" t="s">
        <v>1814</v>
      </c>
    </row>
    <row r="258" spans="1:16" ht="26.25" thickBot="1">
      <c r="A258" s="356"/>
      <c r="B258" s="219" t="s">
        <v>1815</v>
      </c>
      <c r="C258" s="220"/>
      <c r="D258" s="221"/>
      <c r="E258" s="221"/>
      <c r="F258" s="221"/>
      <c r="G258" s="359"/>
      <c r="H258" s="222" t="s">
        <v>1816</v>
      </c>
      <c r="I258" s="356"/>
      <c r="J258" s="219" t="s">
        <v>1815</v>
      </c>
      <c r="K258" s="220"/>
      <c r="L258" s="221"/>
      <c r="M258" s="221"/>
      <c r="N258" s="221"/>
      <c r="O258" s="359"/>
      <c r="P258" s="222" t="s">
        <v>1816</v>
      </c>
    </row>
    <row r="259" spans="1:16" ht="15.75" thickBot="1">
      <c r="A259" s="354" t="s">
        <v>2131</v>
      </c>
      <c r="B259" s="219" t="s">
        <v>1803</v>
      </c>
      <c r="C259" s="220"/>
      <c r="D259" s="221"/>
      <c r="E259" s="221"/>
      <c r="F259" s="221"/>
      <c r="G259" s="357" t="s">
        <v>2132</v>
      </c>
      <c r="H259" s="222" t="s">
        <v>1803</v>
      </c>
      <c r="I259" s="354" t="s">
        <v>2131</v>
      </c>
      <c r="J259" s="219" t="s">
        <v>1803</v>
      </c>
      <c r="K259" s="220"/>
      <c r="L259" s="221"/>
      <c r="M259" s="221"/>
      <c r="N259" s="221"/>
      <c r="O259" s="357" t="s">
        <v>2132</v>
      </c>
      <c r="P259" s="222" t="s">
        <v>1803</v>
      </c>
    </row>
    <row r="260" spans="1:16" ht="15.75" thickBot="1">
      <c r="A260" s="355"/>
      <c r="B260" s="219" t="s">
        <v>1805</v>
      </c>
      <c r="C260" s="220"/>
      <c r="D260" s="221"/>
      <c r="E260" s="221"/>
      <c r="F260" s="221"/>
      <c r="G260" s="358"/>
      <c r="H260" s="222" t="s">
        <v>1805</v>
      </c>
      <c r="I260" s="355"/>
      <c r="J260" s="219" t="s">
        <v>1805</v>
      </c>
      <c r="K260" s="220"/>
      <c r="L260" s="221"/>
      <c r="M260" s="221"/>
      <c r="N260" s="221"/>
      <c r="O260" s="358"/>
      <c r="P260" s="222" t="s">
        <v>1805</v>
      </c>
    </row>
    <row r="261" spans="1:16" ht="15.75" thickBot="1">
      <c r="A261" s="355"/>
      <c r="B261" s="219" t="s">
        <v>1806</v>
      </c>
      <c r="C261" s="220"/>
      <c r="D261" s="221"/>
      <c r="E261" s="221"/>
      <c r="F261" s="221"/>
      <c r="G261" s="358"/>
      <c r="H261" s="222" t="s">
        <v>1806</v>
      </c>
      <c r="I261" s="355"/>
      <c r="J261" s="219" t="s">
        <v>1806</v>
      </c>
      <c r="K261" s="220"/>
      <c r="L261" s="221"/>
      <c r="M261" s="221"/>
      <c r="N261" s="221"/>
      <c r="O261" s="358"/>
      <c r="P261" s="222" t="s">
        <v>1806</v>
      </c>
    </row>
    <row r="262" spans="1:16" ht="15.75" thickBot="1">
      <c r="A262" s="355"/>
      <c r="B262" s="219" t="s">
        <v>1807</v>
      </c>
      <c r="C262" s="220"/>
      <c r="D262" s="221"/>
      <c r="E262" s="221"/>
      <c r="F262" s="221"/>
      <c r="G262" s="358"/>
      <c r="H262" s="222" t="s">
        <v>1807</v>
      </c>
      <c r="I262" s="355"/>
      <c r="J262" s="219" t="s">
        <v>1807</v>
      </c>
      <c r="K262" s="220"/>
      <c r="L262" s="221"/>
      <c r="M262" s="221"/>
      <c r="N262" s="221"/>
      <c r="O262" s="358"/>
      <c r="P262" s="222" t="s">
        <v>1807</v>
      </c>
    </row>
    <row r="263" spans="1:16" ht="15.75" thickBot="1">
      <c r="A263" s="355"/>
      <c r="B263" s="219" t="s">
        <v>1808</v>
      </c>
      <c r="C263" s="220"/>
      <c r="D263" s="221"/>
      <c r="E263" s="221"/>
      <c r="F263" s="221"/>
      <c r="G263" s="358"/>
      <c r="H263" s="222" t="s">
        <v>1808</v>
      </c>
      <c r="I263" s="355"/>
      <c r="J263" s="219" t="s">
        <v>1808</v>
      </c>
      <c r="K263" s="220"/>
      <c r="L263" s="221"/>
      <c r="M263" s="221"/>
      <c r="N263" s="221"/>
      <c r="O263" s="358"/>
      <c r="P263" s="222" t="s">
        <v>1808</v>
      </c>
    </row>
    <row r="264" spans="1:16" ht="15.75" thickBot="1">
      <c r="A264" s="355"/>
      <c r="B264" s="219" t="s">
        <v>1809</v>
      </c>
      <c r="C264" s="220"/>
      <c r="D264" s="221"/>
      <c r="E264" s="221"/>
      <c r="F264" s="221"/>
      <c r="G264" s="358"/>
      <c r="H264" s="222" t="s">
        <v>1809</v>
      </c>
      <c r="I264" s="355"/>
      <c r="J264" s="219" t="s">
        <v>1809</v>
      </c>
      <c r="K264" s="220"/>
      <c r="L264" s="221"/>
      <c r="M264" s="221"/>
      <c r="N264" s="221"/>
      <c r="O264" s="358"/>
      <c r="P264" s="222" t="s">
        <v>1809</v>
      </c>
    </row>
    <row r="265" spans="1:16" ht="15.75" thickBot="1">
      <c r="A265" s="355"/>
      <c r="B265" s="219" t="s">
        <v>1810</v>
      </c>
      <c r="C265" s="220"/>
      <c r="D265" s="221"/>
      <c r="E265" s="221"/>
      <c r="F265" s="221"/>
      <c r="G265" s="358"/>
      <c r="H265" s="222" t="s">
        <v>1810</v>
      </c>
      <c r="I265" s="355"/>
      <c r="J265" s="219" t="s">
        <v>1810</v>
      </c>
      <c r="K265" s="220"/>
      <c r="L265" s="221"/>
      <c r="M265" s="221"/>
      <c r="N265" s="221"/>
      <c r="O265" s="358"/>
      <c r="P265" s="222" t="s">
        <v>1810</v>
      </c>
    </row>
    <row r="266" spans="1:16" ht="15.75" thickBot="1">
      <c r="A266" s="355"/>
      <c r="B266" s="219" t="s">
        <v>1811</v>
      </c>
      <c r="C266" s="220"/>
      <c r="D266" s="221"/>
      <c r="E266" s="221"/>
      <c r="F266" s="221"/>
      <c r="G266" s="358"/>
      <c r="H266" s="222" t="s">
        <v>1811</v>
      </c>
      <c r="I266" s="355"/>
      <c r="J266" s="219" t="s">
        <v>1811</v>
      </c>
      <c r="K266" s="220"/>
      <c r="L266" s="221"/>
      <c r="M266" s="221"/>
      <c r="N266" s="221"/>
      <c r="O266" s="358"/>
      <c r="P266" s="222" t="s">
        <v>1811</v>
      </c>
    </row>
    <row r="267" spans="1:16" ht="15.75" thickBot="1">
      <c r="A267" s="355"/>
      <c r="B267" s="219" t="s">
        <v>1812</v>
      </c>
      <c r="C267" s="220"/>
      <c r="D267" s="221"/>
      <c r="E267" s="221"/>
      <c r="F267" s="221"/>
      <c r="G267" s="358"/>
      <c r="H267" s="222" t="s">
        <v>1812</v>
      </c>
      <c r="I267" s="355"/>
      <c r="J267" s="219" t="s">
        <v>1812</v>
      </c>
      <c r="K267" s="220"/>
      <c r="L267" s="221"/>
      <c r="M267" s="221"/>
      <c r="N267" s="221"/>
      <c r="O267" s="358"/>
      <c r="P267" s="222" t="s">
        <v>1812</v>
      </c>
    </row>
    <row r="268" spans="1:16" ht="15.75" thickBot="1">
      <c r="A268" s="355"/>
      <c r="B268" s="219" t="s">
        <v>1813</v>
      </c>
      <c r="C268" s="220"/>
      <c r="D268" s="221"/>
      <c r="E268" s="221"/>
      <c r="F268" s="221"/>
      <c r="G268" s="358"/>
      <c r="H268" s="222" t="s">
        <v>1813</v>
      </c>
      <c r="I268" s="355"/>
      <c r="J268" s="219" t="s">
        <v>1813</v>
      </c>
      <c r="K268" s="220"/>
      <c r="L268" s="221"/>
      <c r="M268" s="221"/>
      <c r="N268" s="221"/>
      <c r="O268" s="358"/>
      <c r="P268" s="222" t="s">
        <v>1813</v>
      </c>
    </row>
    <row r="269" spans="1:16" ht="15.75" thickBot="1">
      <c r="A269" s="355"/>
      <c r="B269" s="219" t="s">
        <v>1814</v>
      </c>
      <c r="C269" s="220"/>
      <c r="D269" s="221"/>
      <c r="E269" s="221"/>
      <c r="F269" s="221"/>
      <c r="G269" s="358"/>
      <c r="H269" s="222" t="s">
        <v>1814</v>
      </c>
      <c r="I269" s="355"/>
      <c r="J269" s="219" t="s">
        <v>1814</v>
      </c>
      <c r="K269" s="220"/>
      <c r="L269" s="221"/>
      <c r="M269" s="221"/>
      <c r="N269" s="221"/>
      <c r="O269" s="358"/>
      <c r="P269" s="222" t="s">
        <v>1814</v>
      </c>
    </row>
    <row r="270" spans="1:16" ht="26.25" thickBot="1">
      <c r="A270" s="356"/>
      <c r="B270" s="219" t="s">
        <v>1815</v>
      </c>
      <c r="C270" s="220"/>
      <c r="D270" s="221"/>
      <c r="E270" s="221"/>
      <c r="F270" s="221"/>
      <c r="G270" s="359"/>
      <c r="H270" s="222" t="s">
        <v>1816</v>
      </c>
      <c r="I270" s="356"/>
      <c r="J270" s="219" t="s">
        <v>1815</v>
      </c>
      <c r="K270" s="220"/>
      <c r="L270" s="221"/>
      <c r="M270" s="221"/>
      <c r="N270" s="221"/>
      <c r="O270" s="359"/>
      <c r="P270" s="222" t="s">
        <v>1816</v>
      </c>
    </row>
    <row r="271" spans="1:16" ht="15.75" thickBot="1">
      <c r="A271" s="354" t="s">
        <v>2133</v>
      </c>
      <c r="B271" s="219" t="s">
        <v>1803</v>
      </c>
      <c r="C271" s="220"/>
      <c r="D271" s="221"/>
      <c r="E271" s="221"/>
      <c r="F271" s="221"/>
      <c r="G271" s="357" t="s">
        <v>2134</v>
      </c>
      <c r="H271" s="222" t="s">
        <v>1803</v>
      </c>
      <c r="I271" s="354" t="s">
        <v>2133</v>
      </c>
      <c r="J271" s="219" t="s">
        <v>1803</v>
      </c>
      <c r="K271" s="220"/>
      <c r="L271" s="221"/>
      <c r="M271" s="221"/>
      <c r="N271" s="221"/>
      <c r="O271" s="357" t="s">
        <v>2134</v>
      </c>
      <c r="P271" s="222" t="s">
        <v>1803</v>
      </c>
    </row>
    <row r="272" spans="1:16" ht="15.75" thickBot="1">
      <c r="A272" s="355"/>
      <c r="B272" s="219" t="s">
        <v>1805</v>
      </c>
      <c r="C272" s="220"/>
      <c r="D272" s="221"/>
      <c r="E272" s="221"/>
      <c r="F272" s="221"/>
      <c r="G272" s="358"/>
      <c r="H272" s="222" t="s">
        <v>1805</v>
      </c>
      <c r="I272" s="355"/>
      <c r="J272" s="219" t="s">
        <v>1805</v>
      </c>
      <c r="K272" s="220"/>
      <c r="L272" s="221"/>
      <c r="M272" s="221"/>
      <c r="N272" s="221"/>
      <c r="O272" s="358"/>
      <c r="P272" s="222" t="s">
        <v>1805</v>
      </c>
    </row>
    <row r="273" spans="1:16" ht="15.75" thickBot="1">
      <c r="A273" s="355"/>
      <c r="B273" s="219" t="s">
        <v>1806</v>
      </c>
      <c r="C273" s="220"/>
      <c r="D273" s="221"/>
      <c r="E273" s="221"/>
      <c r="F273" s="221"/>
      <c r="G273" s="358"/>
      <c r="H273" s="222" t="s">
        <v>1806</v>
      </c>
      <c r="I273" s="355"/>
      <c r="J273" s="219" t="s">
        <v>1806</v>
      </c>
      <c r="K273" s="220"/>
      <c r="L273" s="221"/>
      <c r="M273" s="221"/>
      <c r="N273" s="221"/>
      <c r="O273" s="358"/>
      <c r="P273" s="222" t="s">
        <v>1806</v>
      </c>
    </row>
    <row r="274" spans="1:16" ht="15.75" thickBot="1">
      <c r="A274" s="355"/>
      <c r="B274" s="219" t="s">
        <v>1807</v>
      </c>
      <c r="C274" s="220"/>
      <c r="D274" s="221"/>
      <c r="E274" s="221"/>
      <c r="F274" s="221"/>
      <c r="G274" s="358"/>
      <c r="H274" s="222" t="s">
        <v>1807</v>
      </c>
      <c r="I274" s="355"/>
      <c r="J274" s="219" t="s">
        <v>1807</v>
      </c>
      <c r="K274" s="220"/>
      <c r="L274" s="221"/>
      <c r="M274" s="221"/>
      <c r="N274" s="221"/>
      <c r="O274" s="358"/>
      <c r="P274" s="222" t="s">
        <v>1807</v>
      </c>
    </row>
    <row r="275" spans="1:16" ht="15.75" thickBot="1">
      <c r="A275" s="355"/>
      <c r="B275" s="219" t="s">
        <v>1808</v>
      </c>
      <c r="C275" s="220"/>
      <c r="D275" s="221"/>
      <c r="E275" s="221"/>
      <c r="F275" s="221"/>
      <c r="G275" s="358"/>
      <c r="H275" s="222" t="s">
        <v>1808</v>
      </c>
      <c r="I275" s="355"/>
      <c r="J275" s="219" t="s">
        <v>1808</v>
      </c>
      <c r="K275" s="220"/>
      <c r="L275" s="221"/>
      <c r="M275" s="221"/>
      <c r="N275" s="221"/>
      <c r="O275" s="358"/>
      <c r="P275" s="222" t="s">
        <v>1808</v>
      </c>
    </row>
    <row r="276" spans="1:16" ht="15.75" thickBot="1">
      <c r="A276" s="355"/>
      <c r="B276" s="219" t="s">
        <v>1809</v>
      </c>
      <c r="C276" s="220"/>
      <c r="D276" s="221"/>
      <c r="E276" s="221"/>
      <c r="F276" s="221"/>
      <c r="G276" s="358"/>
      <c r="H276" s="222" t="s">
        <v>1809</v>
      </c>
      <c r="I276" s="355"/>
      <c r="J276" s="219" t="s">
        <v>1809</v>
      </c>
      <c r="K276" s="220"/>
      <c r="L276" s="221"/>
      <c r="M276" s="221"/>
      <c r="N276" s="221"/>
      <c r="O276" s="358"/>
      <c r="P276" s="222" t="s">
        <v>1809</v>
      </c>
    </row>
    <row r="277" spans="1:16" ht="15.75" thickBot="1">
      <c r="A277" s="355"/>
      <c r="B277" s="219" t="s">
        <v>1810</v>
      </c>
      <c r="C277" s="220"/>
      <c r="D277" s="221"/>
      <c r="E277" s="221"/>
      <c r="F277" s="221"/>
      <c r="G277" s="358"/>
      <c r="H277" s="222" t="s">
        <v>1810</v>
      </c>
      <c r="I277" s="355"/>
      <c r="J277" s="219" t="s">
        <v>1810</v>
      </c>
      <c r="K277" s="220"/>
      <c r="L277" s="221"/>
      <c r="M277" s="221"/>
      <c r="N277" s="221"/>
      <c r="O277" s="358"/>
      <c r="P277" s="222" t="s">
        <v>1810</v>
      </c>
    </row>
    <row r="278" spans="1:16" ht="15.75" thickBot="1">
      <c r="A278" s="355"/>
      <c r="B278" s="219" t="s">
        <v>1811</v>
      </c>
      <c r="C278" s="220"/>
      <c r="D278" s="221"/>
      <c r="E278" s="221"/>
      <c r="F278" s="221"/>
      <c r="G278" s="358"/>
      <c r="H278" s="222" t="s">
        <v>1811</v>
      </c>
      <c r="I278" s="355"/>
      <c r="J278" s="219" t="s">
        <v>1811</v>
      </c>
      <c r="K278" s="220"/>
      <c r="L278" s="221"/>
      <c r="M278" s="221"/>
      <c r="N278" s="221"/>
      <c r="O278" s="358"/>
      <c r="P278" s="222" t="s">
        <v>1811</v>
      </c>
    </row>
    <row r="279" spans="1:16" ht="15.75" thickBot="1">
      <c r="A279" s="355"/>
      <c r="B279" s="219" t="s">
        <v>1812</v>
      </c>
      <c r="C279" s="220"/>
      <c r="D279" s="221"/>
      <c r="E279" s="221"/>
      <c r="F279" s="221"/>
      <c r="G279" s="358"/>
      <c r="H279" s="222" t="s">
        <v>1812</v>
      </c>
      <c r="I279" s="355"/>
      <c r="J279" s="219" t="s">
        <v>1812</v>
      </c>
      <c r="K279" s="220"/>
      <c r="L279" s="221"/>
      <c r="M279" s="221"/>
      <c r="N279" s="221"/>
      <c r="O279" s="358"/>
      <c r="P279" s="222" t="s">
        <v>1812</v>
      </c>
    </row>
    <row r="280" spans="1:16" ht="15.75" thickBot="1">
      <c r="A280" s="355"/>
      <c r="B280" s="219" t="s">
        <v>1813</v>
      </c>
      <c r="C280" s="220"/>
      <c r="D280" s="221"/>
      <c r="E280" s="221"/>
      <c r="F280" s="221"/>
      <c r="G280" s="358"/>
      <c r="H280" s="222" t="s">
        <v>1813</v>
      </c>
      <c r="I280" s="355"/>
      <c r="J280" s="219" t="s">
        <v>1813</v>
      </c>
      <c r="K280" s="220"/>
      <c r="L280" s="221"/>
      <c r="M280" s="221"/>
      <c r="N280" s="221"/>
      <c r="O280" s="358"/>
      <c r="P280" s="222" t="s">
        <v>1813</v>
      </c>
    </row>
    <row r="281" spans="1:16" ht="15.75" thickBot="1">
      <c r="A281" s="355"/>
      <c r="B281" s="219" t="s">
        <v>1814</v>
      </c>
      <c r="C281" s="220"/>
      <c r="D281" s="221"/>
      <c r="E281" s="221"/>
      <c r="F281" s="221"/>
      <c r="G281" s="358"/>
      <c r="H281" s="222" t="s">
        <v>1814</v>
      </c>
      <c r="I281" s="355"/>
      <c r="J281" s="219" t="s">
        <v>1814</v>
      </c>
      <c r="K281" s="220"/>
      <c r="L281" s="221"/>
      <c r="M281" s="221"/>
      <c r="N281" s="221"/>
      <c r="O281" s="358"/>
      <c r="P281" s="222" t="s">
        <v>1814</v>
      </c>
    </row>
    <row r="282" spans="1:16" ht="26.25" thickBot="1">
      <c r="A282" s="356"/>
      <c r="B282" s="219" t="s">
        <v>1815</v>
      </c>
      <c r="C282" s="220"/>
      <c r="D282" s="221"/>
      <c r="E282" s="221"/>
      <c r="F282" s="221"/>
      <c r="G282" s="359"/>
      <c r="H282" s="222" t="s">
        <v>1816</v>
      </c>
      <c r="I282" s="356"/>
      <c r="J282" s="219" t="s">
        <v>1815</v>
      </c>
      <c r="K282" s="220"/>
      <c r="L282" s="221"/>
      <c r="M282" s="221"/>
      <c r="N282" s="221"/>
      <c r="O282" s="359"/>
      <c r="P282" s="222" t="s">
        <v>1816</v>
      </c>
    </row>
    <row r="283" spans="1:16" ht="17.25" customHeight="1">
      <c r="A283" s="360" t="s">
        <v>19</v>
      </c>
      <c r="B283" s="360"/>
      <c r="C283" s="360"/>
      <c r="D283" s="360"/>
      <c r="E283" s="360"/>
      <c r="F283" s="360"/>
      <c r="G283" s="360"/>
      <c r="H283" s="360"/>
      <c r="I283" s="361" t="s">
        <v>106</v>
      </c>
      <c r="J283" s="361"/>
      <c r="K283" s="361"/>
      <c r="L283" s="361"/>
      <c r="M283" s="361"/>
      <c r="N283" s="361"/>
      <c r="O283" s="361"/>
      <c r="P283" s="361"/>
    </row>
    <row r="284" spans="1:16" ht="17.25" customHeight="1">
      <c r="A284" s="350" t="s">
        <v>2104</v>
      </c>
      <c r="B284" s="350"/>
      <c r="C284" s="350"/>
      <c r="D284" s="350"/>
      <c r="E284" s="351" t="s">
        <v>2105</v>
      </c>
      <c r="F284" s="351"/>
      <c r="G284" s="351"/>
      <c r="H284" s="351"/>
      <c r="I284" s="350" t="s">
        <v>2104</v>
      </c>
      <c r="J284" s="350"/>
      <c r="K284" s="350"/>
      <c r="L284" s="350"/>
      <c r="M284" s="351" t="s">
        <v>2105</v>
      </c>
      <c r="N284" s="351"/>
      <c r="O284" s="351"/>
      <c r="P284" s="351"/>
    </row>
    <row r="285" spans="1:16">
      <c r="A285" s="352"/>
      <c r="B285" s="352"/>
      <c r="C285" s="353" t="s">
        <v>2106</v>
      </c>
      <c r="D285" s="353"/>
      <c r="E285" s="353"/>
      <c r="F285" s="353"/>
      <c r="G285" s="352"/>
      <c r="H285" s="352"/>
      <c r="I285" s="352"/>
      <c r="J285" s="352"/>
      <c r="K285" s="353" t="s">
        <v>2106</v>
      </c>
      <c r="L285" s="353"/>
      <c r="M285" s="353"/>
      <c r="N285" s="353"/>
      <c r="O285" s="352"/>
      <c r="P285" s="352"/>
    </row>
    <row r="286" spans="1:16" ht="23.25">
      <c r="A286" s="352"/>
      <c r="B286" s="352"/>
      <c r="C286" s="218" t="s">
        <v>2107</v>
      </c>
      <c r="D286" s="218" t="s">
        <v>2146</v>
      </c>
      <c r="E286" s="218" t="s">
        <v>2147</v>
      </c>
      <c r="F286" s="218" t="s">
        <v>2148</v>
      </c>
      <c r="G286" s="352"/>
      <c r="H286" s="352"/>
      <c r="I286" s="352"/>
      <c r="J286" s="352"/>
      <c r="K286" s="218" t="s">
        <v>2107</v>
      </c>
      <c r="L286" s="218" t="s">
        <v>2146</v>
      </c>
      <c r="M286" s="218" t="s">
        <v>2147</v>
      </c>
      <c r="N286" s="218" t="s">
        <v>2148</v>
      </c>
      <c r="O286" s="352"/>
      <c r="P286" s="352"/>
    </row>
    <row r="287" spans="1:16" ht="15.75" thickBot="1">
      <c r="A287" s="219" t="s">
        <v>2135</v>
      </c>
      <c r="B287" s="219" t="s">
        <v>1817</v>
      </c>
      <c r="C287" s="220"/>
      <c r="D287" s="221"/>
      <c r="E287" s="221"/>
      <c r="F287" s="221"/>
      <c r="G287" s="222" t="s">
        <v>2136</v>
      </c>
      <c r="H287" s="222" t="s">
        <v>1818</v>
      </c>
      <c r="I287" s="219" t="s">
        <v>2135</v>
      </c>
      <c r="J287" s="219" t="s">
        <v>1817</v>
      </c>
      <c r="K287" s="220"/>
      <c r="L287" s="221"/>
      <c r="M287" s="221"/>
      <c r="N287" s="221"/>
      <c r="O287" s="222" t="s">
        <v>2136</v>
      </c>
      <c r="P287" s="222" t="s">
        <v>1818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B3EF7DC-9916-4E5F-A5C7-FDB71B3B68C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E486BE9-4EC6-4457-BA54-1E1700323E9C}">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4F1A6-DEBD-4011-AFFF-D4C05B433FBE}">
  <dimension ref="A1:L310"/>
  <sheetViews>
    <sheetView showGridLines="0" workbookViewId="0"/>
  </sheetViews>
  <sheetFormatPr defaultRowHeight="15"/>
  <cols>
    <col min="1" max="1" width="42.6640625" style="224" bestFit="1" customWidth="1" collapsed="1"/>
    <col min="2" max="2" width="19" style="224" bestFit="1" customWidth="1" collapsed="1"/>
    <col min="3" max="3" width="42.6640625" style="224" bestFit="1" customWidth="1" collapsed="1"/>
    <col min="4" max="4" width="25.83203125" style="224" bestFit="1" customWidth="1" collapsed="1"/>
    <col min="5" max="5" width="42.6640625" style="224" bestFit="1" customWidth="1" collapsed="1"/>
    <col min="6" max="6" width="15.6640625" style="224" bestFit="1" customWidth="1" collapsed="1"/>
    <col min="7" max="7" width="42.6640625" style="224" bestFit="1" customWidth="1" collapsed="1"/>
    <col min="8" max="8" width="19" style="224" bestFit="1" customWidth="1" collapsed="1"/>
    <col min="9" max="9" width="42.6640625" style="224" bestFit="1" customWidth="1" collapsed="1"/>
    <col min="10" max="10" width="25.83203125" style="224" bestFit="1" customWidth="1" collapsed="1"/>
    <col min="11" max="11" width="42.6640625" style="224" bestFit="1" customWidth="1" collapsed="1"/>
    <col min="12" max="12" width="15.6640625" style="224" bestFit="1" customWidth="1" collapsed="1"/>
    <col min="13" max="16384" width="9.33203125" style="224" collapsed="1"/>
  </cols>
  <sheetData>
    <row r="1" spans="1:12" ht="17.25">
      <c r="A1" s="223" t="s">
        <v>2149</v>
      </c>
    </row>
    <row r="3" spans="1:12" ht="17.25" customHeight="1">
      <c r="A3" s="364" t="s">
        <v>19</v>
      </c>
      <c r="B3" s="364"/>
      <c r="C3" s="364"/>
      <c r="D3" s="364"/>
      <c r="E3" s="364"/>
      <c r="F3" s="364"/>
      <c r="G3" s="365" t="s">
        <v>106</v>
      </c>
      <c r="H3" s="365"/>
      <c r="I3" s="365"/>
      <c r="J3" s="365"/>
      <c r="K3" s="365"/>
      <c r="L3" s="365"/>
    </row>
    <row r="4" spans="1:12" ht="17.25" customHeight="1">
      <c r="A4" s="364" t="s">
        <v>2150</v>
      </c>
      <c r="B4" s="364"/>
      <c r="C4" s="364"/>
      <c r="D4" s="365" t="s">
        <v>2151</v>
      </c>
      <c r="E4" s="365"/>
      <c r="F4" s="365"/>
      <c r="G4" s="364" t="s">
        <v>2150</v>
      </c>
      <c r="H4" s="364"/>
      <c r="I4" s="364"/>
      <c r="J4" s="365" t="s">
        <v>2151</v>
      </c>
      <c r="K4" s="365"/>
      <c r="L4" s="365"/>
    </row>
    <row r="5" spans="1:12">
      <c r="A5" s="362"/>
      <c r="B5" s="362"/>
      <c r="C5" s="363" t="s">
        <v>2152</v>
      </c>
      <c r="D5" s="363"/>
      <c r="E5" s="362"/>
      <c r="F5" s="362"/>
      <c r="G5" s="362"/>
      <c r="H5" s="362"/>
      <c r="I5" s="363" t="s">
        <v>2152</v>
      </c>
      <c r="J5" s="363"/>
      <c r="K5" s="362"/>
      <c r="L5" s="362"/>
    </row>
    <row r="6" spans="1:12" ht="23.25">
      <c r="A6" s="362"/>
      <c r="B6" s="362"/>
      <c r="C6" s="225" t="s">
        <v>2153</v>
      </c>
      <c r="D6" s="225" t="s">
        <v>677</v>
      </c>
      <c r="E6" s="362"/>
      <c r="F6" s="362"/>
      <c r="G6" s="362"/>
      <c r="H6" s="362"/>
      <c r="I6" s="225" t="s">
        <v>2153</v>
      </c>
      <c r="J6" s="225" t="s">
        <v>677</v>
      </c>
      <c r="K6" s="362"/>
      <c r="L6" s="362"/>
    </row>
    <row r="7" spans="1:12" ht="15.75" thickBot="1">
      <c r="A7" s="367" t="s">
        <v>2109</v>
      </c>
      <c r="B7" s="226" t="s">
        <v>1803</v>
      </c>
      <c r="C7" s="227">
        <v>26534754996</v>
      </c>
      <c r="D7" s="227">
        <v>26535</v>
      </c>
      <c r="E7" s="370" t="s">
        <v>2109</v>
      </c>
      <c r="F7" s="228" t="s">
        <v>1803</v>
      </c>
      <c r="G7" s="367" t="s">
        <v>2109</v>
      </c>
      <c r="H7" s="226" t="s">
        <v>1803</v>
      </c>
      <c r="I7" s="227">
        <v>37792641683</v>
      </c>
      <c r="J7" s="227">
        <v>37792</v>
      </c>
      <c r="K7" s="370" t="s">
        <v>2109</v>
      </c>
      <c r="L7" s="228" t="s">
        <v>1803</v>
      </c>
    </row>
    <row r="8" spans="1:12" ht="15.75" thickBot="1">
      <c r="A8" s="367"/>
      <c r="B8" s="226" t="s">
        <v>1805</v>
      </c>
      <c r="C8" s="227"/>
      <c r="D8" s="227"/>
      <c r="E8" s="370"/>
      <c r="F8" s="228" t="s">
        <v>1805</v>
      </c>
      <c r="G8" s="367"/>
      <c r="H8" s="226" t="s">
        <v>1805</v>
      </c>
      <c r="I8" s="227"/>
      <c r="J8" s="227"/>
      <c r="K8" s="370"/>
      <c r="L8" s="228" t="s">
        <v>1805</v>
      </c>
    </row>
    <row r="9" spans="1:12" ht="15.75" thickBot="1">
      <c r="A9" s="367"/>
      <c r="B9" s="226" t="s">
        <v>1806</v>
      </c>
      <c r="C9" s="227"/>
      <c r="D9" s="227"/>
      <c r="E9" s="370"/>
      <c r="F9" s="228" t="s">
        <v>1806</v>
      </c>
      <c r="G9" s="367"/>
      <c r="H9" s="226" t="s">
        <v>1806</v>
      </c>
      <c r="I9" s="227"/>
      <c r="J9" s="227"/>
      <c r="K9" s="370"/>
      <c r="L9" s="228" t="s">
        <v>1806</v>
      </c>
    </row>
    <row r="10" spans="1:12" ht="15.75" thickBot="1">
      <c r="A10" s="367"/>
      <c r="B10" s="226" t="s">
        <v>1807</v>
      </c>
      <c r="C10" s="227"/>
      <c r="D10" s="227"/>
      <c r="E10" s="370"/>
      <c r="F10" s="228" t="s">
        <v>1807</v>
      </c>
      <c r="G10" s="367"/>
      <c r="H10" s="226" t="s">
        <v>1807</v>
      </c>
      <c r="I10" s="227"/>
      <c r="J10" s="227"/>
      <c r="K10" s="370"/>
      <c r="L10" s="228" t="s">
        <v>1807</v>
      </c>
    </row>
    <row r="11" spans="1:12" ht="15.75" thickBot="1">
      <c r="A11" s="367"/>
      <c r="B11" s="226" t="s">
        <v>1808</v>
      </c>
      <c r="C11" s="227"/>
      <c r="D11" s="227"/>
      <c r="E11" s="370"/>
      <c r="F11" s="228" t="s">
        <v>1808</v>
      </c>
      <c r="G11" s="367"/>
      <c r="H11" s="226" t="s">
        <v>1808</v>
      </c>
      <c r="I11" s="227"/>
      <c r="J11" s="227"/>
      <c r="K11" s="370"/>
      <c r="L11" s="228" t="s">
        <v>1808</v>
      </c>
    </row>
    <row r="12" spans="1:12" ht="15.75" thickBot="1">
      <c r="A12" s="367"/>
      <c r="B12" s="226" t="s">
        <v>1809</v>
      </c>
      <c r="C12" s="227"/>
      <c r="D12" s="227"/>
      <c r="E12" s="370"/>
      <c r="F12" s="228" t="s">
        <v>1809</v>
      </c>
      <c r="G12" s="367"/>
      <c r="H12" s="226" t="s">
        <v>1809</v>
      </c>
      <c r="I12" s="227"/>
      <c r="J12" s="227"/>
      <c r="K12" s="370"/>
      <c r="L12" s="228" t="s">
        <v>1809</v>
      </c>
    </row>
    <row r="13" spans="1:12" ht="15.75" thickBot="1">
      <c r="A13" s="367"/>
      <c r="B13" s="226" t="s">
        <v>1810</v>
      </c>
      <c r="C13" s="227"/>
      <c r="D13" s="227"/>
      <c r="E13" s="370"/>
      <c r="F13" s="228" t="s">
        <v>1810</v>
      </c>
      <c r="G13" s="367"/>
      <c r="H13" s="226" t="s">
        <v>1810</v>
      </c>
      <c r="I13" s="227"/>
      <c r="J13" s="227"/>
      <c r="K13" s="370"/>
      <c r="L13" s="228" t="s">
        <v>1810</v>
      </c>
    </row>
    <row r="14" spans="1:12" ht="15.75" thickBot="1">
      <c r="A14" s="367"/>
      <c r="B14" s="226" t="s">
        <v>1811</v>
      </c>
      <c r="C14" s="227"/>
      <c r="D14" s="227"/>
      <c r="E14" s="370"/>
      <c r="F14" s="228" t="s">
        <v>1811</v>
      </c>
      <c r="G14" s="367"/>
      <c r="H14" s="226" t="s">
        <v>1811</v>
      </c>
      <c r="I14" s="227"/>
      <c r="J14" s="227"/>
      <c r="K14" s="370"/>
      <c r="L14" s="228" t="s">
        <v>1811</v>
      </c>
    </row>
    <row r="15" spans="1:12" ht="15.75" thickBot="1">
      <c r="A15" s="367"/>
      <c r="B15" s="226" t="s">
        <v>1812</v>
      </c>
      <c r="C15" s="227"/>
      <c r="D15" s="227"/>
      <c r="E15" s="370"/>
      <c r="F15" s="228" t="s">
        <v>1812</v>
      </c>
      <c r="G15" s="367"/>
      <c r="H15" s="226" t="s">
        <v>1812</v>
      </c>
      <c r="I15" s="227"/>
      <c r="J15" s="227"/>
      <c r="K15" s="370"/>
      <c r="L15" s="228" t="s">
        <v>1812</v>
      </c>
    </row>
    <row r="16" spans="1:12" ht="15.75" thickBot="1">
      <c r="A16" s="367"/>
      <c r="B16" s="226" t="s">
        <v>1813</v>
      </c>
      <c r="C16" s="227"/>
      <c r="D16" s="227"/>
      <c r="E16" s="370"/>
      <c r="F16" s="228" t="s">
        <v>1813</v>
      </c>
      <c r="G16" s="367"/>
      <c r="H16" s="226" t="s">
        <v>1813</v>
      </c>
      <c r="I16" s="227"/>
      <c r="J16" s="227"/>
      <c r="K16" s="370"/>
      <c r="L16" s="228" t="s">
        <v>1813</v>
      </c>
    </row>
    <row r="17" spans="1:12" ht="15.75" thickBot="1">
      <c r="A17" s="367"/>
      <c r="B17" s="226" t="s">
        <v>1814</v>
      </c>
      <c r="C17" s="227">
        <v>4067662</v>
      </c>
      <c r="D17" s="227">
        <v>66795</v>
      </c>
      <c r="E17" s="370"/>
      <c r="F17" s="228" t="s">
        <v>1814</v>
      </c>
      <c r="G17" s="367"/>
      <c r="H17" s="226" t="s">
        <v>1814</v>
      </c>
      <c r="I17" s="227">
        <v>14090364</v>
      </c>
      <c r="J17" s="227">
        <v>217218</v>
      </c>
      <c r="K17" s="370"/>
      <c r="L17" s="228" t="s">
        <v>1814</v>
      </c>
    </row>
    <row r="18" spans="1:12" ht="26.25" thickBot="1">
      <c r="A18" s="367"/>
      <c r="B18" s="226" t="s">
        <v>1815</v>
      </c>
      <c r="C18" s="227"/>
      <c r="D18" s="227"/>
      <c r="E18" s="370"/>
      <c r="F18" s="228" t="s">
        <v>1816</v>
      </c>
      <c r="G18" s="367"/>
      <c r="H18" s="226" t="s">
        <v>1815</v>
      </c>
      <c r="I18" s="227"/>
      <c r="J18" s="227"/>
      <c r="K18" s="370"/>
      <c r="L18" s="228" t="s">
        <v>1816</v>
      </c>
    </row>
    <row r="19" spans="1:12" ht="15.75" thickBot="1">
      <c r="A19" s="368"/>
      <c r="B19" s="226" t="s">
        <v>1817</v>
      </c>
      <c r="C19" s="227"/>
      <c r="D19" s="227">
        <v>93330</v>
      </c>
      <c r="E19" s="371"/>
      <c r="F19" s="228" t="s">
        <v>1818</v>
      </c>
      <c r="G19" s="368"/>
      <c r="H19" s="226" t="s">
        <v>1817</v>
      </c>
      <c r="I19" s="227"/>
      <c r="J19" s="227">
        <v>255010</v>
      </c>
      <c r="K19" s="371"/>
      <c r="L19" s="228" t="s">
        <v>1818</v>
      </c>
    </row>
    <row r="20" spans="1:12" ht="15.75" thickBot="1">
      <c r="A20" s="366" t="s">
        <v>2110</v>
      </c>
      <c r="B20" s="226" t="s">
        <v>1803</v>
      </c>
      <c r="C20" s="227"/>
      <c r="D20" s="227"/>
      <c r="E20" s="369" t="s">
        <v>2110</v>
      </c>
      <c r="F20" s="228" t="s">
        <v>1803</v>
      </c>
      <c r="G20" s="366" t="s">
        <v>2110</v>
      </c>
      <c r="H20" s="226" t="s">
        <v>1803</v>
      </c>
      <c r="I20" s="227"/>
      <c r="J20" s="227"/>
      <c r="K20" s="369" t="s">
        <v>2110</v>
      </c>
      <c r="L20" s="228" t="s">
        <v>1803</v>
      </c>
    </row>
    <row r="21" spans="1:12" ht="15.75" thickBot="1">
      <c r="A21" s="367"/>
      <c r="B21" s="226" t="s">
        <v>1805</v>
      </c>
      <c r="C21" s="227"/>
      <c r="D21" s="227"/>
      <c r="E21" s="370"/>
      <c r="F21" s="228" t="s">
        <v>1805</v>
      </c>
      <c r="G21" s="367"/>
      <c r="H21" s="226" t="s">
        <v>1805</v>
      </c>
      <c r="I21" s="227"/>
      <c r="J21" s="227"/>
      <c r="K21" s="370"/>
      <c r="L21" s="228" t="s">
        <v>1805</v>
      </c>
    </row>
    <row r="22" spans="1:12" ht="15.75" thickBot="1">
      <c r="A22" s="367"/>
      <c r="B22" s="226" t="s">
        <v>1806</v>
      </c>
      <c r="C22" s="227"/>
      <c r="D22" s="227"/>
      <c r="E22" s="370"/>
      <c r="F22" s="228" t="s">
        <v>1806</v>
      </c>
      <c r="G22" s="367"/>
      <c r="H22" s="226" t="s">
        <v>1806</v>
      </c>
      <c r="I22" s="227"/>
      <c r="J22" s="227"/>
      <c r="K22" s="370"/>
      <c r="L22" s="228" t="s">
        <v>1806</v>
      </c>
    </row>
    <row r="23" spans="1:12" ht="15.75" thickBot="1">
      <c r="A23" s="367"/>
      <c r="B23" s="226" t="s">
        <v>1807</v>
      </c>
      <c r="C23" s="227"/>
      <c r="D23" s="227"/>
      <c r="E23" s="370"/>
      <c r="F23" s="228" t="s">
        <v>1807</v>
      </c>
      <c r="G23" s="367"/>
      <c r="H23" s="226" t="s">
        <v>1807</v>
      </c>
      <c r="I23" s="227"/>
      <c r="J23" s="227"/>
      <c r="K23" s="370"/>
      <c r="L23" s="228" t="s">
        <v>1807</v>
      </c>
    </row>
    <row r="24" spans="1:12" ht="15.75" thickBot="1">
      <c r="A24" s="367"/>
      <c r="B24" s="226" t="s">
        <v>1808</v>
      </c>
      <c r="C24" s="227"/>
      <c r="D24" s="227"/>
      <c r="E24" s="370"/>
      <c r="F24" s="228" t="s">
        <v>1808</v>
      </c>
      <c r="G24" s="367"/>
      <c r="H24" s="226" t="s">
        <v>1808</v>
      </c>
      <c r="I24" s="227"/>
      <c r="J24" s="227"/>
      <c r="K24" s="370"/>
      <c r="L24" s="228" t="s">
        <v>1808</v>
      </c>
    </row>
    <row r="25" spans="1:12" ht="15.75" thickBot="1">
      <c r="A25" s="367"/>
      <c r="B25" s="226" t="s">
        <v>1809</v>
      </c>
      <c r="C25" s="227"/>
      <c r="D25" s="227"/>
      <c r="E25" s="370"/>
      <c r="F25" s="228" t="s">
        <v>1809</v>
      </c>
      <c r="G25" s="367"/>
      <c r="H25" s="226" t="s">
        <v>1809</v>
      </c>
      <c r="I25" s="227"/>
      <c r="J25" s="227"/>
      <c r="K25" s="370"/>
      <c r="L25" s="228" t="s">
        <v>1809</v>
      </c>
    </row>
    <row r="26" spans="1:12" ht="15.75" thickBot="1">
      <c r="A26" s="367"/>
      <c r="B26" s="226" t="s">
        <v>1810</v>
      </c>
      <c r="C26" s="227"/>
      <c r="D26" s="227"/>
      <c r="E26" s="370"/>
      <c r="F26" s="228" t="s">
        <v>1810</v>
      </c>
      <c r="G26" s="367"/>
      <c r="H26" s="226" t="s">
        <v>1810</v>
      </c>
      <c r="I26" s="227"/>
      <c r="J26" s="227"/>
      <c r="K26" s="370"/>
      <c r="L26" s="228" t="s">
        <v>1810</v>
      </c>
    </row>
    <row r="27" spans="1:12" ht="15.75" thickBot="1">
      <c r="A27" s="367"/>
      <c r="B27" s="226" t="s">
        <v>1811</v>
      </c>
      <c r="C27" s="227"/>
      <c r="D27" s="227"/>
      <c r="E27" s="370"/>
      <c r="F27" s="228" t="s">
        <v>1811</v>
      </c>
      <c r="G27" s="367"/>
      <c r="H27" s="226" t="s">
        <v>1811</v>
      </c>
      <c r="I27" s="227"/>
      <c r="J27" s="227"/>
      <c r="K27" s="370"/>
      <c r="L27" s="228" t="s">
        <v>1811</v>
      </c>
    </row>
    <row r="28" spans="1:12" ht="15.75" thickBot="1">
      <c r="A28" s="367"/>
      <c r="B28" s="226" t="s">
        <v>1812</v>
      </c>
      <c r="C28" s="227"/>
      <c r="D28" s="227"/>
      <c r="E28" s="370"/>
      <c r="F28" s="228" t="s">
        <v>1812</v>
      </c>
      <c r="G28" s="367"/>
      <c r="H28" s="226" t="s">
        <v>1812</v>
      </c>
      <c r="I28" s="227"/>
      <c r="J28" s="227"/>
      <c r="K28" s="370"/>
      <c r="L28" s="228" t="s">
        <v>1812</v>
      </c>
    </row>
    <row r="29" spans="1:12" ht="15.75" thickBot="1">
      <c r="A29" s="367"/>
      <c r="B29" s="226" t="s">
        <v>1813</v>
      </c>
      <c r="C29" s="227"/>
      <c r="D29" s="227"/>
      <c r="E29" s="370"/>
      <c r="F29" s="228" t="s">
        <v>1813</v>
      </c>
      <c r="G29" s="367"/>
      <c r="H29" s="226" t="s">
        <v>1813</v>
      </c>
      <c r="I29" s="227"/>
      <c r="J29" s="227"/>
      <c r="K29" s="370"/>
      <c r="L29" s="228" t="s">
        <v>1813</v>
      </c>
    </row>
    <row r="30" spans="1:12" ht="15.75" thickBot="1">
      <c r="A30" s="367"/>
      <c r="B30" s="226" t="s">
        <v>1814</v>
      </c>
      <c r="C30" s="227"/>
      <c r="D30" s="227"/>
      <c r="E30" s="370"/>
      <c r="F30" s="228" t="s">
        <v>1814</v>
      </c>
      <c r="G30" s="367"/>
      <c r="H30" s="226" t="s">
        <v>1814</v>
      </c>
      <c r="I30" s="227"/>
      <c r="J30" s="227"/>
      <c r="K30" s="370"/>
      <c r="L30" s="228" t="s">
        <v>1814</v>
      </c>
    </row>
    <row r="31" spans="1:12" ht="26.25" thickBot="1">
      <c r="A31" s="367"/>
      <c r="B31" s="226" t="s">
        <v>1815</v>
      </c>
      <c r="C31" s="227"/>
      <c r="D31" s="227"/>
      <c r="E31" s="370"/>
      <c r="F31" s="228" t="s">
        <v>1816</v>
      </c>
      <c r="G31" s="367"/>
      <c r="H31" s="226" t="s">
        <v>1815</v>
      </c>
      <c r="I31" s="227"/>
      <c r="J31" s="227"/>
      <c r="K31" s="370"/>
      <c r="L31" s="228" t="s">
        <v>1816</v>
      </c>
    </row>
    <row r="32" spans="1:12" ht="15.75" thickBot="1">
      <c r="A32" s="368"/>
      <c r="B32" s="226" t="s">
        <v>1817</v>
      </c>
      <c r="C32" s="227"/>
      <c r="D32" s="227"/>
      <c r="E32" s="371"/>
      <c r="F32" s="228" t="s">
        <v>1818</v>
      </c>
      <c r="G32" s="368"/>
      <c r="H32" s="226" t="s">
        <v>1817</v>
      </c>
      <c r="I32" s="227"/>
      <c r="J32" s="227"/>
      <c r="K32" s="371"/>
      <c r="L32" s="228" t="s">
        <v>1818</v>
      </c>
    </row>
    <row r="33" spans="1:12" ht="15.75" thickBot="1">
      <c r="A33" s="366" t="s">
        <v>2111</v>
      </c>
      <c r="B33" s="226" t="s">
        <v>1803</v>
      </c>
      <c r="C33" s="227"/>
      <c r="D33" s="227"/>
      <c r="E33" s="369" t="s">
        <v>2111</v>
      </c>
      <c r="F33" s="228" t="s">
        <v>1803</v>
      </c>
      <c r="G33" s="366" t="s">
        <v>2111</v>
      </c>
      <c r="H33" s="226" t="s">
        <v>1803</v>
      </c>
      <c r="I33" s="227"/>
      <c r="J33" s="227"/>
      <c r="K33" s="369" t="s">
        <v>2111</v>
      </c>
      <c r="L33" s="228" t="s">
        <v>1803</v>
      </c>
    </row>
    <row r="34" spans="1:12" ht="15.75" thickBot="1">
      <c r="A34" s="367"/>
      <c r="B34" s="226" t="s">
        <v>1805</v>
      </c>
      <c r="C34" s="227"/>
      <c r="D34" s="227"/>
      <c r="E34" s="370"/>
      <c r="F34" s="228" t="s">
        <v>1805</v>
      </c>
      <c r="G34" s="367"/>
      <c r="H34" s="226" t="s">
        <v>1805</v>
      </c>
      <c r="I34" s="227"/>
      <c r="J34" s="227"/>
      <c r="K34" s="370"/>
      <c r="L34" s="228" t="s">
        <v>1805</v>
      </c>
    </row>
    <row r="35" spans="1:12" ht="15.75" thickBot="1">
      <c r="A35" s="367"/>
      <c r="B35" s="226" t="s">
        <v>1806</v>
      </c>
      <c r="C35" s="227"/>
      <c r="D35" s="227"/>
      <c r="E35" s="370"/>
      <c r="F35" s="228" t="s">
        <v>1806</v>
      </c>
      <c r="G35" s="367"/>
      <c r="H35" s="226" t="s">
        <v>1806</v>
      </c>
      <c r="I35" s="227"/>
      <c r="J35" s="227"/>
      <c r="K35" s="370"/>
      <c r="L35" s="228" t="s">
        <v>1806</v>
      </c>
    </row>
    <row r="36" spans="1:12" ht="15.75" thickBot="1">
      <c r="A36" s="367"/>
      <c r="B36" s="226" t="s">
        <v>1807</v>
      </c>
      <c r="C36" s="227"/>
      <c r="D36" s="227"/>
      <c r="E36" s="370"/>
      <c r="F36" s="228" t="s">
        <v>1807</v>
      </c>
      <c r="G36" s="367"/>
      <c r="H36" s="226" t="s">
        <v>1807</v>
      </c>
      <c r="I36" s="227"/>
      <c r="J36" s="227"/>
      <c r="K36" s="370"/>
      <c r="L36" s="228" t="s">
        <v>1807</v>
      </c>
    </row>
    <row r="37" spans="1:12" ht="15.75" thickBot="1">
      <c r="A37" s="367"/>
      <c r="B37" s="226" t="s">
        <v>1808</v>
      </c>
      <c r="C37" s="227"/>
      <c r="D37" s="227"/>
      <c r="E37" s="370"/>
      <c r="F37" s="228" t="s">
        <v>1808</v>
      </c>
      <c r="G37" s="367"/>
      <c r="H37" s="226" t="s">
        <v>1808</v>
      </c>
      <c r="I37" s="227"/>
      <c r="J37" s="227"/>
      <c r="K37" s="370"/>
      <c r="L37" s="228" t="s">
        <v>1808</v>
      </c>
    </row>
    <row r="38" spans="1:12" ht="15.75" thickBot="1">
      <c r="A38" s="367"/>
      <c r="B38" s="226" t="s">
        <v>1809</v>
      </c>
      <c r="C38" s="227"/>
      <c r="D38" s="227"/>
      <c r="E38" s="370"/>
      <c r="F38" s="228" t="s">
        <v>1809</v>
      </c>
      <c r="G38" s="367"/>
      <c r="H38" s="226" t="s">
        <v>1809</v>
      </c>
      <c r="I38" s="227"/>
      <c r="J38" s="227"/>
      <c r="K38" s="370"/>
      <c r="L38" s="228" t="s">
        <v>1809</v>
      </c>
    </row>
    <row r="39" spans="1:12" ht="15.75" thickBot="1">
      <c r="A39" s="367"/>
      <c r="B39" s="226" t="s">
        <v>1810</v>
      </c>
      <c r="C39" s="227"/>
      <c r="D39" s="227"/>
      <c r="E39" s="370"/>
      <c r="F39" s="228" t="s">
        <v>1810</v>
      </c>
      <c r="G39" s="367"/>
      <c r="H39" s="226" t="s">
        <v>1810</v>
      </c>
      <c r="I39" s="227"/>
      <c r="J39" s="227"/>
      <c r="K39" s="370"/>
      <c r="L39" s="228" t="s">
        <v>1810</v>
      </c>
    </row>
    <row r="40" spans="1:12" ht="15.75" thickBot="1">
      <c r="A40" s="367"/>
      <c r="B40" s="226" t="s">
        <v>1811</v>
      </c>
      <c r="C40" s="227"/>
      <c r="D40" s="227"/>
      <c r="E40" s="370"/>
      <c r="F40" s="228" t="s">
        <v>1811</v>
      </c>
      <c r="G40" s="367"/>
      <c r="H40" s="226" t="s">
        <v>1811</v>
      </c>
      <c r="I40" s="227"/>
      <c r="J40" s="227"/>
      <c r="K40" s="370"/>
      <c r="L40" s="228" t="s">
        <v>1811</v>
      </c>
    </row>
    <row r="41" spans="1:12" ht="15.75" thickBot="1">
      <c r="A41" s="367"/>
      <c r="B41" s="226" t="s">
        <v>1812</v>
      </c>
      <c r="C41" s="227"/>
      <c r="D41" s="227"/>
      <c r="E41" s="370"/>
      <c r="F41" s="228" t="s">
        <v>1812</v>
      </c>
      <c r="G41" s="367"/>
      <c r="H41" s="226" t="s">
        <v>1812</v>
      </c>
      <c r="I41" s="227"/>
      <c r="J41" s="227"/>
      <c r="K41" s="370"/>
      <c r="L41" s="228" t="s">
        <v>1812</v>
      </c>
    </row>
    <row r="42" spans="1:12" ht="15.75" thickBot="1">
      <c r="A42" s="367"/>
      <c r="B42" s="226" t="s">
        <v>1813</v>
      </c>
      <c r="C42" s="227"/>
      <c r="D42" s="227"/>
      <c r="E42" s="370"/>
      <c r="F42" s="228" t="s">
        <v>1813</v>
      </c>
      <c r="G42" s="367"/>
      <c r="H42" s="226" t="s">
        <v>1813</v>
      </c>
      <c r="I42" s="227"/>
      <c r="J42" s="227"/>
      <c r="K42" s="370"/>
      <c r="L42" s="228" t="s">
        <v>1813</v>
      </c>
    </row>
    <row r="43" spans="1:12" ht="15.75" thickBot="1">
      <c r="A43" s="367"/>
      <c r="B43" s="226" t="s">
        <v>1814</v>
      </c>
      <c r="C43" s="227"/>
      <c r="D43" s="227"/>
      <c r="E43" s="370"/>
      <c r="F43" s="228" t="s">
        <v>1814</v>
      </c>
      <c r="G43" s="367"/>
      <c r="H43" s="226" t="s">
        <v>1814</v>
      </c>
      <c r="I43" s="227"/>
      <c r="J43" s="227"/>
      <c r="K43" s="370"/>
      <c r="L43" s="228" t="s">
        <v>1814</v>
      </c>
    </row>
    <row r="44" spans="1:12" ht="26.25" thickBot="1">
      <c r="A44" s="367"/>
      <c r="B44" s="226" t="s">
        <v>1815</v>
      </c>
      <c r="C44" s="227"/>
      <c r="D44" s="227"/>
      <c r="E44" s="370"/>
      <c r="F44" s="228" t="s">
        <v>1816</v>
      </c>
      <c r="G44" s="367"/>
      <c r="H44" s="226" t="s">
        <v>1815</v>
      </c>
      <c r="I44" s="227"/>
      <c r="J44" s="227"/>
      <c r="K44" s="370"/>
      <c r="L44" s="228" t="s">
        <v>1816</v>
      </c>
    </row>
    <row r="45" spans="1:12" ht="15.75" thickBot="1">
      <c r="A45" s="368"/>
      <c r="B45" s="226" t="s">
        <v>1817</v>
      </c>
      <c r="C45" s="227"/>
      <c r="D45" s="227"/>
      <c r="E45" s="371"/>
      <c r="F45" s="228" t="s">
        <v>1818</v>
      </c>
      <c r="G45" s="368"/>
      <c r="H45" s="226" t="s">
        <v>1817</v>
      </c>
      <c r="I45" s="227"/>
      <c r="J45" s="227"/>
      <c r="K45" s="371"/>
      <c r="L45" s="228" t="s">
        <v>1818</v>
      </c>
    </row>
    <row r="46" spans="1:12" ht="15.75" thickBot="1">
      <c r="A46" s="366" t="s">
        <v>2112</v>
      </c>
      <c r="B46" s="226" t="s">
        <v>1803</v>
      </c>
      <c r="C46" s="227"/>
      <c r="D46" s="227"/>
      <c r="E46" s="369" t="s">
        <v>2112</v>
      </c>
      <c r="F46" s="228" t="s">
        <v>1803</v>
      </c>
      <c r="G46" s="366" t="s">
        <v>2112</v>
      </c>
      <c r="H46" s="226" t="s">
        <v>1803</v>
      </c>
      <c r="I46" s="227"/>
      <c r="J46" s="227"/>
      <c r="K46" s="369" t="s">
        <v>2112</v>
      </c>
      <c r="L46" s="228" t="s">
        <v>1803</v>
      </c>
    </row>
    <row r="47" spans="1:12" ht="15.75" thickBot="1">
      <c r="A47" s="367"/>
      <c r="B47" s="226" t="s">
        <v>1805</v>
      </c>
      <c r="C47" s="227"/>
      <c r="D47" s="227"/>
      <c r="E47" s="370"/>
      <c r="F47" s="228" t="s">
        <v>1805</v>
      </c>
      <c r="G47" s="367"/>
      <c r="H47" s="226" t="s">
        <v>1805</v>
      </c>
      <c r="I47" s="227"/>
      <c r="J47" s="227"/>
      <c r="K47" s="370"/>
      <c r="L47" s="228" t="s">
        <v>1805</v>
      </c>
    </row>
    <row r="48" spans="1:12" ht="15.75" thickBot="1">
      <c r="A48" s="367"/>
      <c r="B48" s="226" t="s">
        <v>1806</v>
      </c>
      <c r="C48" s="227"/>
      <c r="D48" s="227"/>
      <c r="E48" s="370"/>
      <c r="F48" s="228" t="s">
        <v>1806</v>
      </c>
      <c r="G48" s="367"/>
      <c r="H48" s="226" t="s">
        <v>1806</v>
      </c>
      <c r="I48" s="227"/>
      <c r="J48" s="227"/>
      <c r="K48" s="370"/>
      <c r="L48" s="228" t="s">
        <v>1806</v>
      </c>
    </row>
    <row r="49" spans="1:12" ht="15.75" thickBot="1">
      <c r="A49" s="367"/>
      <c r="B49" s="226" t="s">
        <v>1807</v>
      </c>
      <c r="C49" s="227"/>
      <c r="D49" s="227"/>
      <c r="E49" s="370"/>
      <c r="F49" s="228" t="s">
        <v>1807</v>
      </c>
      <c r="G49" s="367"/>
      <c r="H49" s="226" t="s">
        <v>1807</v>
      </c>
      <c r="I49" s="227"/>
      <c r="J49" s="227"/>
      <c r="K49" s="370"/>
      <c r="L49" s="228" t="s">
        <v>1807</v>
      </c>
    </row>
    <row r="50" spans="1:12" ht="15.75" thickBot="1">
      <c r="A50" s="367"/>
      <c r="B50" s="226" t="s">
        <v>1808</v>
      </c>
      <c r="C50" s="227"/>
      <c r="D50" s="227"/>
      <c r="E50" s="370"/>
      <c r="F50" s="228" t="s">
        <v>1808</v>
      </c>
      <c r="G50" s="367"/>
      <c r="H50" s="226" t="s">
        <v>1808</v>
      </c>
      <c r="I50" s="227"/>
      <c r="J50" s="227"/>
      <c r="K50" s="370"/>
      <c r="L50" s="228" t="s">
        <v>1808</v>
      </c>
    </row>
    <row r="51" spans="1:12" ht="15.75" thickBot="1">
      <c r="A51" s="367"/>
      <c r="B51" s="226" t="s">
        <v>1809</v>
      </c>
      <c r="C51" s="227"/>
      <c r="D51" s="227"/>
      <c r="E51" s="370"/>
      <c r="F51" s="228" t="s">
        <v>1809</v>
      </c>
      <c r="G51" s="367"/>
      <c r="H51" s="226" t="s">
        <v>1809</v>
      </c>
      <c r="I51" s="227"/>
      <c r="J51" s="227"/>
      <c r="K51" s="370"/>
      <c r="L51" s="228" t="s">
        <v>1809</v>
      </c>
    </row>
    <row r="52" spans="1:12" ht="15.75" thickBot="1">
      <c r="A52" s="367"/>
      <c r="B52" s="226" t="s">
        <v>1810</v>
      </c>
      <c r="C52" s="227"/>
      <c r="D52" s="227"/>
      <c r="E52" s="370"/>
      <c r="F52" s="228" t="s">
        <v>1810</v>
      </c>
      <c r="G52" s="367"/>
      <c r="H52" s="226" t="s">
        <v>1810</v>
      </c>
      <c r="I52" s="227"/>
      <c r="J52" s="227"/>
      <c r="K52" s="370"/>
      <c r="L52" s="228" t="s">
        <v>1810</v>
      </c>
    </row>
    <row r="53" spans="1:12" ht="15.75" thickBot="1">
      <c r="A53" s="367"/>
      <c r="B53" s="226" t="s">
        <v>1811</v>
      </c>
      <c r="C53" s="227"/>
      <c r="D53" s="227"/>
      <c r="E53" s="370"/>
      <c r="F53" s="228" t="s">
        <v>1811</v>
      </c>
      <c r="G53" s="367"/>
      <c r="H53" s="226" t="s">
        <v>1811</v>
      </c>
      <c r="I53" s="227"/>
      <c r="J53" s="227"/>
      <c r="K53" s="370"/>
      <c r="L53" s="228" t="s">
        <v>1811</v>
      </c>
    </row>
    <row r="54" spans="1:12" ht="15.75" thickBot="1">
      <c r="A54" s="367"/>
      <c r="B54" s="226" t="s">
        <v>1812</v>
      </c>
      <c r="C54" s="227"/>
      <c r="D54" s="227"/>
      <c r="E54" s="370"/>
      <c r="F54" s="228" t="s">
        <v>1812</v>
      </c>
      <c r="G54" s="367"/>
      <c r="H54" s="226" t="s">
        <v>1812</v>
      </c>
      <c r="I54" s="227"/>
      <c r="J54" s="227"/>
      <c r="K54" s="370"/>
      <c r="L54" s="228" t="s">
        <v>1812</v>
      </c>
    </row>
    <row r="55" spans="1:12" ht="15.75" thickBot="1">
      <c r="A55" s="367"/>
      <c r="B55" s="226" t="s">
        <v>1813</v>
      </c>
      <c r="C55" s="227"/>
      <c r="D55" s="227"/>
      <c r="E55" s="370"/>
      <c r="F55" s="228" t="s">
        <v>1813</v>
      </c>
      <c r="G55" s="367"/>
      <c r="H55" s="226" t="s">
        <v>1813</v>
      </c>
      <c r="I55" s="227"/>
      <c r="J55" s="227"/>
      <c r="K55" s="370"/>
      <c r="L55" s="228" t="s">
        <v>1813</v>
      </c>
    </row>
    <row r="56" spans="1:12" ht="15.75" thickBot="1">
      <c r="A56" s="367"/>
      <c r="B56" s="226" t="s">
        <v>1814</v>
      </c>
      <c r="C56" s="227"/>
      <c r="D56" s="227"/>
      <c r="E56" s="370"/>
      <c r="F56" s="228" t="s">
        <v>1814</v>
      </c>
      <c r="G56" s="367"/>
      <c r="H56" s="226" t="s">
        <v>1814</v>
      </c>
      <c r="I56" s="227"/>
      <c r="J56" s="227"/>
      <c r="K56" s="370"/>
      <c r="L56" s="228" t="s">
        <v>1814</v>
      </c>
    </row>
    <row r="57" spans="1:12" ht="26.25" thickBot="1">
      <c r="A57" s="367"/>
      <c r="B57" s="226" t="s">
        <v>1815</v>
      </c>
      <c r="C57" s="227"/>
      <c r="D57" s="227"/>
      <c r="E57" s="370"/>
      <c r="F57" s="228" t="s">
        <v>1816</v>
      </c>
      <c r="G57" s="367"/>
      <c r="H57" s="226" t="s">
        <v>1815</v>
      </c>
      <c r="I57" s="227"/>
      <c r="J57" s="227"/>
      <c r="K57" s="370"/>
      <c r="L57" s="228" t="s">
        <v>1816</v>
      </c>
    </row>
    <row r="58" spans="1:12" ht="15.75" thickBot="1">
      <c r="A58" s="368"/>
      <c r="B58" s="226" t="s">
        <v>1817</v>
      </c>
      <c r="C58" s="227"/>
      <c r="D58" s="227"/>
      <c r="E58" s="371"/>
      <c r="F58" s="228" t="s">
        <v>1818</v>
      </c>
      <c r="G58" s="368"/>
      <c r="H58" s="226" t="s">
        <v>1817</v>
      </c>
      <c r="I58" s="227"/>
      <c r="J58" s="227"/>
      <c r="K58" s="371"/>
      <c r="L58" s="228" t="s">
        <v>1818</v>
      </c>
    </row>
    <row r="59" spans="1:12" ht="15.75" thickBot="1">
      <c r="A59" s="366" t="s">
        <v>2113</v>
      </c>
      <c r="B59" s="226" t="s">
        <v>1803</v>
      </c>
      <c r="C59" s="227"/>
      <c r="D59" s="227"/>
      <c r="E59" s="369" t="s">
        <v>2113</v>
      </c>
      <c r="F59" s="228" t="s">
        <v>1803</v>
      </c>
      <c r="G59" s="366" t="s">
        <v>2113</v>
      </c>
      <c r="H59" s="226" t="s">
        <v>1803</v>
      </c>
      <c r="I59" s="227"/>
      <c r="J59" s="227"/>
      <c r="K59" s="369" t="s">
        <v>2113</v>
      </c>
      <c r="L59" s="228" t="s">
        <v>1803</v>
      </c>
    </row>
    <row r="60" spans="1:12" ht="15.75" thickBot="1">
      <c r="A60" s="367"/>
      <c r="B60" s="226" t="s">
        <v>1805</v>
      </c>
      <c r="C60" s="227"/>
      <c r="D60" s="227"/>
      <c r="E60" s="370"/>
      <c r="F60" s="228" t="s">
        <v>1805</v>
      </c>
      <c r="G60" s="367"/>
      <c r="H60" s="226" t="s">
        <v>1805</v>
      </c>
      <c r="I60" s="227"/>
      <c r="J60" s="227"/>
      <c r="K60" s="370"/>
      <c r="L60" s="228" t="s">
        <v>1805</v>
      </c>
    </row>
    <row r="61" spans="1:12" ht="15.75" thickBot="1">
      <c r="A61" s="367"/>
      <c r="B61" s="226" t="s">
        <v>1806</v>
      </c>
      <c r="C61" s="227"/>
      <c r="D61" s="227"/>
      <c r="E61" s="370"/>
      <c r="F61" s="228" t="s">
        <v>1806</v>
      </c>
      <c r="G61" s="367"/>
      <c r="H61" s="226" t="s">
        <v>1806</v>
      </c>
      <c r="I61" s="227"/>
      <c r="J61" s="227"/>
      <c r="K61" s="370"/>
      <c r="L61" s="228" t="s">
        <v>1806</v>
      </c>
    </row>
    <row r="62" spans="1:12" ht="15.75" thickBot="1">
      <c r="A62" s="367"/>
      <c r="B62" s="226" t="s">
        <v>1807</v>
      </c>
      <c r="C62" s="227"/>
      <c r="D62" s="227"/>
      <c r="E62" s="370"/>
      <c r="F62" s="228" t="s">
        <v>1807</v>
      </c>
      <c r="G62" s="367"/>
      <c r="H62" s="226" t="s">
        <v>1807</v>
      </c>
      <c r="I62" s="227"/>
      <c r="J62" s="227"/>
      <c r="K62" s="370"/>
      <c r="L62" s="228" t="s">
        <v>1807</v>
      </c>
    </row>
    <row r="63" spans="1:12" ht="15.75" thickBot="1">
      <c r="A63" s="367"/>
      <c r="B63" s="226" t="s">
        <v>1808</v>
      </c>
      <c r="C63" s="227"/>
      <c r="D63" s="227"/>
      <c r="E63" s="370"/>
      <c r="F63" s="228" t="s">
        <v>1808</v>
      </c>
      <c r="G63" s="367"/>
      <c r="H63" s="226" t="s">
        <v>1808</v>
      </c>
      <c r="I63" s="227"/>
      <c r="J63" s="227"/>
      <c r="K63" s="370"/>
      <c r="L63" s="228" t="s">
        <v>1808</v>
      </c>
    </row>
    <row r="64" spans="1:12" ht="15.75" thickBot="1">
      <c r="A64" s="367"/>
      <c r="B64" s="226" t="s">
        <v>1809</v>
      </c>
      <c r="C64" s="227"/>
      <c r="D64" s="227"/>
      <c r="E64" s="370"/>
      <c r="F64" s="228" t="s">
        <v>1809</v>
      </c>
      <c r="G64" s="367"/>
      <c r="H64" s="226" t="s">
        <v>1809</v>
      </c>
      <c r="I64" s="227"/>
      <c r="J64" s="227"/>
      <c r="K64" s="370"/>
      <c r="L64" s="228" t="s">
        <v>1809</v>
      </c>
    </row>
    <row r="65" spans="1:12" ht="15.75" thickBot="1">
      <c r="A65" s="367"/>
      <c r="B65" s="226" t="s">
        <v>1810</v>
      </c>
      <c r="C65" s="227"/>
      <c r="D65" s="227"/>
      <c r="E65" s="370"/>
      <c r="F65" s="228" t="s">
        <v>1810</v>
      </c>
      <c r="G65" s="367"/>
      <c r="H65" s="226" t="s">
        <v>1810</v>
      </c>
      <c r="I65" s="227"/>
      <c r="J65" s="227"/>
      <c r="K65" s="370"/>
      <c r="L65" s="228" t="s">
        <v>1810</v>
      </c>
    </row>
    <row r="66" spans="1:12" ht="15.75" thickBot="1">
      <c r="A66" s="367"/>
      <c r="B66" s="226" t="s">
        <v>1811</v>
      </c>
      <c r="C66" s="227"/>
      <c r="D66" s="227"/>
      <c r="E66" s="370"/>
      <c r="F66" s="228" t="s">
        <v>1811</v>
      </c>
      <c r="G66" s="367"/>
      <c r="H66" s="226" t="s">
        <v>1811</v>
      </c>
      <c r="I66" s="227"/>
      <c r="J66" s="227"/>
      <c r="K66" s="370"/>
      <c r="L66" s="228" t="s">
        <v>1811</v>
      </c>
    </row>
    <row r="67" spans="1:12" ht="15.75" thickBot="1">
      <c r="A67" s="367"/>
      <c r="B67" s="226" t="s">
        <v>1812</v>
      </c>
      <c r="C67" s="227"/>
      <c r="D67" s="227"/>
      <c r="E67" s="370"/>
      <c r="F67" s="228" t="s">
        <v>1812</v>
      </c>
      <c r="G67" s="367"/>
      <c r="H67" s="226" t="s">
        <v>1812</v>
      </c>
      <c r="I67" s="227"/>
      <c r="J67" s="227"/>
      <c r="K67" s="370"/>
      <c r="L67" s="228" t="s">
        <v>1812</v>
      </c>
    </row>
    <row r="68" spans="1:12" ht="15.75" thickBot="1">
      <c r="A68" s="367"/>
      <c r="B68" s="226" t="s">
        <v>1813</v>
      </c>
      <c r="C68" s="227"/>
      <c r="D68" s="227"/>
      <c r="E68" s="370"/>
      <c r="F68" s="228" t="s">
        <v>1813</v>
      </c>
      <c r="G68" s="367"/>
      <c r="H68" s="226" t="s">
        <v>1813</v>
      </c>
      <c r="I68" s="227"/>
      <c r="J68" s="227"/>
      <c r="K68" s="370"/>
      <c r="L68" s="228" t="s">
        <v>1813</v>
      </c>
    </row>
    <row r="69" spans="1:12" ht="15.75" thickBot="1">
      <c r="A69" s="367"/>
      <c r="B69" s="226" t="s">
        <v>1814</v>
      </c>
      <c r="C69" s="227"/>
      <c r="D69" s="227"/>
      <c r="E69" s="370"/>
      <c r="F69" s="228" t="s">
        <v>1814</v>
      </c>
      <c r="G69" s="367"/>
      <c r="H69" s="226" t="s">
        <v>1814</v>
      </c>
      <c r="I69" s="227"/>
      <c r="J69" s="227"/>
      <c r="K69" s="370"/>
      <c r="L69" s="228" t="s">
        <v>1814</v>
      </c>
    </row>
    <row r="70" spans="1:12" ht="26.25" thickBot="1">
      <c r="A70" s="367"/>
      <c r="B70" s="226" t="s">
        <v>1815</v>
      </c>
      <c r="C70" s="227"/>
      <c r="D70" s="227"/>
      <c r="E70" s="370"/>
      <c r="F70" s="228" t="s">
        <v>1816</v>
      </c>
      <c r="G70" s="367"/>
      <c r="H70" s="226" t="s">
        <v>1815</v>
      </c>
      <c r="I70" s="227"/>
      <c r="J70" s="227"/>
      <c r="K70" s="370"/>
      <c r="L70" s="228" t="s">
        <v>1816</v>
      </c>
    </row>
    <row r="71" spans="1:12" ht="15.75" thickBot="1">
      <c r="A71" s="368"/>
      <c r="B71" s="226" t="s">
        <v>1817</v>
      </c>
      <c r="C71" s="227"/>
      <c r="D71" s="227"/>
      <c r="E71" s="371"/>
      <c r="F71" s="228" t="s">
        <v>1818</v>
      </c>
      <c r="G71" s="368"/>
      <c r="H71" s="226" t="s">
        <v>1817</v>
      </c>
      <c r="I71" s="227"/>
      <c r="J71" s="227"/>
      <c r="K71" s="371"/>
      <c r="L71" s="228" t="s">
        <v>1818</v>
      </c>
    </row>
    <row r="72" spans="1:12" ht="15.75" thickBot="1">
      <c r="A72" s="366" t="s">
        <v>2114</v>
      </c>
      <c r="B72" s="226" t="s">
        <v>1803</v>
      </c>
      <c r="C72" s="227"/>
      <c r="D72" s="227"/>
      <c r="E72" s="369" t="s">
        <v>2114</v>
      </c>
      <c r="F72" s="228" t="s">
        <v>1803</v>
      </c>
      <c r="G72" s="366" t="s">
        <v>2114</v>
      </c>
      <c r="H72" s="226" t="s">
        <v>1803</v>
      </c>
      <c r="I72" s="227"/>
      <c r="J72" s="227"/>
      <c r="K72" s="369" t="s">
        <v>2114</v>
      </c>
      <c r="L72" s="228" t="s">
        <v>1803</v>
      </c>
    </row>
    <row r="73" spans="1:12" ht="15.75" thickBot="1">
      <c r="A73" s="367"/>
      <c r="B73" s="226" t="s">
        <v>1805</v>
      </c>
      <c r="C73" s="227"/>
      <c r="D73" s="227"/>
      <c r="E73" s="370"/>
      <c r="F73" s="228" t="s">
        <v>1805</v>
      </c>
      <c r="G73" s="367"/>
      <c r="H73" s="226" t="s">
        <v>1805</v>
      </c>
      <c r="I73" s="227"/>
      <c r="J73" s="227"/>
      <c r="K73" s="370"/>
      <c r="L73" s="228" t="s">
        <v>1805</v>
      </c>
    </row>
    <row r="74" spans="1:12" ht="15.75" thickBot="1">
      <c r="A74" s="367"/>
      <c r="B74" s="226" t="s">
        <v>1806</v>
      </c>
      <c r="C74" s="227"/>
      <c r="D74" s="227"/>
      <c r="E74" s="370"/>
      <c r="F74" s="228" t="s">
        <v>1806</v>
      </c>
      <c r="G74" s="367"/>
      <c r="H74" s="226" t="s">
        <v>1806</v>
      </c>
      <c r="I74" s="227"/>
      <c r="J74" s="227"/>
      <c r="K74" s="370"/>
      <c r="L74" s="228" t="s">
        <v>1806</v>
      </c>
    </row>
    <row r="75" spans="1:12" ht="15.75" thickBot="1">
      <c r="A75" s="367"/>
      <c r="B75" s="226" t="s">
        <v>1807</v>
      </c>
      <c r="C75" s="227"/>
      <c r="D75" s="227"/>
      <c r="E75" s="370"/>
      <c r="F75" s="228" t="s">
        <v>1807</v>
      </c>
      <c r="G75" s="367"/>
      <c r="H75" s="226" t="s">
        <v>1807</v>
      </c>
      <c r="I75" s="227"/>
      <c r="J75" s="227"/>
      <c r="K75" s="370"/>
      <c r="L75" s="228" t="s">
        <v>1807</v>
      </c>
    </row>
    <row r="76" spans="1:12" ht="15.75" thickBot="1">
      <c r="A76" s="367"/>
      <c r="B76" s="226" t="s">
        <v>1808</v>
      </c>
      <c r="C76" s="227"/>
      <c r="D76" s="227"/>
      <c r="E76" s="370"/>
      <c r="F76" s="228" t="s">
        <v>1808</v>
      </c>
      <c r="G76" s="367"/>
      <c r="H76" s="226" t="s">
        <v>1808</v>
      </c>
      <c r="I76" s="227"/>
      <c r="J76" s="227"/>
      <c r="K76" s="370"/>
      <c r="L76" s="228" t="s">
        <v>1808</v>
      </c>
    </row>
    <row r="77" spans="1:12" ht="15.75" thickBot="1">
      <c r="A77" s="367"/>
      <c r="B77" s="226" t="s">
        <v>1809</v>
      </c>
      <c r="C77" s="227"/>
      <c r="D77" s="227"/>
      <c r="E77" s="370"/>
      <c r="F77" s="228" t="s">
        <v>1809</v>
      </c>
      <c r="G77" s="367"/>
      <c r="H77" s="226" t="s">
        <v>1809</v>
      </c>
      <c r="I77" s="227"/>
      <c r="J77" s="227"/>
      <c r="K77" s="370"/>
      <c r="L77" s="228" t="s">
        <v>1809</v>
      </c>
    </row>
    <row r="78" spans="1:12" ht="15.75" thickBot="1">
      <c r="A78" s="367"/>
      <c r="B78" s="226" t="s">
        <v>1810</v>
      </c>
      <c r="C78" s="227"/>
      <c r="D78" s="227"/>
      <c r="E78" s="370"/>
      <c r="F78" s="228" t="s">
        <v>1810</v>
      </c>
      <c r="G78" s="367"/>
      <c r="H78" s="226" t="s">
        <v>1810</v>
      </c>
      <c r="I78" s="227"/>
      <c r="J78" s="227"/>
      <c r="K78" s="370"/>
      <c r="L78" s="228" t="s">
        <v>1810</v>
      </c>
    </row>
    <row r="79" spans="1:12" ht="15.75" thickBot="1">
      <c r="A79" s="367"/>
      <c r="B79" s="226" t="s">
        <v>1811</v>
      </c>
      <c r="C79" s="227"/>
      <c r="D79" s="227"/>
      <c r="E79" s="370"/>
      <c r="F79" s="228" t="s">
        <v>1811</v>
      </c>
      <c r="G79" s="367"/>
      <c r="H79" s="226" t="s">
        <v>1811</v>
      </c>
      <c r="I79" s="227"/>
      <c r="J79" s="227"/>
      <c r="K79" s="370"/>
      <c r="L79" s="228" t="s">
        <v>1811</v>
      </c>
    </row>
    <row r="80" spans="1:12" ht="15.75" thickBot="1">
      <c r="A80" s="367"/>
      <c r="B80" s="226" t="s">
        <v>1812</v>
      </c>
      <c r="C80" s="227"/>
      <c r="D80" s="227"/>
      <c r="E80" s="370"/>
      <c r="F80" s="228" t="s">
        <v>1812</v>
      </c>
      <c r="G80" s="367"/>
      <c r="H80" s="226" t="s">
        <v>1812</v>
      </c>
      <c r="I80" s="227"/>
      <c r="J80" s="227"/>
      <c r="K80" s="370"/>
      <c r="L80" s="228" t="s">
        <v>1812</v>
      </c>
    </row>
    <row r="81" spans="1:12" ht="15.75" thickBot="1">
      <c r="A81" s="367"/>
      <c r="B81" s="226" t="s">
        <v>1813</v>
      </c>
      <c r="C81" s="227"/>
      <c r="D81" s="227"/>
      <c r="E81" s="370"/>
      <c r="F81" s="228" t="s">
        <v>1813</v>
      </c>
      <c r="G81" s="367"/>
      <c r="H81" s="226" t="s">
        <v>1813</v>
      </c>
      <c r="I81" s="227"/>
      <c r="J81" s="227"/>
      <c r="K81" s="370"/>
      <c r="L81" s="228" t="s">
        <v>1813</v>
      </c>
    </row>
    <row r="82" spans="1:12" ht="15.75" thickBot="1">
      <c r="A82" s="367"/>
      <c r="B82" s="226" t="s">
        <v>1814</v>
      </c>
      <c r="C82" s="227"/>
      <c r="D82" s="227"/>
      <c r="E82" s="370"/>
      <c r="F82" s="228" t="s">
        <v>1814</v>
      </c>
      <c r="G82" s="367"/>
      <c r="H82" s="226" t="s">
        <v>1814</v>
      </c>
      <c r="I82" s="227"/>
      <c r="J82" s="227"/>
      <c r="K82" s="370"/>
      <c r="L82" s="228" t="s">
        <v>1814</v>
      </c>
    </row>
    <row r="83" spans="1:12" ht="26.25" thickBot="1">
      <c r="A83" s="367"/>
      <c r="B83" s="226" t="s">
        <v>1815</v>
      </c>
      <c r="C83" s="227"/>
      <c r="D83" s="227"/>
      <c r="E83" s="370"/>
      <c r="F83" s="228" t="s">
        <v>1816</v>
      </c>
      <c r="G83" s="367"/>
      <c r="H83" s="226" t="s">
        <v>1815</v>
      </c>
      <c r="I83" s="227"/>
      <c r="J83" s="227"/>
      <c r="K83" s="370"/>
      <c r="L83" s="228" t="s">
        <v>1816</v>
      </c>
    </row>
    <row r="84" spans="1:12" ht="15.75" thickBot="1">
      <c r="A84" s="368"/>
      <c r="B84" s="226" t="s">
        <v>1817</v>
      </c>
      <c r="C84" s="227"/>
      <c r="D84" s="227"/>
      <c r="E84" s="371"/>
      <c r="F84" s="228" t="s">
        <v>1818</v>
      </c>
      <c r="G84" s="368"/>
      <c r="H84" s="226" t="s">
        <v>1817</v>
      </c>
      <c r="I84" s="227"/>
      <c r="J84" s="227"/>
      <c r="K84" s="371"/>
      <c r="L84" s="228" t="s">
        <v>1818</v>
      </c>
    </row>
    <row r="85" spans="1:12" ht="15.75" thickBot="1">
      <c r="A85" s="366" t="s">
        <v>2115</v>
      </c>
      <c r="B85" s="226" t="s">
        <v>1803</v>
      </c>
      <c r="C85" s="227"/>
      <c r="D85" s="227"/>
      <c r="E85" s="369" t="s">
        <v>2115</v>
      </c>
      <c r="F85" s="228" t="s">
        <v>1803</v>
      </c>
      <c r="G85" s="366" t="s">
        <v>2115</v>
      </c>
      <c r="H85" s="226" t="s">
        <v>1803</v>
      </c>
      <c r="I85" s="227"/>
      <c r="J85" s="227"/>
      <c r="K85" s="369" t="s">
        <v>2115</v>
      </c>
      <c r="L85" s="228" t="s">
        <v>1803</v>
      </c>
    </row>
    <row r="86" spans="1:12" ht="15.75" thickBot="1">
      <c r="A86" s="367"/>
      <c r="B86" s="226" t="s">
        <v>1805</v>
      </c>
      <c r="C86" s="227"/>
      <c r="D86" s="227"/>
      <c r="E86" s="370"/>
      <c r="F86" s="228" t="s">
        <v>1805</v>
      </c>
      <c r="G86" s="367"/>
      <c r="H86" s="226" t="s">
        <v>1805</v>
      </c>
      <c r="I86" s="227"/>
      <c r="J86" s="227"/>
      <c r="K86" s="370"/>
      <c r="L86" s="228" t="s">
        <v>1805</v>
      </c>
    </row>
    <row r="87" spans="1:12" ht="15.75" thickBot="1">
      <c r="A87" s="367"/>
      <c r="B87" s="226" t="s">
        <v>1806</v>
      </c>
      <c r="C87" s="227"/>
      <c r="D87" s="227"/>
      <c r="E87" s="370"/>
      <c r="F87" s="228" t="s">
        <v>1806</v>
      </c>
      <c r="G87" s="367"/>
      <c r="H87" s="226" t="s">
        <v>1806</v>
      </c>
      <c r="I87" s="227"/>
      <c r="J87" s="227"/>
      <c r="K87" s="370"/>
      <c r="L87" s="228" t="s">
        <v>1806</v>
      </c>
    </row>
    <row r="88" spans="1:12" ht="15.75" thickBot="1">
      <c r="A88" s="367"/>
      <c r="B88" s="226" t="s">
        <v>1807</v>
      </c>
      <c r="C88" s="227"/>
      <c r="D88" s="227"/>
      <c r="E88" s="370"/>
      <c r="F88" s="228" t="s">
        <v>1807</v>
      </c>
      <c r="G88" s="367"/>
      <c r="H88" s="226" t="s">
        <v>1807</v>
      </c>
      <c r="I88" s="227"/>
      <c r="J88" s="227"/>
      <c r="K88" s="370"/>
      <c r="L88" s="228" t="s">
        <v>1807</v>
      </c>
    </row>
    <row r="89" spans="1:12" ht="15.75" thickBot="1">
      <c r="A89" s="367"/>
      <c r="B89" s="226" t="s">
        <v>1808</v>
      </c>
      <c r="C89" s="227"/>
      <c r="D89" s="227"/>
      <c r="E89" s="370"/>
      <c r="F89" s="228" t="s">
        <v>1808</v>
      </c>
      <c r="G89" s="367"/>
      <c r="H89" s="226" t="s">
        <v>1808</v>
      </c>
      <c r="I89" s="227"/>
      <c r="J89" s="227"/>
      <c r="K89" s="370"/>
      <c r="L89" s="228" t="s">
        <v>1808</v>
      </c>
    </row>
    <row r="90" spans="1:12" ht="15.75" thickBot="1">
      <c r="A90" s="367"/>
      <c r="B90" s="226" t="s">
        <v>1809</v>
      </c>
      <c r="C90" s="227"/>
      <c r="D90" s="227"/>
      <c r="E90" s="370"/>
      <c r="F90" s="228" t="s">
        <v>1809</v>
      </c>
      <c r="G90" s="367"/>
      <c r="H90" s="226" t="s">
        <v>1809</v>
      </c>
      <c r="I90" s="227"/>
      <c r="J90" s="227"/>
      <c r="K90" s="370"/>
      <c r="L90" s="228" t="s">
        <v>1809</v>
      </c>
    </row>
    <row r="91" spans="1:12" ht="15.75" thickBot="1">
      <c r="A91" s="367"/>
      <c r="B91" s="226" t="s">
        <v>1810</v>
      </c>
      <c r="C91" s="227"/>
      <c r="D91" s="227"/>
      <c r="E91" s="370"/>
      <c r="F91" s="228" t="s">
        <v>1810</v>
      </c>
      <c r="G91" s="367"/>
      <c r="H91" s="226" t="s">
        <v>1810</v>
      </c>
      <c r="I91" s="227"/>
      <c r="J91" s="227"/>
      <c r="K91" s="370"/>
      <c r="L91" s="228" t="s">
        <v>1810</v>
      </c>
    </row>
    <row r="92" spans="1:12" ht="15.75" thickBot="1">
      <c r="A92" s="367"/>
      <c r="B92" s="226" t="s">
        <v>1811</v>
      </c>
      <c r="C92" s="227"/>
      <c r="D92" s="227"/>
      <c r="E92" s="370"/>
      <c r="F92" s="228" t="s">
        <v>1811</v>
      </c>
      <c r="G92" s="367"/>
      <c r="H92" s="226" t="s">
        <v>1811</v>
      </c>
      <c r="I92" s="227"/>
      <c r="J92" s="227"/>
      <c r="K92" s="370"/>
      <c r="L92" s="228" t="s">
        <v>1811</v>
      </c>
    </row>
    <row r="93" spans="1:12" ht="15.75" thickBot="1">
      <c r="A93" s="367"/>
      <c r="B93" s="226" t="s">
        <v>1812</v>
      </c>
      <c r="C93" s="227"/>
      <c r="D93" s="227"/>
      <c r="E93" s="370"/>
      <c r="F93" s="228" t="s">
        <v>1812</v>
      </c>
      <c r="G93" s="367"/>
      <c r="H93" s="226" t="s">
        <v>1812</v>
      </c>
      <c r="I93" s="227"/>
      <c r="J93" s="227"/>
      <c r="K93" s="370"/>
      <c r="L93" s="228" t="s">
        <v>1812</v>
      </c>
    </row>
    <row r="94" spans="1:12" ht="15.75" thickBot="1">
      <c r="A94" s="367"/>
      <c r="B94" s="226" t="s">
        <v>1813</v>
      </c>
      <c r="C94" s="227"/>
      <c r="D94" s="227"/>
      <c r="E94" s="370"/>
      <c r="F94" s="228" t="s">
        <v>1813</v>
      </c>
      <c r="G94" s="367"/>
      <c r="H94" s="226" t="s">
        <v>1813</v>
      </c>
      <c r="I94" s="227"/>
      <c r="J94" s="227"/>
      <c r="K94" s="370"/>
      <c r="L94" s="228" t="s">
        <v>1813</v>
      </c>
    </row>
    <row r="95" spans="1:12" ht="15.75" thickBot="1">
      <c r="A95" s="367"/>
      <c r="B95" s="226" t="s">
        <v>1814</v>
      </c>
      <c r="C95" s="227"/>
      <c r="D95" s="227"/>
      <c r="E95" s="370"/>
      <c r="F95" s="228" t="s">
        <v>1814</v>
      </c>
      <c r="G95" s="367"/>
      <c r="H95" s="226" t="s">
        <v>1814</v>
      </c>
      <c r="I95" s="227"/>
      <c r="J95" s="227"/>
      <c r="K95" s="370"/>
      <c r="L95" s="228" t="s">
        <v>1814</v>
      </c>
    </row>
    <row r="96" spans="1:12" ht="26.25" thickBot="1">
      <c r="A96" s="367"/>
      <c r="B96" s="226" t="s">
        <v>1815</v>
      </c>
      <c r="C96" s="227"/>
      <c r="D96" s="227"/>
      <c r="E96" s="370"/>
      <c r="F96" s="228" t="s">
        <v>1816</v>
      </c>
      <c r="G96" s="367"/>
      <c r="H96" s="226" t="s">
        <v>1815</v>
      </c>
      <c r="I96" s="227"/>
      <c r="J96" s="227"/>
      <c r="K96" s="370"/>
      <c r="L96" s="228" t="s">
        <v>1816</v>
      </c>
    </row>
    <row r="97" spans="1:12" ht="15.75" thickBot="1">
      <c r="A97" s="368"/>
      <c r="B97" s="226" t="s">
        <v>1817</v>
      </c>
      <c r="C97" s="227"/>
      <c r="D97" s="227"/>
      <c r="E97" s="371"/>
      <c r="F97" s="228" t="s">
        <v>1818</v>
      </c>
      <c r="G97" s="368"/>
      <c r="H97" s="226" t="s">
        <v>1817</v>
      </c>
      <c r="I97" s="227"/>
      <c r="J97" s="227">
        <v>0</v>
      </c>
      <c r="K97" s="371"/>
      <c r="L97" s="228" t="s">
        <v>1818</v>
      </c>
    </row>
    <row r="98" spans="1:12" ht="15.75" thickBot="1">
      <c r="A98" s="366" t="s">
        <v>2116</v>
      </c>
      <c r="B98" s="226" t="s">
        <v>1803</v>
      </c>
      <c r="C98" s="227"/>
      <c r="D98" s="227"/>
      <c r="E98" s="369" t="s">
        <v>2116</v>
      </c>
      <c r="F98" s="228" t="s">
        <v>1803</v>
      </c>
      <c r="G98" s="366" t="s">
        <v>2116</v>
      </c>
      <c r="H98" s="226" t="s">
        <v>1803</v>
      </c>
      <c r="I98" s="227"/>
      <c r="J98" s="227"/>
      <c r="K98" s="369" t="s">
        <v>2116</v>
      </c>
      <c r="L98" s="228" t="s">
        <v>1803</v>
      </c>
    </row>
    <row r="99" spans="1:12" ht="15.75" thickBot="1">
      <c r="A99" s="367"/>
      <c r="B99" s="226" t="s">
        <v>1805</v>
      </c>
      <c r="C99" s="227"/>
      <c r="D99" s="227"/>
      <c r="E99" s="370"/>
      <c r="F99" s="228" t="s">
        <v>1805</v>
      </c>
      <c r="G99" s="367"/>
      <c r="H99" s="226" t="s">
        <v>1805</v>
      </c>
      <c r="I99" s="227"/>
      <c r="J99" s="227"/>
      <c r="K99" s="370"/>
      <c r="L99" s="228" t="s">
        <v>1805</v>
      </c>
    </row>
    <row r="100" spans="1:12" ht="15.75" thickBot="1">
      <c r="A100" s="367"/>
      <c r="B100" s="226" t="s">
        <v>1806</v>
      </c>
      <c r="C100" s="227"/>
      <c r="D100" s="227"/>
      <c r="E100" s="370"/>
      <c r="F100" s="228" t="s">
        <v>1806</v>
      </c>
      <c r="G100" s="367"/>
      <c r="H100" s="226" t="s">
        <v>1806</v>
      </c>
      <c r="I100" s="227"/>
      <c r="J100" s="227"/>
      <c r="K100" s="370"/>
      <c r="L100" s="228" t="s">
        <v>1806</v>
      </c>
    </row>
    <row r="101" spans="1:12" ht="15.75" thickBot="1">
      <c r="A101" s="367"/>
      <c r="B101" s="226" t="s">
        <v>1807</v>
      </c>
      <c r="C101" s="227"/>
      <c r="D101" s="227"/>
      <c r="E101" s="370"/>
      <c r="F101" s="228" t="s">
        <v>1807</v>
      </c>
      <c r="G101" s="367"/>
      <c r="H101" s="226" t="s">
        <v>1807</v>
      </c>
      <c r="I101" s="227"/>
      <c r="J101" s="227"/>
      <c r="K101" s="370"/>
      <c r="L101" s="228" t="s">
        <v>1807</v>
      </c>
    </row>
    <row r="102" spans="1:12" ht="15.75" thickBot="1">
      <c r="A102" s="367"/>
      <c r="B102" s="226" t="s">
        <v>1808</v>
      </c>
      <c r="C102" s="227"/>
      <c r="D102" s="227"/>
      <c r="E102" s="370"/>
      <c r="F102" s="228" t="s">
        <v>1808</v>
      </c>
      <c r="G102" s="367"/>
      <c r="H102" s="226" t="s">
        <v>1808</v>
      </c>
      <c r="I102" s="227"/>
      <c r="J102" s="227"/>
      <c r="K102" s="370"/>
      <c r="L102" s="228" t="s">
        <v>1808</v>
      </c>
    </row>
    <row r="103" spans="1:12" ht="15.75" thickBot="1">
      <c r="A103" s="367"/>
      <c r="B103" s="226" t="s">
        <v>1809</v>
      </c>
      <c r="C103" s="227"/>
      <c r="D103" s="227"/>
      <c r="E103" s="370"/>
      <c r="F103" s="228" t="s">
        <v>1809</v>
      </c>
      <c r="G103" s="367"/>
      <c r="H103" s="226" t="s">
        <v>1809</v>
      </c>
      <c r="I103" s="227"/>
      <c r="J103" s="227"/>
      <c r="K103" s="370"/>
      <c r="L103" s="228" t="s">
        <v>1809</v>
      </c>
    </row>
    <row r="104" spans="1:12" ht="15.75" thickBot="1">
      <c r="A104" s="367"/>
      <c r="B104" s="226" t="s">
        <v>1810</v>
      </c>
      <c r="C104" s="227"/>
      <c r="D104" s="227"/>
      <c r="E104" s="370"/>
      <c r="F104" s="228" t="s">
        <v>1810</v>
      </c>
      <c r="G104" s="367"/>
      <c r="H104" s="226" t="s">
        <v>1810</v>
      </c>
      <c r="I104" s="227"/>
      <c r="J104" s="227"/>
      <c r="K104" s="370"/>
      <c r="L104" s="228" t="s">
        <v>1810</v>
      </c>
    </row>
    <row r="105" spans="1:12" ht="15.75" thickBot="1">
      <c r="A105" s="367"/>
      <c r="B105" s="226" t="s">
        <v>1811</v>
      </c>
      <c r="C105" s="227"/>
      <c r="D105" s="227"/>
      <c r="E105" s="370"/>
      <c r="F105" s="228" t="s">
        <v>1811</v>
      </c>
      <c r="G105" s="367"/>
      <c r="H105" s="226" t="s">
        <v>1811</v>
      </c>
      <c r="I105" s="227"/>
      <c r="J105" s="227"/>
      <c r="K105" s="370"/>
      <c r="L105" s="228" t="s">
        <v>1811</v>
      </c>
    </row>
    <row r="106" spans="1:12" ht="15.75" thickBot="1">
      <c r="A106" s="367"/>
      <c r="B106" s="226" t="s">
        <v>1812</v>
      </c>
      <c r="C106" s="227"/>
      <c r="D106" s="227"/>
      <c r="E106" s="370"/>
      <c r="F106" s="228" t="s">
        <v>1812</v>
      </c>
      <c r="G106" s="367"/>
      <c r="H106" s="226" t="s">
        <v>1812</v>
      </c>
      <c r="I106" s="227"/>
      <c r="J106" s="227"/>
      <c r="K106" s="370"/>
      <c r="L106" s="228" t="s">
        <v>1812</v>
      </c>
    </row>
    <row r="107" spans="1:12" ht="15.75" thickBot="1">
      <c r="A107" s="367"/>
      <c r="B107" s="226" t="s">
        <v>1813</v>
      </c>
      <c r="C107" s="227"/>
      <c r="D107" s="227"/>
      <c r="E107" s="370"/>
      <c r="F107" s="228" t="s">
        <v>1813</v>
      </c>
      <c r="G107" s="367"/>
      <c r="H107" s="226" t="s">
        <v>1813</v>
      </c>
      <c r="I107" s="227"/>
      <c r="J107" s="227"/>
      <c r="K107" s="370"/>
      <c r="L107" s="228" t="s">
        <v>1813</v>
      </c>
    </row>
    <row r="108" spans="1:12" ht="15.75" thickBot="1">
      <c r="A108" s="367"/>
      <c r="B108" s="226" t="s">
        <v>1814</v>
      </c>
      <c r="C108" s="227"/>
      <c r="D108" s="227"/>
      <c r="E108" s="370"/>
      <c r="F108" s="228" t="s">
        <v>1814</v>
      </c>
      <c r="G108" s="367"/>
      <c r="H108" s="226" t="s">
        <v>1814</v>
      </c>
      <c r="I108" s="227"/>
      <c r="J108" s="227"/>
      <c r="K108" s="370"/>
      <c r="L108" s="228" t="s">
        <v>1814</v>
      </c>
    </row>
    <row r="109" spans="1:12" ht="26.25" thickBot="1">
      <c r="A109" s="367"/>
      <c r="B109" s="226" t="s">
        <v>1815</v>
      </c>
      <c r="C109" s="227"/>
      <c r="D109" s="227"/>
      <c r="E109" s="370"/>
      <c r="F109" s="228" t="s">
        <v>1816</v>
      </c>
      <c r="G109" s="367"/>
      <c r="H109" s="226" t="s">
        <v>1815</v>
      </c>
      <c r="I109" s="227"/>
      <c r="J109" s="227"/>
      <c r="K109" s="370"/>
      <c r="L109" s="228" t="s">
        <v>1816</v>
      </c>
    </row>
    <row r="110" spans="1:12" ht="15.75" thickBot="1">
      <c r="A110" s="368"/>
      <c r="B110" s="226" t="s">
        <v>1817</v>
      </c>
      <c r="C110" s="227"/>
      <c r="D110" s="227"/>
      <c r="E110" s="371"/>
      <c r="F110" s="228" t="s">
        <v>1818</v>
      </c>
      <c r="G110" s="368"/>
      <c r="H110" s="226" t="s">
        <v>1817</v>
      </c>
      <c r="I110" s="227"/>
      <c r="J110" s="227"/>
      <c r="K110" s="371"/>
      <c r="L110" s="228" t="s">
        <v>1818</v>
      </c>
    </row>
    <row r="111" spans="1:12" ht="15.75" thickBot="1">
      <c r="A111" s="366" t="s">
        <v>2117</v>
      </c>
      <c r="B111" s="226" t="s">
        <v>1803</v>
      </c>
      <c r="C111" s="227"/>
      <c r="D111" s="227"/>
      <c r="E111" s="369" t="s">
        <v>2117</v>
      </c>
      <c r="F111" s="228" t="s">
        <v>1803</v>
      </c>
      <c r="G111" s="366" t="s">
        <v>2117</v>
      </c>
      <c r="H111" s="226" t="s">
        <v>1803</v>
      </c>
      <c r="I111" s="227"/>
      <c r="J111" s="227"/>
      <c r="K111" s="369" t="s">
        <v>2117</v>
      </c>
      <c r="L111" s="228" t="s">
        <v>1803</v>
      </c>
    </row>
    <row r="112" spans="1:12" ht="15.75" thickBot="1">
      <c r="A112" s="367"/>
      <c r="B112" s="226" t="s">
        <v>1805</v>
      </c>
      <c r="C112" s="227"/>
      <c r="D112" s="227"/>
      <c r="E112" s="370"/>
      <c r="F112" s="228" t="s">
        <v>1805</v>
      </c>
      <c r="G112" s="367"/>
      <c r="H112" s="226" t="s">
        <v>1805</v>
      </c>
      <c r="I112" s="227"/>
      <c r="J112" s="227"/>
      <c r="K112" s="370"/>
      <c r="L112" s="228" t="s">
        <v>1805</v>
      </c>
    </row>
    <row r="113" spans="1:12" ht="15.75" thickBot="1">
      <c r="A113" s="367"/>
      <c r="B113" s="226" t="s">
        <v>1806</v>
      </c>
      <c r="C113" s="227"/>
      <c r="D113" s="227"/>
      <c r="E113" s="370"/>
      <c r="F113" s="228" t="s">
        <v>1806</v>
      </c>
      <c r="G113" s="367"/>
      <c r="H113" s="226" t="s">
        <v>1806</v>
      </c>
      <c r="I113" s="227"/>
      <c r="J113" s="227"/>
      <c r="K113" s="370"/>
      <c r="L113" s="228" t="s">
        <v>1806</v>
      </c>
    </row>
    <row r="114" spans="1:12" ht="15.75" thickBot="1">
      <c r="A114" s="367"/>
      <c r="B114" s="226" t="s">
        <v>1807</v>
      </c>
      <c r="C114" s="227"/>
      <c r="D114" s="227"/>
      <c r="E114" s="370"/>
      <c r="F114" s="228" t="s">
        <v>1807</v>
      </c>
      <c r="G114" s="367"/>
      <c r="H114" s="226" t="s">
        <v>1807</v>
      </c>
      <c r="I114" s="227"/>
      <c r="J114" s="227"/>
      <c r="K114" s="370"/>
      <c r="L114" s="228" t="s">
        <v>1807</v>
      </c>
    </row>
    <row r="115" spans="1:12" ht="15.75" thickBot="1">
      <c r="A115" s="367"/>
      <c r="B115" s="226" t="s">
        <v>1808</v>
      </c>
      <c r="C115" s="227"/>
      <c r="D115" s="227"/>
      <c r="E115" s="370"/>
      <c r="F115" s="228" t="s">
        <v>1808</v>
      </c>
      <c r="G115" s="367"/>
      <c r="H115" s="226" t="s">
        <v>1808</v>
      </c>
      <c r="I115" s="227"/>
      <c r="J115" s="227"/>
      <c r="K115" s="370"/>
      <c r="L115" s="228" t="s">
        <v>1808</v>
      </c>
    </row>
    <row r="116" spans="1:12" ht="15.75" thickBot="1">
      <c r="A116" s="367"/>
      <c r="B116" s="226" t="s">
        <v>1809</v>
      </c>
      <c r="C116" s="227"/>
      <c r="D116" s="227"/>
      <c r="E116" s="370"/>
      <c r="F116" s="228" t="s">
        <v>1809</v>
      </c>
      <c r="G116" s="367"/>
      <c r="H116" s="226" t="s">
        <v>1809</v>
      </c>
      <c r="I116" s="227"/>
      <c r="J116" s="227"/>
      <c r="K116" s="370"/>
      <c r="L116" s="228" t="s">
        <v>1809</v>
      </c>
    </row>
    <row r="117" spans="1:12" ht="15.75" thickBot="1">
      <c r="A117" s="367"/>
      <c r="B117" s="226" t="s">
        <v>1810</v>
      </c>
      <c r="C117" s="227"/>
      <c r="D117" s="227"/>
      <c r="E117" s="370"/>
      <c r="F117" s="228" t="s">
        <v>1810</v>
      </c>
      <c r="G117" s="367"/>
      <c r="H117" s="226" t="s">
        <v>1810</v>
      </c>
      <c r="I117" s="227"/>
      <c r="J117" s="227"/>
      <c r="K117" s="370"/>
      <c r="L117" s="228" t="s">
        <v>1810</v>
      </c>
    </row>
    <row r="118" spans="1:12" ht="15.75" thickBot="1">
      <c r="A118" s="367"/>
      <c r="B118" s="226" t="s">
        <v>1811</v>
      </c>
      <c r="C118" s="227"/>
      <c r="D118" s="227"/>
      <c r="E118" s="370"/>
      <c r="F118" s="228" t="s">
        <v>1811</v>
      </c>
      <c r="G118" s="367"/>
      <c r="H118" s="226" t="s">
        <v>1811</v>
      </c>
      <c r="I118" s="227"/>
      <c r="J118" s="227"/>
      <c r="K118" s="370"/>
      <c r="L118" s="228" t="s">
        <v>1811</v>
      </c>
    </row>
    <row r="119" spans="1:12" ht="15.75" thickBot="1">
      <c r="A119" s="367"/>
      <c r="B119" s="226" t="s">
        <v>1812</v>
      </c>
      <c r="C119" s="227"/>
      <c r="D119" s="227"/>
      <c r="E119" s="370"/>
      <c r="F119" s="228" t="s">
        <v>1812</v>
      </c>
      <c r="G119" s="367"/>
      <c r="H119" s="226" t="s">
        <v>1812</v>
      </c>
      <c r="I119" s="227"/>
      <c r="J119" s="227"/>
      <c r="K119" s="370"/>
      <c r="L119" s="228" t="s">
        <v>1812</v>
      </c>
    </row>
    <row r="120" spans="1:12" ht="15.75" thickBot="1">
      <c r="A120" s="367"/>
      <c r="B120" s="226" t="s">
        <v>1813</v>
      </c>
      <c r="C120" s="227"/>
      <c r="D120" s="227"/>
      <c r="E120" s="370"/>
      <c r="F120" s="228" t="s">
        <v>1813</v>
      </c>
      <c r="G120" s="367"/>
      <c r="H120" s="226" t="s">
        <v>1813</v>
      </c>
      <c r="I120" s="227"/>
      <c r="J120" s="227"/>
      <c r="K120" s="370"/>
      <c r="L120" s="228" t="s">
        <v>1813</v>
      </c>
    </row>
    <row r="121" spans="1:12" ht="15.75" thickBot="1">
      <c r="A121" s="367"/>
      <c r="B121" s="226" t="s">
        <v>1814</v>
      </c>
      <c r="C121" s="227"/>
      <c r="D121" s="227"/>
      <c r="E121" s="370"/>
      <c r="F121" s="228" t="s">
        <v>1814</v>
      </c>
      <c r="G121" s="367"/>
      <c r="H121" s="226" t="s">
        <v>1814</v>
      </c>
      <c r="I121" s="227"/>
      <c r="J121" s="227"/>
      <c r="K121" s="370"/>
      <c r="L121" s="228" t="s">
        <v>1814</v>
      </c>
    </row>
    <row r="122" spans="1:12" ht="26.25" thickBot="1">
      <c r="A122" s="367"/>
      <c r="B122" s="226" t="s">
        <v>1815</v>
      </c>
      <c r="C122" s="227"/>
      <c r="D122" s="227"/>
      <c r="E122" s="370"/>
      <c r="F122" s="228" t="s">
        <v>1816</v>
      </c>
      <c r="G122" s="367"/>
      <c r="H122" s="226" t="s">
        <v>1815</v>
      </c>
      <c r="I122" s="227"/>
      <c r="J122" s="227"/>
      <c r="K122" s="370"/>
      <c r="L122" s="228" t="s">
        <v>1816</v>
      </c>
    </row>
    <row r="123" spans="1:12" ht="15.75" thickBot="1">
      <c r="A123" s="368"/>
      <c r="B123" s="226" t="s">
        <v>1817</v>
      </c>
      <c r="C123" s="227"/>
      <c r="D123" s="227"/>
      <c r="E123" s="371"/>
      <c r="F123" s="228" t="s">
        <v>1818</v>
      </c>
      <c r="G123" s="368"/>
      <c r="H123" s="226" t="s">
        <v>1817</v>
      </c>
      <c r="I123" s="227"/>
      <c r="J123" s="227"/>
      <c r="K123" s="371"/>
      <c r="L123" s="228" t="s">
        <v>1818</v>
      </c>
    </row>
    <row r="124" spans="1:12" ht="15.75" thickBot="1">
      <c r="A124" s="366" t="s">
        <v>2118</v>
      </c>
      <c r="B124" s="226" t="s">
        <v>1803</v>
      </c>
      <c r="C124" s="227"/>
      <c r="D124" s="227"/>
      <c r="E124" s="369" t="s">
        <v>2118</v>
      </c>
      <c r="F124" s="228" t="s">
        <v>1803</v>
      </c>
      <c r="G124" s="366" t="s">
        <v>2118</v>
      </c>
      <c r="H124" s="226" t="s">
        <v>1803</v>
      </c>
      <c r="I124" s="227"/>
      <c r="J124" s="227"/>
      <c r="K124" s="369" t="s">
        <v>2118</v>
      </c>
      <c r="L124" s="228" t="s">
        <v>1803</v>
      </c>
    </row>
    <row r="125" spans="1:12" ht="15.75" thickBot="1">
      <c r="A125" s="367"/>
      <c r="B125" s="226" t="s">
        <v>1805</v>
      </c>
      <c r="C125" s="227"/>
      <c r="D125" s="227"/>
      <c r="E125" s="370"/>
      <c r="F125" s="228" t="s">
        <v>1805</v>
      </c>
      <c r="G125" s="367"/>
      <c r="H125" s="226" t="s">
        <v>1805</v>
      </c>
      <c r="I125" s="227"/>
      <c r="J125" s="227"/>
      <c r="K125" s="370"/>
      <c r="L125" s="228" t="s">
        <v>1805</v>
      </c>
    </row>
    <row r="126" spans="1:12" ht="15.75" thickBot="1">
      <c r="A126" s="367"/>
      <c r="B126" s="226" t="s">
        <v>1806</v>
      </c>
      <c r="C126" s="227"/>
      <c r="D126" s="227"/>
      <c r="E126" s="370"/>
      <c r="F126" s="228" t="s">
        <v>1806</v>
      </c>
      <c r="G126" s="367"/>
      <c r="H126" s="226" t="s">
        <v>1806</v>
      </c>
      <c r="I126" s="227"/>
      <c r="J126" s="227"/>
      <c r="K126" s="370"/>
      <c r="L126" s="228" t="s">
        <v>1806</v>
      </c>
    </row>
    <row r="127" spans="1:12" ht="15.75" thickBot="1">
      <c r="A127" s="367"/>
      <c r="B127" s="226" t="s">
        <v>1807</v>
      </c>
      <c r="C127" s="227"/>
      <c r="D127" s="227"/>
      <c r="E127" s="370"/>
      <c r="F127" s="228" t="s">
        <v>1807</v>
      </c>
      <c r="G127" s="367"/>
      <c r="H127" s="226" t="s">
        <v>1807</v>
      </c>
      <c r="I127" s="227"/>
      <c r="J127" s="227"/>
      <c r="K127" s="370"/>
      <c r="L127" s="228" t="s">
        <v>1807</v>
      </c>
    </row>
    <row r="128" spans="1:12" ht="15.75" thickBot="1">
      <c r="A128" s="367"/>
      <c r="B128" s="226" t="s">
        <v>1808</v>
      </c>
      <c r="C128" s="227"/>
      <c r="D128" s="227"/>
      <c r="E128" s="370"/>
      <c r="F128" s="228" t="s">
        <v>1808</v>
      </c>
      <c r="G128" s="367"/>
      <c r="H128" s="226" t="s">
        <v>1808</v>
      </c>
      <c r="I128" s="227"/>
      <c r="J128" s="227"/>
      <c r="K128" s="370"/>
      <c r="L128" s="228" t="s">
        <v>1808</v>
      </c>
    </row>
    <row r="129" spans="1:12" ht="15.75" thickBot="1">
      <c r="A129" s="367"/>
      <c r="B129" s="226" t="s">
        <v>1809</v>
      </c>
      <c r="C129" s="227"/>
      <c r="D129" s="227"/>
      <c r="E129" s="370"/>
      <c r="F129" s="228" t="s">
        <v>1809</v>
      </c>
      <c r="G129" s="367"/>
      <c r="H129" s="226" t="s">
        <v>1809</v>
      </c>
      <c r="I129" s="227"/>
      <c r="J129" s="227"/>
      <c r="K129" s="370"/>
      <c r="L129" s="228" t="s">
        <v>1809</v>
      </c>
    </row>
    <row r="130" spans="1:12" ht="15.75" thickBot="1">
      <c r="A130" s="367"/>
      <c r="B130" s="226" t="s">
        <v>1810</v>
      </c>
      <c r="C130" s="227"/>
      <c r="D130" s="227"/>
      <c r="E130" s="370"/>
      <c r="F130" s="228" t="s">
        <v>1810</v>
      </c>
      <c r="G130" s="367"/>
      <c r="H130" s="226" t="s">
        <v>1810</v>
      </c>
      <c r="I130" s="227"/>
      <c r="J130" s="227"/>
      <c r="K130" s="370"/>
      <c r="L130" s="228" t="s">
        <v>1810</v>
      </c>
    </row>
    <row r="131" spans="1:12" ht="15.75" thickBot="1">
      <c r="A131" s="367"/>
      <c r="B131" s="226" t="s">
        <v>1811</v>
      </c>
      <c r="C131" s="227"/>
      <c r="D131" s="227"/>
      <c r="E131" s="370"/>
      <c r="F131" s="228" t="s">
        <v>1811</v>
      </c>
      <c r="G131" s="367"/>
      <c r="H131" s="226" t="s">
        <v>1811</v>
      </c>
      <c r="I131" s="227"/>
      <c r="J131" s="227"/>
      <c r="K131" s="370"/>
      <c r="L131" s="228" t="s">
        <v>1811</v>
      </c>
    </row>
    <row r="132" spans="1:12" ht="15.75" thickBot="1">
      <c r="A132" s="367"/>
      <c r="B132" s="226" t="s">
        <v>1812</v>
      </c>
      <c r="C132" s="227"/>
      <c r="D132" s="227"/>
      <c r="E132" s="370"/>
      <c r="F132" s="228" t="s">
        <v>1812</v>
      </c>
      <c r="G132" s="367"/>
      <c r="H132" s="226" t="s">
        <v>1812</v>
      </c>
      <c r="I132" s="227"/>
      <c r="J132" s="227"/>
      <c r="K132" s="370"/>
      <c r="L132" s="228" t="s">
        <v>1812</v>
      </c>
    </row>
    <row r="133" spans="1:12" ht="15.75" thickBot="1">
      <c r="A133" s="367"/>
      <c r="B133" s="226" t="s">
        <v>1813</v>
      </c>
      <c r="C133" s="227"/>
      <c r="D133" s="227"/>
      <c r="E133" s="370"/>
      <c r="F133" s="228" t="s">
        <v>1813</v>
      </c>
      <c r="G133" s="367"/>
      <c r="H133" s="226" t="s">
        <v>1813</v>
      </c>
      <c r="I133" s="227"/>
      <c r="J133" s="227"/>
      <c r="K133" s="370"/>
      <c r="L133" s="228" t="s">
        <v>1813</v>
      </c>
    </row>
    <row r="134" spans="1:12" ht="15.75" thickBot="1">
      <c r="A134" s="367"/>
      <c r="B134" s="226" t="s">
        <v>1814</v>
      </c>
      <c r="C134" s="227">
        <v>40243130</v>
      </c>
      <c r="D134" s="227">
        <v>660832</v>
      </c>
      <c r="E134" s="370"/>
      <c r="F134" s="228" t="s">
        <v>1814</v>
      </c>
      <c r="G134" s="367"/>
      <c r="H134" s="226" t="s">
        <v>1814</v>
      </c>
      <c r="I134" s="227">
        <v>32498741</v>
      </c>
      <c r="J134" s="227">
        <v>501001</v>
      </c>
      <c r="K134" s="370"/>
      <c r="L134" s="228" t="s">
        <v>1814</v>
      </c>
    </row>
    <row r="135" spans="1:12" ht="26.25" thickBot="1">
      <c r="A135" s="367"/>
      <c r="B135" s="226" t="s">
        <v>1815</v>
      </c>
      <c r="C135" s="227"/>
      <c r="D135" s="227"/>
      <c r="E135" s="370"/>
      <c r="F135" s="228" t="s">
        <v>1816</v>
      </c>
      <c r="G135" s="367"/>
      <c r="H135" s="226" t="s">
        <v>1815</v>
      </c>
      <c r="I135" s="227"/>
      <c r="J135" s="227"/>
      <c r="K135" s="370"/>
      <c r="L135" s="228" t="s">
        <v>1816</v>
      </c>
    </row>
    <row r="136" spans="1:12" ht="15.75" thickBot="1">
      <c r="A136" s="368"/>
      <c r="B136" s="226" t="s">
        <v>1817</v>
      </c>
      <c r="C136" s="227"/>
      <c r="D136" s="227">
        <v>660832</v>
      </c>
      <c r="E136" s="371"/>
      <c r="F136" s="228" t="s">
        <v>1818</v>
      </c>
      <c r="G136" s="368"/>
      <c r="H136" s="226" t="s">
        <v>1817</v>
      </c>
      <c r="I136" s="227"/>
      <c r="J136" s="227">
        <v>501001</v>
      </c>
      <c r="K136" s="371"/>
      <c r="L136" s="228" t="s">
        <v>1818</v>
      </c>
    </row>
    <row r="137" spans="1:12" ht="15.75" thickBot="1">
      <c r="A137" s="366" t="s">
        <v>2119</v>
      </c>
      <c r="B137" s="226" t="s">
        <v>1803</v>
      </c>
      <c r="C137" s="227"/>
      <c r="D137" s="227"/>
      <c r="E137" s="369" t="s">
        <v>2119</v>
      </c>
      <c r="F137" s="228" t="s">
        <v>1803</v>
      </c>
      <c r="G137" s="366" t="s">
        <v>2119</v>
      </c>
      <c r="H137" s="226" t="s">
        <v>1803</v>
      </c>
      <c r="I137" s="227"/>
      <c r="J137" s="227"/>
      <c r="K137" s="369" t="s">
        <v>2119</v>
      </c>
      <c r="L137" s="228" t="s">
        <v>1803</v>
      </c>
    </row>
    <row r="138" spans="1:12" ht="15.75" thickBot="1">
      <c r="A138" s="367"/>
      <c r="B138" s="226" t="s">
        <v>1805</v>
      </c>
      <c r="C138" s="227"/>
      <c r="D138" s="227"/>
      <c r="E138" s="370"/>
      <c r="F138" s="228" t="s">
        <v>1805</v>
      </c>
      <c r="G138" s="367"/>
      <c r="H138" s="226" t="s">
        <v>1805</v>
      </c>
      <c r="I138" s="227"/>
      <c r="J138" s="227"/>
      <c r="K138" s="370"/>
      <c r="L138" s="228" t="s">
        <v>1805</v>
      </c>
    </row>
    <row r="139" spans="1:12" ht="15.75" thickBot="1">
      <c r="A139" s="367"/>
      <c r="B139" s="226" t="s">
        <v>1806</v>
      </c>
      <c r="C139" s="227"/>
      <c r="D139" s="227"/>
      <c r="E139" s="370"/>
      <c r="F139" s="228" t="s">
        <v>1806</v>
      </c>
      <c r="G139" s="367"/>
      <c r="H139" s="226" t="s">
        <v>1806</v>
      </c>
      <c r="I139" s="227"/>
      <c r="J139" s="227"/>
      <c r="K139" s="370"/>
      <c r="L139" s="228" t="s">
        <v>1806</v>
      </c>
    </row>
    <row r="140" spans="1:12" ht="15.75" thickBot="1">
      <c r="A140" s="367"/>
      <c r="B140" s="226" t="s">
        <v>1807</v>
      </c>
      <c r="C140" s="227"/>
      <c r="D140" s="227"/>
      <c r="E140" s="370"/>
      <c r="F140" s="228" t="s">
        <v>1807</v>
      </c>
      <c r="G140" s="367"/>
      <c r="H140" s="226" t="s">
        <v>1807</v>
      </c>
      <c r="I140" s="227"/>
      <c r="J140" s="227"/>
      <c r="K140" s="370"/>
      <c r="L140" s="228" t="s">
        <v>1807</v>
      </c>
    </row>
    <row r="141" spans="1:12" ht="15.75" thickBot="1">
      <c r="A141" s="367"/>
      <c r="B141" s="226" t="s">
        <v>1808</v>
      </c>
      <c r="C141" s="227"/>
      <c r="D141" s="227"/>
      <c r="E141" s="370"/>
      <c r="F141" s="228" t="s">
        <v>1808</v>
      </c>
      <c r="G141" s="367"/>
      <c r="H141" s="226" t="s">
        <v>1808</v>
      </c>
      <c r="I141" s="227"/>
      <c r="J141" s="227"/>
      <c r="K141" s="370"/>
      <c r="L141" s="228" t="s">
        <v>1808</v>
      </c>
    </row>
    <row r="142" spans="1:12" ht="15.75" thickBot="1">
      <c r="A142" s="367"/>
      <c r="B142" s="226" t="s">
        <v>1809</v>
      </c>
      <c r="C142" s="227"/>
      <c r="D142" s="227"/>
      <c r="E142" s="370"/>
      <c r="F142" s="228" t="s">
        <v>1809</v>
      </c>
      <c r="G142" s="367"/>
      <c r="H142" s="226" t="s">
        <v>1809</v>
      </c>
      <c r="I142" s="227"/>
      <c r="J142" s="227"/>
      <c r="K142" s="370"/>
      <c r="L142" s="228" t="s">
        <v>1809</v>
      </c>
    </row>
    <row r="143" spans="1:12" ht="15.75" thickBot="1">
      <c r="A143" s="367"/>
      <c r="B143" s="226" t="s">
        <v>1810</v>
      </c>
      <c r="C143" s="227"/>
      <c r="D143" s="227"/>
      <c r="E143" s="370"/>
      <c r="F143" s="228" t="s">
        <v>1810</v>
      </c>
      <c r="G143" s="367"/>
      <c r="H143" s="226" t="s">
        <v>1810</v>
      </c>
      <c r="I143" s="227"/>
      <c r="J143" s="227"/>
      <c r="K143" s="370"/>
      <c r="L143" s="228" t="s">
        <v>1810</v>
      </c>
    </row>
    <row r="144" spans="1:12" ht="15.75" thickBot="1">
      <c r="A144" s="367"/>
      <c r="B144" s="226" t="s">
        <v>1811</v>
      </c>
      <c r="C144" s="227"/>
      <c r="D144" s="227"/>
      <c r="E144" s="370"/>
      <c r="F144" s="228" t="s">
        <v>1811</v>
      </c>
      <c r="G144" s="367"/>
      <c r="H144" s="226" t="s">
        <v>1811</v>
      </c>
      <c r="I144" s="227"/>
      <c r="J144" s="227"/>
      <c r="K144" s="370"/>
      <c r="L144" s="228" t="s">
        <v>1811</v>
      </c>
    </row>
    <row r="145" spans="1:12" ht="15.75" thickBot="1">
      <c r="A145" s="367"/>
      <c r="B145" s="226" t="s">
        <v>1812</v>
      </c>
      <c r="C145" s="227"/>
      <c r="D145" s="227"/>
      <c r="E145" s="370"/>
      <c r="F145" s="228" t="s">
        <v>1812</v>
      </c>
      <c r="G145" s="367"/>
      <c r="H145" s="226" t="s">
        <v>1812</v>
      </c>
      <c r="I145" s="227"/>
      <c r="J145" s="227"/>
      <c r="K145" s="370"/>
      <c r="L145" s="228" t="s">
        <v>1812</v>
      </c>
    </row>
    <row r="146" spans="1:12" ht="15.75" thickBot="1">
      <c r="A146" s="367"/>
      <c r="B146" s="226" t="s">
        <v>1813</v>
      </c>
      <c r="C146" s="227"/>
      <c r="D146" s="227"/>
      <c r="E146" s="370"/>
      <c r="F146" s="228" t="s">
        <v>1813</v>
      </c>
      <c r="G146" s="367"/>
      <c r="H146" s="226" t="s">
        <v>1813</v>
      </c>
      <c r="I146" s="227"/>
      <c r="J146" s="227"/>
      <c r="K146" s="370"/>
      <c r="L146" s="228" t="s">
        <v>1813</v>
      </c>
    </row>
    <row r="147" spans="1:12" ht="15.75" thickBot="1">
      <c r="A147" s="367"/>
      <c r="B147" s="226" t="s">
        <v>1814</v>
      </c>
      <c r="C147" s="227"/>
      <c r="D147" s="227"/>
      <c r="E147" s="370"/>
      <c r="F147" s="228" t="s">
        <v>1814</v>
      </c>
      <c r="G147" s="367"/>
      <c r="H147" s="226" t="s">
        <v>1814</v>
      </c>
      <c r="I147" s="227"/>
      <c r="J147" s="227"/>
      <c r="K147" s="370"/>
      <c r="L147" s="228" t="s">
        <v>1814</v>
      </c>
    </row>
    <row r="148" spans="1:12" ht="26.25" thickBot="1">
      <c r="A148" s="367"/>
      <c r="B148" s="226" t="s">
        <v>1815</v>
      </c>
      <c r="C148" s="227"/>
      <c r="D148" s="227"/>
      <c r="E148" s="370"/>
      <c r="F148" s="228" t="s">
        <v>1816</v>
      </c>
      <c r="G148" s="367"/>
      <c r="H148" s="226" t="s">
        <v>1815</v>
      </c>
      <c r="I148" s="227"/>
      <c r="J148" s="227"/>
      <c r="K148" s="370"/>
      <c r="L148" s="228" t="s">
        <v>1816</v>
      </c>
    </row>
    <row r="149" spans="1:12" ht="15.75" thickBot="1">
      <c r="A149" s="368"/>
      <c r="B149" s="226" t="s">
        <v>1817</v>
      </c>
      <c r="C149" s="227"/>
      <c r="D149" s="227"/>
      <c r="E149" s="371"/>
      <c r="F149" s="228" t="s">
        <v>1818</v>
      </c>
      <c r="G149" s="368"/>
      <c r="H149" s="226" t="s">
        <v>1817</v>
      </c>
      <c r="I149" s="227"/>
      <c r="J149" s="227"/>
      <c r="K149" s="371"/>
      <c r="L149" s="228" t="s">
        <v>1818</v>
      </c>
    </row>
    <row r="150" spans="1:12" ht="15.75" thickBot="1">
      <c r="A150" s="366" t="s">
        <v>2120</v>
      </c>
      <c r="B150" s="226" t="s">
        <v>1803</v>
      </c>
      <c r="C150" s="227"/>
      <c r="D150" s="227"/>
      <c r="E150" s="369" t="s">
        <v>2120</v>
      </c>
      <c r="F150" s="228" t="s">
        <v>1803</v>
      </c>
      <c r="G150" s="366" t="s">
        <v>2120</v>
      </c>
      <c r="H150" s="226" t="s">
        <v>1803</v>
      </c>
      <c r="I150" s="227"/>
      <c r="J150" s="227"/>
      <c r="K150" s="369" t="s">
        <v>2120</v>
      </c>
      <c r="L150" s="228" t="s">
        <v>1803</v>
      </c>
    </row>
    <row r="151" spans="1:12" ht="15.75" thickBot="1">
      <c r="A151" s="367"/>
      <c r="B151" s="226" t="s">
        <v>1805</v>
      </c>
      <c r="C151" s="227"/>
      <c r="D151" s="227"/>
      <c r="E151" s="370"/>
      <c r="F151" s="228" t="s">
        <v>1805</v>
      </c>
      <c r="G151" s="367"/>
      <c r="H151" s="226" t="s">
        <v>1805</v>
      </c>
      <c r="I151" s="227"/>
      <c r="J151" s="227"/>
      <c r="K151" s="370"/>
      <c r="L151" s="228" t="s">
        <v>1805</v>
      </c>
    </row>
    <row r="152" spans="1:12" ht="15.75" thickBot="1">
      <c r="A152" s="367"/>
      <c r="B152" s="226" t="s">
        <v>1806</v>
      </c>
      <c r="C152" s="227"/>
      <c r="D152" s="227"/>
      <c r="E152" s="370"/>
      <c r="F152" s="228" t="s">
        <v>1806</v>
      </c>
      <c r="G152" s="367"/>
      <c r="H152" s="226" t="s">
        <v>1806</v>
      </c>
      <c r="I152" s="227"/>
      <c r="J152" s="227"/>
      <c r="K152" s="370"/>
      <c r="L152" s="228" t="s">
        <v>1806</v>
      </c>
    </row>
    <row r="153" spans="1:12" ht="15.75" thickBot="1">
      <c r="A153" s="367"/>
      <c r="B153" s="226" t="s">
        <v>1807</v>
      </c>
      <c r="C153" s="227"/>
      <c r="D153" s="227"/>
      <c r="E153" s="370"/>
      <c r="F153" s="228" t="s">
        <v>1807</v>
      </c>
      <c r="G153" s="367"/>
      <c r="H153" s="226" t="s">
        <v>1807</v>
      </c>
      <c r="I153" s="227"/>
      <c r="J153" s="227"/>
      <c r="K153" s="370"/>
      <c r="L153" s="228" t="s">
        <v>1807</v>
      </c>
    </row>
    <row r="154" spans="1:12" ht="15.75" thickBot="1">
      <c r="A154" s="367"/>
      <c r="B154" s="226" t="s">
        <v>1808</v>
      </c>
      <c r="C154" s="227"/>
      <c r="D154" s="227"/>
      <c r="E154" s="370"/>
      <c r="F154" s="228" t="s">
        <v>1808</v>
      </c>
      <c r="G154" s="367"/>
      <c r="H154" s="226" t="s">
        <v>1808</v>
      </c>
      <c r="I154" s="227"/>
      <c r="J154" s="227"/>
      <c r="K154" s="370"/>
      <c r="L154" s="228" t="s">
        <v>1808</v>
      </c>
    </row>
    <row r="155" spans="1:12" ht="15.75" thickBot="1">
      <c r="A155" s="367"/>
      <c r="B155" s="226" t="s">
        <v>1809</v>
      </c>
      <c r="C155" s="227"/>
      <c r="D155" s="227"/>
      <c r="E155" s="370"/>
      <c r="F155" s="228" t="s">
        <v>1809</v>
      </c>
      <c r="G155" s="367"/>
      <c r="H155" s="226" t="s">
        <v>1809</v>
      </c>
      <c r="I155" s="227"/>
      <c r="J155" s="227"/>
      <c r="K155" s="370"/>
      <c r="L155" s="228" t="s">
        <v>1809</v>
      </c>
    </row>
    <row r="156" spans="1:12" ht="15.75" thickBot="1">
      <c r="A156" s="367"/>
      <c r="B156" s="226" t="s">
        <v>1810</v>
      </c>
      <c r="C156" s="227"/>
      <c r="D156" s="227"/>
      <c r="E156" s="370"/>
      <c r="F156" s="228" t="s">
        <v>1810</v>
      </c>
      <c r="G156" s="367"/>
      <c r="H156" s="226" t="s">
        <v>1810</v>
      </c>
      <c r="I156" s="227"/>
      <c r="J156" s="227"/>
      <c r="K156" s="370"/>
      <c r="L156" s="228" t="s">
        <v>1810</v>
      </c>
    </row>
    <row r="157" spans="1:12" ht="15.75" thickBot="1">
      <c r="A157" s="367"/>
      <c r="B157" s="226" t="s">
        <v>1811</v>
      </c>
      <c r="C157" s="227"/>
      <c r="D157" s="227"/>
      <c r="E157" s="370"/>
      <c r="F157" s="228" t="s">
        <v>1811</v>
      </c>
      <c r="G157" s="367"/>
      <c r="H157" s="226" t="s">
        <v>1811</v>
      </c>
      <c r="I157" s="227"/>
      <c r="J157" s="227"/>
      <c r="K157" s="370"/>
      <c r="L157" s="228" t="s">
        <v>1811</v>
      </c>
    </row>
    <row r="158" spans="1:12" ht="15.75" thickBot="1">
      <c r="A158" s="367"/>
      <c r="B158" s="226" t="s">
        <v>1812</v>
      </c>
      <c r="C158" s="227"/>
      <c r="D158" s="227"/>
      <c r="E158" s="370"/>
      <c r="F158" s="228" t="s">
        <v>1812</v>
      </c>
      <c r="G158" s="367"/>
      <c r="H158" s="226" t="s">
        <v>1812</v>
      </c>
      <c r="I158" s="227"/>
      <c r="J158" s="227"/>
      <c r="K158" s="370"/>
      <c r="L158" s="228" t="s">
        <v>1812</v>
      </c>
    </row>
    <row r="159" spans="1:12" ht="15.75" thickBot="1">
      <c r="A159" s="367"/>
      <c r="B159" s="226" t="s">
        <v>1813</v>
      </c>
      <c r="C159" s="227"/>
      <c r="D159" s="227"/>
      <c r="E159" s="370"/>
      <c r="F159" s="228" t="s">
        <v>1813</v>
      </c>
      <c r="G159" s="367"/>
      <c r="H159" s="226" t="s">
        <v>1813</v>
      </c>
      <c r="I159" s="227"/>
      <c r="J159" s="227"/>
      <c r="K159" s="370"/>
      <c r="L159" s="228" t="s">
        <v>1813</v>
      </c>
    </row>
    <row r="160" spans="1:12" ht="15.75" thickBot="1">
      <c r="A160" s="367"/>
      <c r="B160" s="226" t="s">
        <v>1814</v>
      </c>
      <c r="C160" s="227"/>
      <c r="D160" s="227"/>
      <c r="E160" s="370"/>
      <c r="F160" s="228" t="s">
        <v>1814</v>
      </c>
      <c r="G160" s="367"/>
      <c r="H160" s="226" t="s">
        <v>1814</v>
      </c>
      <c r="I160" s="227"/>
      <c r="J160" s="227"/>
      <c r="K160" s="370"/>
      <c r="L160" s="228" t="s">
        <v>1814</v>
      </c>
    </row>
    <row r="161" spans="1:12" ht="26.25" thickBot="1">
      <c r="A161" s="367"/>
      <c r="B161" s="226" t="s">
        <v>1815</v>
      </c>
      <c r="C161" s="227"/>
      <c r="D161" s="227"/>
      <c r="E161" s="370"/>
      <c r="F161" s="228" t="s">
        <v>1816</v>
      </c>
      <c r="G161" s="367"/>
      <c r="H161" s="226" t="s">
        <v>1815</v>
      </c>
      <c r="I161" s="227"/>
      <c r="J161" s="227"/>
      <c r="K161" s="370"/>
      <c r="L161" s="228" t="s">
        <v>1816</v>
      </c>
    </row>
    <row r="162" spans="1:12" ht="15.75" thickBot="1">
      <c r="A162" s="368"/>
      <c r="B162" s="226" t="s">
        <v>1817</v>
      </c>
      <c r="C162" s="227"/>
      <c r="D162" s="227"/>
      <c r="E162" s="371"/>
      <c r="F162" s="228" t="s">
        <v>1818</v>
      </c>
      <c r="G162" s="368"/>
      <c r="H162" s="226" t="s">
        <v>1817</v>
      </c>
      <c r="I162" s="227"/>
      <c r="J162" s="227"/>
      <c r="K162" s="371"/>
      <c r="L162" s="228" t="s">
        <v>1818</v>
      </c>
    </row>
    <row r="163" spans="1:12" ht="15.75" thickBot="1">
      <c r="A163" s="366" t="s">
        <v>2121</v>
      </c>
      <c r="B163" s="226" t="s">
        <v>1803</v>
      </c>
      <c r="C163" s="227"/>
      <c r="D163" s="227"/>
      <c r="E163" s="369" t="s">
        <v>2121</v>
      </c>
      <c r="F163" s="228" t="s">
        <v>1803</v>
      </c>
      <c r="G163" s="366" t="s">
        <v>2121</v>
      </c>
      <c r="H163" s="226" t="s">
        <v>1803</v>
      </c>
      <c r="I163" s="227"/>
      <c r="J163" s="227"/>
      <c r="K163" s="369" t="s">
        <v>2121</v>
      </c>
      <c r="L163" s="228" t="s">
        <v>1803</v>
      </c>
    </row>
    <row r="164" spans="1:12" ht="15.75" thickBot="1">
      <c r="A164" s="367"/>
      <c r="B164" s="226" t="s">
        <v>1805</v>
      </c>
      <c r="C164" s="227"/>
      <c r="D164" s="227"/>
      <c r="E164" s="370"/>
      <c r="F164" s="228" t="s">
        <v>1805</v>
      </c>
      <c r="G164" s="367"/>
      <c r="H164" s="226" t="s">
        <v>1805</v>
      </c>
      <c r="I164" s="227"/>
      <c r="J164" s="227"/>
      <c r="K164" s="370"/>
      <c r="L164" s="228" t="s">
        <v>1805</v>
      </c>
    </row>
    <row r="165" spans="1:12" ht="15.75" thickBot="1">
      <c r="A165" s="367"/>
      <c r="B165" s="226" t="s">
        <v>1806</v>
      </c>
      <c r="C165" s="227"/>
      <c r="D165" s="227"/>
      <c r="E165" s="370"/>
      <c r="F165" s="228" t="s">
        <v>1806</v>
      </c>
      <c r="G165" s="367"/>
      <c r="H165" s="226" t="s">
        <v>1806</v>
      </c>
      <c r="I165" s="227"/>
      <c r="J165" s="227"/>
      <c r="K165" s="370"/>
      <c r="L165" s="228" t="s">
        <v>1806</v>
      </c>
    </row>
    <row r="166" spans="1:12" ht="15.75" thickBot="1">
      <c r="A166" s="367"/>
      <c r="B166" s="226" t="s">
        <v>1807</v>
      </c>
      <c r="C166" s="227"/>
      <c r="D166" s="227"/>
      <c r="E166" s="370"/>
      <c r="F166" s="228" t="s">
        <v>1807</v>
      </c>
      <c r="G166" s="367"/>
      <c r="H166" s="226" t="s">
        <v>1807</v>
      </c>
      <c r="I166" s="227"/>
      <c r="J166" s="227"/>
      <c r="K166" s="370"/>
      <c r="L166" s="228" t="s">
        <v>1807</v>
      </c>
    </row>
    <row r="167" spans="1:12" ht="15.75" thickBot="1">
      <c r="A167" s="367"/>
      <c r="B167" s="226" t="s">
        <v>1808</v>
      </c>
      <c r="C167" s="227"/>
      <c r="D167" s="227"/>
      <c r="E167" s="370"/>
      <c r="F167" s="228" t="s">
        <v>1808</v>
      </c>
      <c r="G167" s="367"/>
      <c r="H167" s="226" t="s">
        <v>1808</v>
      </c>
      <c r="I167" s="227"/>
      <c r="J167" s="227"/>
      <c r="K167" s="370"/>
      <c r="L167" s="228" t="s">
        <v>1808</v>
      </c>
    </row>
    <row r="168" spans="1:12" ht="15.75" thickBot="1">
      <c r="A168" s="367"/>
      <c r="B168" s="226" t="s">
        <v>1809</v>
      </c>
      <c r="C168" s="227"/>
      <c r="D168" s="227"/>
      <c r="E168" s="370"/>
      <c r="F168" s="228" t="s">
        <v>1809</v>
      </c>
      <c r="G168" s="367"/>
      <c r="H168" s="226" t="s">
        <v>1809</v>
      </c>
      <c r="I168" s="227"/>
      <c r="J168" s="227"/>
      <c r="K168" s="370"/>
      <c r="L168" s="228" t="s">
        <v>1809</v>
      </c>
    </row>
    <row r="169" spans="1:12" ht="15.75" thickBot="1">
      <c r="A169" s="367"/>
      <c r="B169" s="226" t="s">
        <v>1810</v>
      </c>
      <c r="C169" s="227"/>
      <c r="D169" s="227"/>
      <c r="E169" s="370"/>
      <c r="F169" s="228" t="s">
        <v>1810</v>
      </c>
      <c r="G169" s="367"/>
      <c r="H169" s="226" t="s">
        <v>1810</v>
      </c>
      <c r="I169" s="227"/>
      <c r="J169" s="227"/>
      <c r="K169" s="370"/>
      <c r="L169" s="228" t="s">
        <v>1810</v>
      </c>
    </row>
    <row r="170" spans="1:12" ht="15.75" thickBot="1">
      <c r="A170" s="367"/>
      <c r="B170" s="226" t="s">
        <v>1811</v>
      </c>
      <c r="C170" s="227"/>
      <c r="D170" s="227"/>
      <c r="E170" s="370"/>
      <c r="F170" s="228" t="s">
        <v>1811</v>
      </c>
      <c r="G170" s="367"/>
      <c r="H170" s="226" t="s">
        <v>1811</v>
      </c>
      <c r="I170" s="227"/>
      <c r="J170" s="227"/>
      <c r="K170" s="370"/>
      <c r="L170" s="228" t="s">
        <v>1811</v>
      </c>
    </row>
    <row r="171" spans="1:12" ht="15.75" thickBot="1">
      <c r="A171" s="367"/>
      <c r="B171" s="226" t="s">
        <v>1812</v>
      </c>
      <c r="C171" s="227"/>
      <c r="D171" s="227"/>
      <c r="E171" s="370"/>
      <c r="F171" s="228" t="s">
        <v>1812</v>
      </c>
      <c r="G171" s="367"/>
      <c r="H171" s="226" t="s">
        <v>1812</v>
      </c>
      <c r="I171" s="227"/>
      <c r="J171" s="227"/>
      <c r="K171" s="370"/>
      <c r="L171" s="228" t="s">
        <v>1812</v>
      </c>
    </row>
    <row r="172" spans="1:12" ht="15.75" thickBot="1">
      <c r="A172" s="367"/>
      <c r="B172" s="226" t="s">
        <v>1813</v>
      </c>
      <c r="C172" s="227"/>
      <c r="D172" s="227"/>
      <c r="E172" s="370"/>
      <c r="F172" s="228" t="s">
        <v>1813</v>
      </c>
      <c r="G172" s="367"/>
      <c r="H172" s="226" t="s">
        <v>1813</v>
      </c>
      <c r="I172" s="227"/>
      <c r="J172" s="227"/>
      <c r="K172" s="370"/>
      <c r="L172" s="228" t="s">
        <v>1813</v>
      </c>
    </row>
    <row r="173" spans="1:12" ht="15.75" thickBot="1">
      <c r="A173" s="367"/>
      <c r="B173" s="226" t="s">
        <v>1814</v>
      </c>
      <c r="C173" s="227"/>
      <c r="D173" s="227"/>
      <c r="E173" s="370"/>
      <c r="F173" s="228" t="s">
        <v>1814</v>
      </c>
      <c r="G173" s="367"/>
      <c r="H173" s="226" t="s">
        <v>1814</v>
      </c>
      <c r="I173" s="227"/>
      <c r="J173" s="227"/>
      <c r="K173" s="370"/>
      <c r="L173" s="228" t="s">
        <v>1814</v>
      </c>
    </row>
    <row r="174" spans="1:12" ht="26.25" thickBot="1">
      <c r="A174" s="367"/>
      <c r="B174" s="226" t="s">
        <v>1815</v>
      </c>
      <c r="C174" s="227"/>
      <c r="D174" s="227"/>
      <c r="E174" s="370"/>
      <c r="F174" s="228" t="s">
        <v>1816</v>
      </c>
      <c r="G174" s="367"/>
      <c r="H174" s="226" t="s">
        <v>1815</v>
      </c>
      <c r="I174" s="227"/>
      <c r="J174" s="227"/>
      <c r="K174" s="370"/>
      <c r="L174" s="228" t="s">
        <v>1816</v>
      </c>
    </row>
    <row r="175" spans="1:12" ht="15.75" thickBot="1">
      <c r="A175" s="368"/>
      <c r="B175" s="226" t="s">
        <v>1817</v>
      </c>
      <c r="C175" s="227"/>
      <c r="D175" s="227"/>
      <c r="E175" s="371"/>
      <c r="F175" s="228" t="s">
        <v>1818</v>
      </c>
      <c r="G175" s="368"/>
      <c r="H175" s="226" t="s">
        <v>1817</v>
      </c>
      <c r="I175" s="227"/>
      <c r="J175" s="227"/>
      <c r="K175" s="371"/>
      <c r="L175" s="228" t="s">
        <v>1818</v>
      </c>
    </row>
    <row r="176" spans="1:12" ht="15.75" thickBot="1">
      <c r="A176" s="366" t="s">
        <v>2122</v>
      </c>
      <c r="B176" s="226" t="s">
        <v>1803</v>
      </c>
      <c r="C176" s="227"/>
      <c r="D176" s="227"/>
      <c r="E176" s="369" t="s">
        <v>2122</v>
      </c>
      <c r="F176" s="228" t="s">
        <v>1803</v>
      </c>
      <c r="G176" s="366" t="s">
        <v>2122</v>
      </c>
      <c r="H176" s="226" t="s">
        <v>1803</v>
      </c>
      <c r="I176" s="227"/>
      <c r="J176" s="227"/>
      <c r="K176" s="369" t="s">
        <v>2122</v>
      </c>
      <c r="L176" s="228" t="s">
        <v>1803</v>
      </c>
    </row>
    <row r="177" spans="1:12" ht="15.75" thickBot="1">
      <c r="A177" s="367"/>
      <c r="B177" s="226" t="s">
        <v>1805</v>
      </c>
      <c r="C177" s="227"/>
      <c r="D177" s="227"/>
      <c r="E177" s="370"/>
      <c r="F177" s="228" t="s">
        <v>1805</v>
      </c>
      <c r="G177" s="367"/>
      <c r="H177" s="226" t="s">
        <v>1805</v>
      </c>
      <c r="I177" s="227"/>
      <c r="J177" s="227"/>
      <c r="K177" s="370"/>
      <c r="L177" s="228" t="s">
        <v>1805</v>
      </c>
    </row>
    <row r="178" spans="1:12" ht="15.75" thickBot="1">
      <c r="A178" s="367"/>
      <c r="B178" s="226" t="s">
        <v>1806</v>
      </c>
      <c r="C178" s="227"/>
      <c r="D178" s="227"/>
      <c r="E178" s="370"/>
      <c r="F178" s="228" t="s">
        <v>1806</v>
      </c>
      <c r="G178" s="367"/>
      <c r="H178" s="226" t="s">
        <v>1806</v>
      </c>
      <c r="I178" s="227"/>
      <c r="J178" s="227"/>
      <c r="K178" s="370"/>
      <c r="L178" s="228" t="s">
        <v>1806</v>
      </c>
    </row>
    <row r="179" spans="1:12" ht="15.75" thickBot="1">
      <c r="A179" s="367"/>
      <c r="B179" s="226" t="s">
        <v>1807</v>
      </c>
      <c r="C179" s="227"/>
      <c r="D179" s="227"/>
      <c r="E179" s="370"/>
      <c r="F179" s="228" t="s">
        <v>1807</v>
      </c>
      <c r="G179" s="367"/>
      <c r="H179" s="226" t="s">
        <v>1807</v>
      </c>
      <c r="I179" s="227"/>
      <c r="J179" s="227"/>
      <c r="K179" s="370"/>
      <c r="L179" s="228" t="s">
        <v>1807</v>
      </c>
    </row>
    <row r="180" spans="1:12" ht="15.75" thickBot="1">
      <c r="A180" s="367"/>
      <c r="B180" s="226" t="s">
        <v>1808</v>
      </c>
      <c r="C180" s="227"/>
      <c r="D180" s="227"/>
      <c r="E180" s="370"/>
      <c r="F180" s="228" t="s">
        <v>1808</v>
      </c>
      <c r="G180" s="367"/>
      <c r="H180" s="226" t="s">
        <v>1808</v>
      </c>
      <c r="I180" s="227"/>
      <c r="J180" s="227"/>
      <c r="K180" s="370"/>
      <c r="L180" s="228" t="s">
        <v>1808</v>
      </c>
    </row>
    <row r="181" spans="1:12" ht="15.75" thickBot="1">
      <c r="A181" s="367"/>
      <c r="B181" s="226" t="s">
        <v>1809</v>
      </c>
      <c r="C181" s="227"/>
      <c r="D181" s="227"/>
      <c r="E181" s="370"/>
      <c r="F181" s="228" t="s">
        <v>1809</v>
      </c>
      <c r="G181" s="367"/>
      <c r="H181" s="226" t="s">
        <v>1809</v>
      </c>
      <c r="I181" s="227"/>
      <c r="J181" s="227"/>
      <c r="K181" s="370"/>
      <c r="L181" s="228" t="s">
        <v>1809</v>
      </c>
    </row>
    <row r="182" spans="1:12" ht="15.75" thickBot="1">
      <c r="A182" s="367"/>
      <c r="B182" s="226" t="s">
        <v>1810</v>
      </c>
      <c r="C182" s="227"/>
      <c r="D182" s="227"/>
      <c r="E182" s="370"/>
      <c r="F182" s="228" t="s">
        <v>1810</v>
      </c>
      <c r="G182" s="367"/>
      <c r="H182" s="226" t="s">
        <v>1810</v>
      </c>
      <c r="I182" s="227"/>
      <c r="J182" s="227"/>
      <c r="K182" s="370"/>
      <c r="L182" s="228" t="s">
        <v>1810</v>
      </c>
    </row>
    <row r="183" spans="1:12" ht="15.75" thickBot="1">
      <c r="A183" s="367"/>
      <c r="B183" s="226" t="s">
        <v>1811</v>
      </c>
      <c r="C183" s="227"/>
      <c r="D183" s="227"/>
      <c r="E183" s="370"/>
      <c r="F183" s="228" t="s">
        <v>1811</v>
      </c>
      <c r="G183" s="367"/>
      <c r="H183" s="226" t="s">
        <v>1811</v>
      </c>
      <c r="I183" s="227"/>
      <c r="J183" s="227"/>
      <c r="K183" s="370"/>
      <c r="L183" s="228" t="s">
        <v>1811</v>
      </c>
    </row>
    <row r="184" spans="1:12" ht="15.75" thickBot="1">
      <c r="A184" s="367"/>
      <c r="B184" s="226" t="s">
        <v>1812</v>
      </c>
      <c r="C184" s="227"/>
      <c r="D184" s="227"/>
      <c r="E184" s="370"/>
      <c r="F184" s="228" t="s">
        <v>1812</v>
      </c>
      <c r="G184" s="367"/>
      <c r="H184" s="226" t="s">
        <v>1812</v>
      </c>
      <c r="I184" s="227"/>
      <c r="J184" s="227"/>
      <c r="K184" s="370"/>
      <c r="L184" s="228" t="s">
        <v>1812</v>
      </c>
    </row>
    <row r="185" spans="1:12" ht="15.75" thickBot="1">
      <c r="A185" s="367"/>
      <c r="B185" s="226" t="s">
        <v>1813</v>
      </c>
      <c r="C185" s="227"/>
      <c r="D185" s="227"/>
      <c r="E185" s="370"/>
      <c r="F185" s="228" t="s">
        <v>1813</v>
      </c>
      <c r="G185" s="367"/>
      <c r="H185" s="226" t="s">
        <v>1813</v>
      </c>
      <c r="I185" s="227"/>
      <c r="J185" s="227"/>
      <c r="K185" s="370"/>
      <c r="L185" s="228" t="s">
        <v>1813</v>
      </c>
    </row>
    <row r="186" spans="1:12" ht="15.75" thickBot="1">
      <c r="A186" s="367"/>
      <c r="B186" s="226" t="s">
        <v>1814</v>
      </c>
      <c r="C186" s="227"/>
      <c r="D186" s="227"/>
      <c r="E186" s="370"/>
      <c r="F186" s="228" t="s">
        <v>1814</v>
      </c>
      <c r="G186" s="367"/>
      <c r="H186" s="226" t="s">
        <v>1814</v>
      </c>
      <c r="I186" s="227"/>
      <c r="J186" s="227"/>
      <c r="K186" s="370"/>
      <c r="L186" s="228" t="s">
        <v>1814</v>
      </c>
    </row>
    <row r="187" spans="1:12" ht="26.25" thickBot="1">
      <c r="A187" s="367"/>
      <c r="B187" s="226" t="s">
        <v>1815</v>
      </c>
      <c r="C187" s="227"/>
      <c r="D187" s="227"/>
      <c r="E187" s="370"/>
      <c r="F187" s="228" t="s">
        <v>1816</v>
      </c>
      <c r="G187" s="367"/>
      <c r="H187" s="226" t="s">
        <v>1815</v>
      </c>
      <c r="I187" s="227"/>
      <c r="J187" s="227"/>
      <c r="K187" s="370"/>
      <c r="L187" s="228" t="s">
        <v>1816</v>
      </c>
    </row>
    <row r="188" spans="1:12" ht="15.75" thickBot="1">
      <c r="A188" s="368"/>
      <c r="B188" s="226" t="s">
        <v>1817</v>
      </c>
      <c r="C188" s="227"/>
      <c r="D188" s="227"/>
      <c r="E188" s="371"/>
      <c r="F188" s="228" t="s">
        <v>1818</v>
      </c>
      <c r="G188" s="368"/>
      <c r="H188" s="226" t="s">
        <v>1817</v>
      </c>
      <c r="I188" s="227"/>
      <c r="J188" s="227"/>
      <c r="K188" s="371"/>
      <c r="L188" s="228" t="s">
        <v>1818</v>
      </c>
    </row>
    <row r="189" spans="1:12" ht="15.75" thickBot="1">
      <c r="A189" s="366" t="s">
        <v>2123</v>
      </c>
      <c r="B189" s="226" t="s">
        <v>1803</v>
      </c>
      <c r="C189" s="227"/>
      <c r="D189" s="227"/>
      <c r="E189" s="369" t="s">
        <v>2123</v>
      </c>
      <c r="F189" s="228" t="s">
        <v>1803</v>
      </c>
      <c r="G189" s="366" t="s">
        <v>2123</v>
      </c>
      <c r="H189" s="226" t="s">
        <v>1803</v>
      </c>
      <c r="I189" s="227"/>
      <c r="J189" s="227"/>
      <c r="K189" s="369" t="s">
        <v>2123</v>
      </c>
      <c r="L189" s="228" t="s">
        <v>1803</v>
      </c>
    </row>
    <row r="190" spans="1:12" ht="15.75" thickBot="1">
      <c r="A190" s="367"/>
      <c r="B190" s="226" t="s">
        <v>1805</v>
      </c>
      <c r="C190" s="227"/>
      <c r="D190" s="227"/>
      <c r="E190" s="370"/>
      <c r="F190" s="228" t="s">
        <v>1805</v>
      </c>
      <c r="G190" s="367"/>
      <c r="H190" s="226" t="s">
        <v>1805</v>
      </c>
      <c r="I190" s="227"/>
      <c r="J190" s="227"/>
      <c r="K190" s="370"/>
      <c r="L190" s="228" t="s">
        <v>1805</v>
      </c>
    </row>
    <row r="191" spans="1:12" ht="15.75" thickBot="1">
      <c r="A191" s="367"/>
      <c r="B191" s="226" t="s">
        <v>1806</v>
      </c>
      <c r="C191" s="227"/>
      <c r="D191" s="227"/>
      <c r="E191" s="370"/>
      <c r="F191" s="228" t="s">
        <v>1806</v>
      </c>
      <c r="G191" s="367"/>
      <c r="H191" s="226" t="s">
        <v>1806</v>
      </c>
      <c r="I191" s="227"/>
      <c r="J191" s="227"/>
      <c r="K191" s="370"/>
      <c r="L191" s="228" t="s">
        <v>1806</v>
      </c>
    </row>
    <row r="192" spans="1:12" ht="15.75" thickBot="1">
      <c r="A192" s="367"/>
      <c r="B192" s="226" t="s">
        <v>1807</v>
      </c>
      <c r="C192" s="227"/>
      <c r="D192" s="227"/>
      <c r="E192" s="370"/>
      <c r="F192" s="228" t="s">
        <v>1807</v>
      </c>
      <c r="G192" s="367"/>
      <c r="H192" s="226" t="s">
        <v>1807</v>
      </c>
      <c r="I192" s="227"/>
      <c r="J192" s="227"/>
      <c r="K192" s="370"/>
      <c r="L192" s="228" t="s">
        <v>1807</v>
      </c>
    </row>
    <row r="193" spans="1:12" ht="15.75" thickBot="1">
      <c r="A193" s="367"/>
      <c r="B193" s="226" t="s">
        <v>1808</v>
      </c>
      <c r="C193" s="227"/>
      <c r="D193" s="227"/>
      <c r="E193" s="370"/>
      <c r="F193" s="228" t="s">
        <v>1808</v>
      </c>
      <c r="G193" s="367"/>
      <c r="H193" s="226" t="s">
        <v>1808</v>
      </c>
      <c r="I193" s="227"/>
      <c r="J193" s="227"/>
      <c r="K193" s="370"/>
      <c r="L193" s="228" t="s">
        <v>1808</v>
      </c>
    </row>
    <row r="194" spans="1:12" ht="15.75" thickBot="1">
      <c r="A194" s="367"/>
      <c r="B194" s="226" t="s">
        <v>1809</v>
      </c>
      <c r="C194" s="227"/>
      <c r="D194" s="227"/>
      <c r="E194" s="370"/>
      <c r="F194" s="228" t="s">
        <v>1809</v>
      </c>
      <c r="G194" s="367"/>
      <c r="H194" s="226" t="s">
        <v>1809</v>
      </c>
      <c r="I194" s="227"/>
      <c r="J194" s="227"/>
      <c r="K194" s="370"/>
      <c r="L194" s="228" t="s">
        <v>1809</v>
      </c>
    </row>
    <row r="195" spans="1:12" ht="15.75" thickBot="1">
      <c r="A195" s="367"/>
      <c r="B195" s="226" t="s">
        <v>1810</v>
      </c>
      <c r="C195" s="227"/>
      <c r="D195" s="227"/>
      <c r="E195" s="370"/>
      <c r="F195" s="228" t="s">
        <v>1810</v>
      </c>
      <c r="G195" s="367"/>
      <c r="H195" s="226" t="s">
        <v>1810</v>
      </c>
      <c r="I195" s="227"/>
      <c r="J195" s="227"/>
      <c r="K195" s="370"/>
      <c r="L195" s="228" t="s">
        <v>1810</v>
      </c>
    </row>
    <row r="196" spans="1:12" ht="15.75" thickBot="1">
      <c r="A196" s="367"/>
      <c r="B196" s="226" t="s">
        <v>1811</v>
      </c>
      <c r="C196" s="227"/>
      <c r="D196" s="227"/>
      <c r="E196" s="370"/>
      <c r="F196" s="228" t="s">
        <v>1811</v>
      </c>
      <c r="G196" s="367"/>
      <c r="H196" s="226" t="s">
        <v>1811</v>
      </c>
      <c r="I196" s="227"/>
      <c r="J196" s="227"/>
      <c r="K196" s="370"/>
      <c r="L196" s="228" t="s">
        <v>1811</v>
      </c>
    </row>
    <row r="197" spans="1:12" ht="15.75" thickBot="1">
      <c r="A197" s="367"/>
      <c r="B197" s="226" t="s">
        <v>1812</v>
      </c>
      <c r="C197" s="227"/>
      <c r="D197" s="227"/>
      <c r="E197" s="370"/>
      <c r="F197" s="228" t="s">
        <v>1812</v>
      </c>
      <c r="G197" s="367"/>
      <c r="H197" s="226" t="s">
        <v>1812</v>
      </c>
      <c r="I197" s="227"/>
      <c r="J197" s="227"/>
      <c r="K197" s="370"/>
      <c r="L197" s="228" t="s">
        <v>1812</v>
      </c>
    </row>
    <row r="198" spans="1:12" ht="15.75" thickBot="1">
      <c r="A198" s="367"/>
      <c r="B198" s="226" t="s">
        <v>1813</v>
      </c>
      <c r="C198" s="227"/>
      <c r="D198" s="227"/>
      <c r="E198" s="370"/>
      <c r="F198" s="228" t="s">
        <v>1813</v>
      </c>
      <c r="G198" s="367"/>
      <c r="H198" s="226" t="s">
        <v>1813</v>
      </c>
      <c r="I198" s="227"/>
      <c r="J198" s="227"/>
      <c r="K198" s="370"/>
      <c r="L198" s="228" t="s">
        <v>1813</v>
      </c>
    </row>
    <row r="199" spans="1:12" ht="15.75" thickBot="1">
      <c r="A199" s="367"/>
      <c r="B199" s="226" t="s">
        <v>1814</v>
      </c>
      <c r="C199" s="227"/>
      <c r="D199" s="227"/>
      <c r="E199" s="370"/>
      <c r="F199" s="228" t="s">
        <v>1814</v>
      </c>
      <c r="G199" s="367"/>
      <c r="H199" s="226" t="s">
        <v>1814</v>
      </c>
      <c r="I199" s="227"/>
      <c r="J199" s="227"/>
      <c r="K199" s="370"/>
      <c r="L199" s="228" t="s">
        <v>1814</v>
      </c>
    </row>
    <row r="200" spans="1:12" ht="26.25" thickBot="1">
      <c r="A200" s="367"/>
      <c r="B200" s="226" t="s">
        <v>1815</v>
      </c>
      <c r="C200" s="227"/>
      <c r="D200" s="227"/>
      <c r="E200" s="370"/>
      <c r="F200" s="228" t="s">
        <v>1816</v>
      </c>
      <c r="G200" s="367"/>
      <c r="H200" s="226" t="s">
        <v>1815</v>
      </c>
      <c r="I200" s="227"/>
      <c r="J200" s="227"/>
      <c r="K200" s="370"/>
      <c r="L200" s="228" t="s">
        <v>1816</v>
      </c>
    </row>
    <row r="201" spans="1:12" ht="15.75" thickBot="1">
      <c r="A201" s="368"/>
      <c r="B201" s="226" t="s">
        <v>1817</v>
      </c>
      <c r="C201" s="227"/>
      <c r="D201" s="227"/>
      <c r="E201" s="371"/>
      <c r="F201" s="228" t="s">
        <v>1818</v>
      </c>
      <c r="G201" s="368"/>
      <c r="H201" s="226" t="s">
        <v>1817</v>
      </c>
      <c r="I201" s="227"/>
      <c r="J201" s="227"/>
      <c r="K201" s="371"/>
      <c r="L201" s="228" t="s">
        <v>1818</v>
      </c>
    </row>
    <row r="202" spans="1:12" ht="15.75" thickBot="1">
      <c r="A202" s="366" t="s">
        <v>2124</v>
      </c>
      <c r="B202" s="226" t="s">
        <v>1803</v>
      </c>
      <c r="C202" s="227"/>
      <c r="D202" s="227"/>
      <c r="E202" s="369" t="s">
        <v>2124</v>
      </c>
      <c r="F202" s="228" t="s">
        <v>1803</v>
      </c>
      <c r="G202" s="366" t="s">
        <v>2124</v>
      </c>
      <c r="H202" s="226" t="s">
        <v>1803</v>
      </c>
      <c r="I202" s="227"/>
      <c r="J202" s="227"/>
      <c r="K202" s="369" t="s">
        <v>2124</v>
      </c>
      <c r="L202" s="228" t="s">
        <v>1803</v>
      </c>
    </row>
    <row r="203" spans="1:12" ht="15.75" thickBot="1">
      <c r="A203" s="367"/>
      <c r="B203" s="226" t="s">
        <v>1805</v>
      </c>
      <c r="C203" s="227"/>
      <c r="D203" s="227"/>
      <c r="E203" s="370"/>
      <c r="F203" s="228" t="s">
        <v>1805</v>
      </c>
      <c r="G203" s="367"/>
      <c r="H203" s="226" t="s">
        <v>1805</v>
      </c>
      <c r="I203" s="227"/>
      <c r="J203" s="227"/>
      <c r="K203" s="370"/>
      <c r="L203" s="228" t="s">
        <v>1805</v>
      </c>
    </row>
    <row r="204" spans="1:12" ht="15.75" thickBot="1">
      <c r="A204" s="367"/>
      <c r="B204" s="226" t="s">
        <v>1806</v>
      </c>
      <c r="C204" s="227"/>
      <c r="D204" s="227"/>
      <c r="E204" s="370"/>
      <c r="F204" s="228" t="s">
        <v>1806</v>
      </c>
      <c r="G204" s="367"/>
      <c r="H204" s="226" t="s">
        <v>1806</v>
      </c>
      <c r="I204" s="227"/>
      <c r="J204" s="227"/>
      <c r="K204" s="370"/>
      <c r="L204" s="228" t="s">
        <v>1806</v>
      </c>
    </row>
    <row r="205" spans="1:12" ht="15.75" thickBot="1">
      <c r="A205" s="367"/>
      <c r="B205" s="226" t="s">
        <v>1807</v>
      </c>
      <c r="C205" s="227"/>
      <c r="D205" s="227"/>
      <c r="E205" s="370"/>
      <c r="F205" s="228" t="s">
        <v>1807</v>
      </c>
      <c r="G205" s="367"/>
      <c r="H205" s="226" t="s">
        <v>1807</v>
      </c>
      <c r="I205" s="227"/>
      <c r="J205" s="227"/>
      <c r="K205" s="370"/>
      <c r="L205" s="228" t="s">
        <v>1807</v>
      </c>
    </row>
    <row r="206" spans="1:12" ht="15.75" thickBot="1">
      <c r="A206" s="367"/>
      <c r="B206" s="226" t="s">
        <v>1808</v>
      </c>
      <c r="C206" s="227"/>
      <c r="D206" s="227"/>
      <c r="E206" s="370"/>
      <c r="F206" s="228" t="s">
        <v>1808</v>
      </c>
      <c r="G206" s="367"/>
      <c r="H206" s="226" t="s">
        <v>1808</v>
      </c>
      <c r="I206" s="227"/>
      <c r="J206" s="227"/>
      <c r="K206" s="370"/>
      <c r="L206" s="228" t="s">
        <v>1808</v>
      </c>
    </row>
    <row r="207" spans="1:12" ht="15.75" thickBot="1">
      <c r="A207" s="367"/>
      <c r="B207" s="226" t="s">
        <v>1809</v>
      </c>
      <c r="C207" s="227"/>
      <c r="D207" s="227"/>
      <c r="E207" s="370"/>
      <c r="F207" s="228" t="s">
        <v>1809</v>
      </c>
      <c r="G207" s="367"/>
      <c r="H207" s="226" t="s">
        <v>1809</v>
      </c>
      <c r="I207" s="227"/>
      <c r="J207" s="227"/>
      <c r="K207" s="370"/>
      <c r="L207" s="228" t="s">
        <v>1809</v>
      </c>
    </row>
    <row r="208" spans="1:12" ht="15.75" thickBot="1">
      <c r="A208" s="367"/>
      <c r="B208" s="226" t="s">
        <v>1810</v>
      </c>
      <c r="C208" s="227"/>
      <c r="D208" s="227"/>
      <c r="E208" s="370"/>
      <c r="F208" s="228" t="s">
        <v>1810</v>
      </c>
      <c r="G208" s="367"/>
      <c r="H208" s="226" t="s">
        <v>1810</v>
      </c>
      <c r="I208" s="227"/>
      <c r="J208" s="227"/>
      <c r="K208" s="370"/>
      <c r="L208" s="228" t="s">
        <v>1810</v>
      </c>
    </row>
    <row r="209" spans="1:12" ht="15.75" thickBot="1">
      <c r="A209" s="367"/>
      <c r="B209" s="226" t="s">
        <v>1811</v>
      </c>
      <c r="C209" s="227"/>
      <c r="D209" s="227"/>
      <c r="E209" s="370"/>
      <c r="F209" s="228" t="s">
        <v>1811</v>
      </c>
      <c r="G209" s="367"/>
      <c r="H209" s="226" t="s">
        <v>1811</v>
      </c>
      <c r="I209" s="227"/>
      <c r="J209" s="227"/>
      <c r="K209" s="370"/>
      <c r="L209" s="228" t="s">
        <v>1811</v>
      </c>
    </row>
    <row r="210" spans="1:12" ht="15.75" thickBot="1">
      <c r="A210" s="367"/>
      <c r="B210" s="226" t="s">
        <v>1812</v>
      </c>
      <c r="C210" s="227"/>
      <c r="D210" s="227"/>
      <c r="E210" s="370"/>
      <c r="F210" s="228" t="s">
        <v>1812</v>
      </c>
      <c r="G210" s="367"/>
      <c r="H210" s="226" t="s">
        <v>1812</v>
      </c>
      <c r="I210" s="227"/>
      <c r="J210" s="227"/>
      <c r="K210" s="370"/>
      <c r="L210" s="228" t="s">
        <v>1812</v>
      </c>
    </row>
    <row r="211" spans="1:12" ht="15.75" thickBot="1">
      <c r="A211" s="367"/>
      <c r="B211" s="226" t="s">
        <v>1813</v>
      </c>
      <c r="C211" s="227"/>
      <c r="D211" s="227"/>
      <c r="E211" s="370"/>
      <c r="F211" s="228" t="s">
        <v>1813</v>
      </c>
      <c r="G211" s="367"/>
      <c r="H211" s="226" t="s">
        <v>1813</v>
      </c>
      <c r="I211" s="227"/>
      <c r="J211" s="227"/>
      <c r="K211" s="370"/>
      <c r="L211" s="228" t="s">
        <v>1813</v>
      </c>
    </row>
    <row r="212" spans="1:12" ht="15.75" thickBot="1">
      <c r="A212" s="367"/>
      <c r="B212" s="226" t="s">
        <v>1814</v>
      </c>
      <c r="C212" s="227"/>
      <c r="D212" s="227"/>
      <c r="E212" s="370"/>
      <c r="F212" s="228" t="s">
        <v>1814</v>
      </c>
      <c r="G212" s="367"/>
      <c r="H212" s="226" t="s">
        <v>1814</v>
      </c>
      <c r="I212" s="227"/>
      <c r="J212" s="227"/>
      <c r="K212" s="370"/>
      <c r="L212" s="228" t="s">
        <v>1814</v>
      </c>
    </row>
    <row r="213" spans="1:12" ht="26.25" thickBot="1">
      <c r="A213" s="367"/>
      <c r="B213" s="226" t="s">
        <v>1815</v>
      </c>
      <c r="C213" s="227"/>
      <c r="D213" s="227"/>
      <c r="E213" s="370"/>
      <c r="F213" s="228" t="s">
        <v>1816</v>
      </c>
      <c r="G213" s="367"/>
      <c r="H213" s="226" t="s">
        <v>1815</v>
      </c>
      <c r="I213" s="227"/>
      <c r="J213" s="227"/>
      <c r="K213" s="370"/>
      <c r="L213" s="228" t="s">
        <v>1816</v>
      </c>
    </row>
    <row r="214" spans="1:12" ht="15.75" thickBot="1">
      <c r="A214" s="368"/>
      <c r="B214" s="226" t="s">
        <v>1817</v>
      </c>
      <c r="C214" s="227"/>
      <c r="D214" s="227"/>
      <c r="E214" s="371"/>
      <c r="F214" s="228" t="s">
        <v>1818</v>
      </c>
      <c r="G214" s="368"/>
      <c r="H214" s="226" t="s">
        <v>1817</v>
      </c>
      <c r="I214" s="227"/>
      <c r="J214" s="227"/>
      <c r="K214" s="371"/>
      <c r="L214" s="228" t="s">
        <v>1818</v>
      </c>
    </row>
    <row r="215" spans="1:12" ht="15.75" thickBot="1">
      <c r="A215" s="366" t="s">
        <v>2125</v>
      </c>
      <c r="B215" s="226" t="s">
        <v>1803</v>
      </c>
      <c r="C215" s="227"/>
      <c r="D215" s="227"/>
      <c r="E215" s="369" t="s">
        <v>2125</v>
      </c>
      <c r="F215" s="228" t="s">
        <v>1803</v>
      </c>
      <c r="G215" s="366" t="s">
        <v>2125</v>
      </c>
      <c r="H215" s="226" t="s">
        <v>1803</v>
      </c>
      <c r="I215" s="227"/>
      <c r="J215" s="227"/>
      <c r="K215" s="369" t="s">
        <v>2125</v>
      </c>
      <c r="L215" s="228" t="s">
        <v>1803</v>
      </c>
    </row>
    <row r="216" spans="1:12" ht="15.75" thickBot="1">
      <c r="A216" s="367"/>
      <c r="B216" s="226" t="s">
        <v>1805</v>
      </c>
      <c r="C216" s="227"/>
      <c r="D216" s="227"/>
      <c r="E216" s="370"/>
      <c r="F216" s="228" t="s">
        <v>1805</v>
      </c>
      <c r="G216" s="367"/>
      <c r="H216" s="226" t="s">
        <v>1805</v>
      </c>
      <c r="I216" s="227"/>
      <c r="J216" s="227"/>
      <c r="K216" s="370"/>
      <c r="L216" s="228" t="s">
        <v>1805</v>
      </c>
    </row>
    <row r="217" spans="1:12" ht="15.75" thickBot="1">
      <c r="A217" s="367"/>
      <c r="B217" s="226" t="s">
        <v>1806</v>
      </c>
      <c r="C217" s="227"/>
      <c r="D217" s="227"/>
      <c r="E217" s="370"/>
      <c r="F217" s="228" t="s">
        <v>1806</v>
      </c>
      <c r="G217" s="367"/>
      <c r="H217" s="226" t="s">
        <v>1806</v>
      </c>
      <c r="I217" s="227"/>
      <c r="J217" s="227"/>
      <c r="K217" s="370"/>
      <c r="L217" s="228" t="s">
        <v>1806</v>
      </c>
    </row>
    <row r="218" spans="1:12" ht="15.75" thickBot="1">
      <c r="A218" s="367"/>
      <c r="B218" s="226" t="s">
        <v>1807</v>
      </c>
      <c r="C218" s="227"/>
      <c r="D218" s="227"/>
      <c r="E218" s="370"/>
      <c r="F218" s="228" t="s">
        <v>1807</v>
      </c>
      <c r="G218" s="367"/>
      <c r="H218" s="226" t="s">
        <v>1807</v>
      </c>
      <c r="I218" s="227"/>
      <c r="J218" s="227"/>
      <c r="K218" s="370"/>
      <c r="L218" s="228" t="s">
        <v>1807</v>
      </c>
    </row>
    <row r="219" spans="1:12" ht="15.75" thickBot="1">
      <c r="A219" s="367"/>
      <c r="B219" s="226" t="s">
        <v>1808</v>
      </c>
      <c r="C219" s="227"/>
      <c r="D219" s="227"/>
      <c r="E219" s="370"/>
      <c r="F219" s="228" t="s">
        <v>1808</v>
      </c>
      <c r="G219" s="367"/>
      <c r="H219" s="226" t="s">
        <v>1808</v>
      </c>
      <c r="I219" s="227"/>
      <c r="J219" s="227"/>
      <c r="K219" s="370"/>
      <c r="L219" s="228" t="s">
        <v>1808</v>
      </c>
    </row>
    <row r="220" spans="1:12" ht="15.75" thickBot="1">
      <c r="A220" s="367"/>
      <c r="B220" s="226" t="s">
        <v>1809</v>
      </c>
      <c r="C220" s="227"/>
      <c r="D220" s="227"/>
      <c r="E220" s="370"/>
      <c r="F220" s="228" t="s">
        <v>1809</v>
      </c>
      <c r="G220" s="367"/>
      <c r="H220" s="226" t="s">
        <v>1809</v>
      </c>
      <c r="I220" s="227"/>
      <c r="J220" s="227"/>
      <c r="K220" s="370"/>
      <c r="L220" s="228" t="s">
        <v>1809</v>
      </c>
    </row>
    <row r="221" spans="1:12" ht="15.75" thickBot="1">
      <c r="A221" s="367"/>
      <c r="B221" s="226" t="s">
        <v>1810</v>
      </c>
      <c r="C221" s="227"/>
      <c r="D221" s="227"/>
      <c r="E221" s="370"/>
      <c r="F221" s="228" t="s">
        <v>1810</v>
      </c>
      <c r="G221" s="367"/>
      <c r="H221" s="226" t="s">
        <v>1810</v>
      </c>
      <c r="I221" s="227"/>
      <c r="J221" s="227"/>
      <c r="K221" s="370"/>
      <c r="L221" s="228" t="s">
        <v>1810</v>
      </c>
    </row>
    <row r="222" spans="1:12" ht="15.75" thickBot="1">
      <c r="A222" s="367"/>
      <c r="B222" s="226" t="s">
        <v>1811</v>
      </c>
      <c r="C222" s="227"/>
      <c r="D222" s="227"/>
      <c r="E222" s="370"/>
      <c r="F222" s="228" t="s">
        <v>1811</v>
      </c>
      <c r="G222" s="367"/>
      <c r="H222" s="226" t="s">
        <v>1811</v>
      </c>
      <c r="I222" s="227"/>
      <c r="J222" s="227"/>
      <c r="K222" s="370"/>
      <c r="L222" s="228" t="s">
        <v>1811</v>
      </c>
    </row>
    <row r="223" spans="1:12" ht="15.75" thickBot="1">
      <c r="A223" s="367"/>
      <c r="B223" s="226" t="s">
        <v>1812</v>
      </c>
      <c r="C223" s="227"/>
      <c r="D223" s="227"/>
      <c r="E223" s="370"/>
      <c r="F223" s="228" t="s">
        <v>1812</v>
      </c>
      <c r="G223" s="367"/>
      <c r="H223" s="226" t="s">
        <v>1812</v>
      </c>
      <c r="I223" s="227"/>
      <c r="J223" s="227"/>
      <c r="K223" s="370"/>
      <c r="L223" s="228" t="s">
        <v>1812</v>
      </c>
    </row>
    <row r="224" spans="1:12" ht="15.75" thickBot="1">
      <c r="A224" s="367"/>
      <c r="B224" s="226" t="s">
        <v>1813</v>
      </c>
      <c r="C224" s="227"/>
      <c r="D224" s="227"/>
      <c r="E224" s="370"/>
      <c r="F224" s="228" t="s">
        <v>1813</v>
      </c>
      <c r="G224" s="367"/>
      <c r="H224" s="226" t="s">
        <v>1813</v>
      </c>
      <c r="I224" s="227"/>
      <c r="J224" s="227"/>
      <c r="K224" s="370"/>
      <c r="L224" s="228" t="s">
        <v>1813</v>
      </c>
    </row>
    <row r="225" spans="1:12" ht="15.75" thickBot="1">
      <c r="A225" s="367"/>
      <c r="B225" s="226" t="s">
        <v>1814</v>
      </c>
      <c r="C225" s="227"/>
      <c r="D225" s="227"/>
      <c r="E225" s="370"/>
      <c r="F225" s="228" t="s">
        <v>1814</v>
      </c>
      <c r="G225" s="367"/>
      <c r="H225" s="226" t="s">
        <v>1814</v>
      </c>
      <c r="I225" s="227"/>
      <c r="J225" s="227"/>
      <c r="K225" s="370"/>
      <c r="L225" s="228" t="s">
        <v>1814</v>
      </c>
    </row>
    <row r="226" spans="1:12" ht="26.25" thickBot="1">
      <c r="A226" s="367"/>
      <c r="B226" s="226" t="s">
        <v>1815</v>
      </c>
      <c r="C226" s="227"/>
      <c r="D226" s="227"/>
      <c r="E226" s="370"/>
      <c r="F226" s="228" t="s">
        <v>1816</v>
      </c>
      <c r="G226" s="367"/>
      <c r="H226" s="226" t="s">
        <v>1815</v>
      </c>
      <c r="I226" s="227"/>
      <c r="J226" s="227"/>
      <c r="K226" s="370"/>
      <c r="L226" s="228" t="s">
        <v>1816</v>
      </c>
    </row>
    <row r="227" spans="1:12" ht="15.75" thickBot="1">
      <c r="A227" s="368"/>
      <c r="B227" s="226" t="s">
        <v>1817</v>
      </c>
      <c r="C227" s="227"/>
      <c r="D227" s="227"/>
      <c r="E227" s="371"/>
      <c r="F227" s="228" t="s">
        <v>1818</v>
      </c>
      <c r="G227" s="368"/>
      <c r="H227" s="226" t="s">
        <v>1817</v>
      </c>
      <c r="I227" s="227"/>
      <c r="J227" s="227"/>
      <c r="K227" s="371"/>
      <c r="L227" s="228" t="s">
        <v>1818</v>
      </c>
    </row>
    <row r="228" spans="1:12" ht="15.75" thickBot="1">
      <c r="A228" s="366" t="s">
        <v>2126</v>
      </c>
      <c r="B228" s="226" t="s">
        <v>1803</v>
      </c>
      <c r="C228" s="227"/>
      <c r="D228" s="227"/>
      <c r="E228" s="369" t="s">
        <v>2126</v>
      </c>
      <c r="F228" s="228" t="s">
        <v>1803</v>
      </c>
      <c r="G228" s="366" t="s">
        <v>2126</v>
      </c>
      <c r="H228" s="226" t="s">
        <v>1803</v>
      </c>
      <c r="I228" s="227"/>
      <c r="J228" s="227"/>
      <c r="K228" s="369" t="s">
        <v>2126</v>
      </c>
      <c r="L228" s="228" t="s">
        <v>1803</v>
      </c>
    </row>
    <row r="229" spans="1:12" ht="15.75" thickBot="1">
      <c r="A229" s="367"/>
      <c r="B229" s="226" t="s">
        <v>1805</v>
      </c>
      <c r="C229" s="227"/>
      <c r="D229" s="227"/>
      <c r="E229" s="370"/>
      <c r="F229" s="228" t="s">
        <v>1805</v>
      </c>
      <c r="G229" s="367"/>
      <c r="H229" s="226" t="s">
        <v>1805</v>
      </c>
      <c r="I229" s="227"/>
      <c r="J229" s="227"/>
      <c r="K229" s="370"/>
      <c r="L229" s="228" t="s">
        <v>1805</v>
      </c>
    </row>
    <row r="230" spans="1:12" ht="15.75" thickBot="1">
      <c r="A230" s="367"/>
      <c r="B230" s="226" t="s">
        <v>1806</v>
      </c>
      <c r="C230" s="227"/>
      <c r="D230" s="227"/>
      <c r="E230" s="370"/>
      <c r="F230" s="228" t="s">
        <v>1806</v>
      </c>
      <c r="G230" s="367"/>
      <c r="H230" s="226" t="s">
        <v>1806</v>
      </c>
      <c r="I230" s="227"/>
      <c r="J230" s="227"/>
      <c r="K230" s="370"/>
      <c r="L230" s="228" t="s">
        <v>1806</v>
      </c>
    </row>
    <row r="231" spans="1:12" ht="15.75" thickBot="1">
      <c r="A231" s="367"/>
      <c r="B231" s="226" t="s">
        <v>1807</v>
      </c>
      <c r="C231" s="227"/>
      <c r="D231" s="227"/>
      <c r="E231" s="370"/>
      <c r="F231" s="228" t="s">
        <v>1807</v>
      </c>
      <c r="G231" s="367"/>
      <c r="H231" s="226" t="s">
        <v>1807</v>
      </c>
      <c r="I231" s="227"/>
      <c r="J231" s="227"/>
      <c r="K231" s="370"/>
      <c r="L231" s="228" t="s">
        <v>1807</v>
      </c>
    </row>
    <row r="232" spans="1:12" ht="15.75" thickBot="1">
      <c r="A232" s="367"/>
      <c r="B232" s="226" t="s">
        <v>1808</v>
      </c>
      <c r="C232" s="227"/>
      <c r="D232" s="227"/>
      <c r="E232" s="370"/>
      <c r="F232" s="228" t="s">
        <v>1808</v>
      </c>
      <c r="G232" s="367"/>
      <c r="H232" s="226" t="s">
        <v>1808</v>
      </c>
      <c r="I232" s="227"/>
      <c r="J232" s="227"/>
      <c r="K232" s="370"/>
      <c r="L232" s="228" t="s">
        <v>1808</v>
      </c>
    </row>
    <row r="233" spans="1:12" ht="15.75" thickBot="1">
      <c r="A233" s="367"/>
      <c r="B233" s="226" t="s">
        <v>1809</v>
      </c>
      <c r="C233" s="227"/>
      <c r="D233" s="227"/>
      <c r="E233" s="370"/>
      <c r="F233" s="228" t="s">
        <v>1809</v>
      </c>
      <c r="G233" s="367"/>
      <c r="H233" s="226" t="s">
        <v>1809</v>
      </c>
      <c r="I233" s="227"/>
      <c r="J233" s="227"/>
      <c r="K233" s="370"/>
      <c r="L233" s="228" t="s">
        <v>1809</v>
      </c>
    </row>
    <row r="234" spans="1:12" ht="15.75" thickBot="1">
      <c r="A234" s="367"/>
      <c r="B234" s="226" t="s">
        <v>1810</v>
      </c>
      <c r="C234" s="227"/>
      <c r="D234" s="227"/>
      <c r="E234" s="370"/>
      <c r="F234" s="228" t="s">
        <v>1810</v>
      </c>
      <c r="G234" s="367"/>
      <c r="H234" s="226" t="s">
        <v>1810</v>
      </c>
      <c r="I234" s="227"/>
      <c r="J234" s="227"/>
      <c r="K234" s="370"/>
      <c r="L234" s="228" t="s">
        <v>1810</v>
      </c>
    </row>
    <row r="235" spans="1:12" ht="15.75" thickBot="1">
      <c r="A235" s="367"/>
      <c r="B235" s="226" t="s">
        <v>1811</v>
      </c>
      <c r="C235" s="227"/>
      <c r="D235" s="227"/>
      <c r="E235" s="370"/>
      <c r="F235" s="228" t="s">
        <v>1811</v>
      </c>
      <c r="G235" s="367"/>
      <c r="H235" s="226" t="s">
        <v>1811</v>
      </c>
      <c r="I235" s="227"/>
      <c r="J235" s="227"/>
      <c r="K235" s="370"/>
      <c r="L235" s="228" t="s">
        <v>1811</v>
      </c>
    </row>
    <row r="236" spans="1:12" ht="15.75" thickBot="1">
      <c r="A236" s="367"/>
      <c r="B236" s="226" t="s">
        <v>1812</v>
      </c>
      <c r="C236" s="227"/>
      <c r="D236" s="227"/>
      <c r="E236" s="370"/>
      <c r="F236" s="228" t="s">
        <v>1812</v>
      </c>
      <c r="G236" s="367"/>
      <c r="H236" s="226" t="s">
        <v>1812</v>
      </c>
      <c r="I236" s="227"/>
      <c r="J236" s="227"/>
      <c r="K236" s="370"/>
      <c r="L236" s="228" t="s">
        <v>1812</v>
      </c>
    </row>
    <row r="237" spans="1:12" ht="15.75" thickBot="1">
      <c r="A237" s="367"/>
      <c r="B237" s="226" t="s">
        <v>1813</v>
      </c>
      <c r="C237" s="227"/>
      <c r="D237" s="227"/>
      <c r="E237" s="370"/>
      <c r="F237" s="228" t="s">
        <v>1813</v>
      </c>
      <c r="G237" s="367"/>
      <c r="H237" s="226" t="s">
        <v>1813</v>
      </c>
      <c r="I237" s="227"/>
      <c r="J237" s="227"/>
      <c r="K237" s="370"/>
      <c r="L237" s="228" t="s">
        <v>1813</v>
      </c>
    </row>
    <row r="238" spans="1:12" ht="15.75" thickBot="1">
      <c r="A238" s="367"/>
      <c r="B238" s="226" t="s">
        <v>1814</v>
      </c>
      <c r="C238" s="227"/>
      <c r="D238" s="227"/>
      <c r="E238" s="370"/>
      <c r="F238" s="228" t="s">
        <v>1814</v>
      </c>
      <c r="G238" s="367"/>
      <c r="H238" s="226" t="s">
        <v>1814</v>
      </c>
      <c r="I238" s="227"/>
      <c r="J238" s="227"/>
      <c r="K238" s="370"/>
      <c r="L238" s="228" t="s">
        <v>1814</v>
      </c>
    </row>
    <row r="239" spans="1:12" ht="26.25" thickBot="1">
      <c r="A239" s="367"/>
      <c r="B239" s="226" t="s">
        <v>1815</v>
      </c>
      <c r="C239" s="227"/>
      <c r="D239" s="227"/>
      <c r="E239" s="370"/>
      <c r="F239" s="228" t="s">
        <v>1816</v>
      </c>
      <c r="G239" s="367"/>
      <c r="H239" s="226" t="s">
        <v>1815</v>
      </c>
      <c r="I239" s="227"/>
      <c r="J239" s="227"/>
      <c r="K239" s="370"/>
      <c r="L239" s="228" t="s">
        <v>1816</v>
      </c>
    </row>
    <row r="240" spans="1:12" ht="15.75" thickBot="1">
      <c r="A240" s="368"/>
      <c r="B240" s="226" t="s">
        <v>1817</v>
      </c>
      <c r="C240" s="227"/>
      <c r="D240" s="227"/>
      <c r="E240" s="371"/>
      <c r="F240" s="228" t="s">
        <v>1818</v>
      </c>
      <c r="G240" s="368"/>
      <c r="H240" s="226" t="s">
        <v>1817</v>
      </c>
      <c r="I240" s="227"/>
      <c r="J240" s="227"/>
      <c r="K240" s="371"/>
      <c r="L240" s="228" t="s">
        <v>1818</v>
      </c>
    </row>
    <row r="241" spans="1:12" ht="15.75" thickBot="1">
      <c r="A241" s="366" t="s">
        <v>2127</v>
      </c>
      <c r="B241" s="226" t="s">
        <v>1803</v>
      </c>
      <c r="C241" s="227"/>
      <c r="D241" s="227"/>
      <c r="E241" s="369" t="s">
        <v>2127</v>
      </c>
      <c r="F241" s="228" t="s">
        <v>1803</v>
      </c>
      <c r="G241" s="366" t="s">
        <v>2127</v>
      </c>
      <c r="H241" s="226" t="s">
        <v>1803</v>
      </c>
      <c r="I241" s="227"/>
      <c r="J241" s="227"/>
      <c r="K241" s="369" t="s">
        <v>2127</v>
      </c>
      <c r="L241" s="228" t="s">
        <v>1803</v>
      </c>
    </row>
    <row r="242" spans="1:12" ht="15.75" thickBot="1">
      <c r="A242" s="367"/>
      <c r="B242" s="226" t="s">
        <v>1805</v>
      </c>
      <c r="C242" s="227"/>
      <c r="D242" s="227"/>
      <c r="E242" s="370"/>
      <c r="F242" s="228" t="s">
        <v>1805</v>
      </c>
      <c r="G242" s="367"/>
      <c r="H242" s="226" t="s">
        <v>1805</v>
      </c>
      <c r="I242" s="227"/>
      <c r="J242" s="227"/>
      <c r="K242" s="370"/>
      <c r="L242" s="228" t="s">
        <v>1805</v>
      </c>
    </row>
    <row r="243" spans="1:12" ht="15.75" thickBot="1">
      <c r="A243" s="367"/>
      <c r="B243" s="226" t="s">
        <v>1806</v>
      </c>
      <c r="C243" s="227"/>
      <c r="D243" s="227"/>
      <c r="E243" s="370"/>
      <c r="F243" s="228" t="s">
        <v>1806</v>
      </c>
      <c r="G243" s="367"/>
      <c r="H243" s="226" t="s">
        <v>1806</v>
      </c>
      <c r="I243" s="227"/>
      <c r="J243" s="227"/>
      <c r="K243" s="370"/>
      <c r="L243" s="228" t="s">
        <v>1806</v>
      </c>
    </row>
    <row r="244" spans="1:12" ht="15.75" thickBot="1">
      <c r="A244" s="367"/>
      <c r="B244" s="226" t="s">
        <v>1807</v>
      </c>
      <c r="C244" s="227"/>
      <c r="D244" s="227"/>
      <c r="E244" s="370"/>
      <c r="F244" s="228" t="s">
        <v>1807</v>
      </c>
      <c r="G244" s="367"/>
      <c r="H244" s="226" t="s">
        <v>1807</v>
      </c>
      <c r="I244" s="227"/>
      <c r="J244" s="227"/>
      <c r="K244" s="370"/>
      <c r="L244" s="228" t="s">
        <v>1807</v>
      </c>
    </row>
    <row r="245" spans="1:12" ht="15.75" thickBot="1">
      <c r="A245" s="367"/>
      <c r="B245" s="226" t="s">
        <v>1808</v>
      </c>
      <c r="C245" s="227"/>
      <c r="D245" s="227"/>
      <c r="E245" s="370"/>
      <c r="F245" s="228" t="s">
        <v>1808</v>
      </c>
      <c r="G245" s="367"/>
      <c r="H245" s="226" t="s">
        <v>1808</v>
      </c>
      <c r="I245" s="227"/>
      <c r="J245" s="227"/>
      <c r="K245" s="370"/>
      <c r="L245" s="228" t="s">
        <v>1808</v>
      </c>
    </row>
    <row r="246" spans="1:12" ht="15.75" thickBot="1">
      <c r="A246" s="367"/>
      <c r="B246" s="226" t="s">
        <v>1809</v>
      </c>
      <c r="C246" s="227"/>
      <c r="D246" s="227"/>
      <c r="E246" s="370"/>
      <c r="F246" s="228" t="s">
        <v>1809</v>
      </c>
      <c r="G246" s="367"/>
      <c r="H246" s="226" t="s">
        <v>1809</v>
      </c>
      <c r="I246" s="227"/>
      <c r="J246" s="227"/>
      <c r="K246" s="370"/>
      <c r="L246" s="228" t="s">
        <v>1809</v>
      </c>
    </row>
    <row r="247" spans="1:12" ht="15.75" thickBot="1">
      <c r="A247" s="367"/>
      <c r="B247" s="226" t="s">
        <v>1810</v>
      </c>
      <c r="C247" s="227"/>
      <c r="D247" s="227"/>
      <c r="E247" s="370"/>
      <c r="F247" s="228" t="s">
        <v>1810</v>
      </c>
      <c r="G247" s="367"/>
      <c r="H247" s="226" t="s">
        <v>1810</v>
      </c>
      <c r="I247" s="227"/>
      <c r="J247" s="227"/>
      <c r="K247" s="370"/>
      <c r="L247" s="228" t="s">
        <v>1810</v>
      </c>
    </row>
    <row r="248" spans="1:12" ht="15.75" thickBot="1">
      <c r="A248" s="367"/>
      <c r="B248" s="226" t="s">
        <v>1811</v>
      </c>
      <c r="C248" s="227"/>
      <c r="D248" s="227"/>
      <c r="E248" s="370"/>
      <c r="F248" s="228" t="s">
        <v>1811</v>
      </c>
      <c r="G248" s="367"/>
      <c r="H248" s="226" t="s">
        <v>1811</v>
      </c>
      <c r="I248" s="227"/>
      <c r="J248" s="227"/>
      <c r="K248" s="370"/>
      <c r="L248" s="228" t="s">
        <v>1811</v>
      </c>
    </row>
    <row r="249" spans="1:12" ht="15.75" thickBot="1">
      <c r="A249" s="367"/>
      <c r="B249" s="226" t="s">
        <v>1812</v>
      </c>
      <c r="C249" s="227"/>
      <c r="D249" s="227"/>
      <c r="E249" s="370"/>
      <c r="F249" s="228" t="s">
        <v>1812</v>
      </c>
      <c r="G249" s="367"/>
      <c r="H249" s="226" t="s">
        <v>1812</v>
      </c>
      <c r="I249" s="227"/>
      <c r="J249" s="227"/>
      <c r="K249" s="370"/>
      <c r="L249" s="228" t="s">
        <v>1812</v>
      </c>
    </row>
    <row r="250" spans="1:12" ht="15.75" thickBot="1">
      <c r="A250" s="367"/>
      <c r="B250" s="226" t="s">
        <v>1813</v>
      </c>
      <c r="C250" s="227"/>
      <c r="D250" s="227"/>
      <c r="E250" s="370"/>
      <c r="F250" s="228" t="s">
        <v>1813</v>
      </c>
      <c r="G250" s="367"/>
      <c r="H250" s="226" t="s">
        <v>1813</v>
      </c>
      <c r="I250" s="227"/>
      <c r="J250" s="227"/>
      <c r="K250" s="370"/>
      <c r="L250" s="228" t="s">
        <v>1813</v>
      </c>
    </row>
    <row r="251" spans="1:12" ht="15.75" thickBot="1">
      <c r="A251" s="367"/>
      <c r="B251" s="226" t="s">
        <v>1814</v>
      </c>
      <c r="C251" s="227"/>
      <c r="D251" s="227"/>
      <c r="E251" s="370"/>
      <c r="F251" s="228" t="s">
        <v>1814</v>
      </c>
      <c r="G251" s="367"/>
      <c r="H251" s="226" t="s">
        <v>1814</v>
      </c>
      <c r="I251" s="227"/>
      <c r="J251" s="227"/>
      <c r="K251" s="370"/>
      <c r="L251" s="228" t="s">
        <v>1814</v>
      </c>
    </row>
    <row r="252" spans="1:12" ht="26.25" thickBot="1">
      <c r="A252" s="367"/>
      <c r="B252" s="226" t="s">
        <v>1815</v>
      </c>
      <c r="C252" s="227"/>
      <c r="D252" s="227"/>
      <c r="E252" s="370"/>
      <c r="F252" s="228" t="s">
        <v>1816</v>
      </c>
      <c r="G252" s="367"/>
      <c r="H252" s="226" t="s">
        <v>1815</v>
      </c>
      <c r="I252" s="227"/>
      <c r="J252" s="227"/>
      <c r="K252" s="370"/>
      <c r="L252" s="228" t="s">
        <v>1816</v>
      </c>
    </row>
    <row r="253" spans="1:12" ht="15.75" thickBot="1">
      <c r="A253" s="368"/>
      <c r="B253" s="226" t="s">
        <v>1817</v>
      </c>
      <c r="C253" s="227"/>
      <c r="D253" s="227"/>
      <c r="E253" s="371"/>
      <c r="F253" s="228" t="s">
        <v>1818</v>
      </c>
      <c r="G253" s="368"/>
      <c r="H253" s="226" t="s">
        <v>1817</v>
      </c>
      <c r="I253" s="227"/>
      <c r="J253" s="227"/>
      <c r="K253" s="371"/>
      <c r="L253" s="228" t="s">
        <v>1818</v>
      </c>
    </row>
    <row r="254" spans="1:12" ht="15.75" thickBot="1">
      <c r="A254" s="366" t="s">
        <v>2128</v>
      </c>
      <c r="B254" s="226" t="s">
        <v>1803</v>
      </c>
      <c r="C254" s="227"/>
      <c r="D254" s="227"/>
      <c r="E254" s="369" t="s">
        <v>2128</v>
      </c>
      <c r="F254" s="228" t="s">
        <v>1803</v>
      </c>
      <c r="G254" s="366" t="s">
        <v>2128</v>
      </c>
      <c r="H254" s="226" t="s">
        <v>1803</v>
      </c>
      <c r="I254" s="227"/>
      <c r="J254" s="227"/>
      <c r="K254" s="369" t="s">
        <v>2128</v>
      </c>
      <c r="L254" s="228" t="s">
        <v>1803</v>
      </c>
    </row>
    <row r="255" spans="1:12" ht="15.75" thickBot="1">
      <c r="A255" s="367"/>
      <c r="B255" s="226" t="s">
        <v>1805</v>
      </c>
      <c r="C255" s="227"/>
      <c r="D255" s="227"/>
      <c r="E255" s="370"/>
      <c r="F255" s="228" t="s">
        <v>1805</v>
      </c>
      <c r="G255" s="367"/>
      <c r="H255" s="226" t="s">
        <v>1805</v>
      </c>
      <c r="I255" s="227"/>
      <c r="J255" s="227"/>
      <c r="K255" s="370"/>
      <c r="L255" s="228" t="s">
        <v>1805</v>
      </c>
    </row>
    <row r="256" spans="1:12" ht="15.75" thickBot="1">
      <c r="A256" s="367"/>
      <c r="B256" s="226" t="s">
        <v>1806</v>
      </c>
      <c r="C256" s="227"/>
      <c r="D256" s="227"/>
      <c r="E256" s="370"/>
      <c r="F256" s="228" t="s">
        <v>1806</v>
      </c>
      <c r="G256" s="367"/>
      <c r="H256" s="226" t="s">
        <v>1806</v>
      </c>
      <c r="I256" s="227"/>
      <c r="J256" s="227"/>
      <c r="K256" s="370"/>
      <c r="L256" s="228" t="s">
        <v>1806</v>
      </c>
    </row>
    <row r="257" spans="1:12" ht="15.75" thickBot="1">
      <c r="A257" s="367"/>
      <c r="B257" s="226" t="s">
        <v>1807</v>
      </c>
      <c r="C257" s="227"/>
      <c r="D257" s="227"/>
      <c r="E257" s="370"/>
      <c r="F257" s="228" t="s">
        <v>1807</v>
      </c>
      <c r="G257" s="367"/>
      <c r="H257" s="226" t="s">
        <v>1807</v>
      </c>
      <c r="I257" s="227"/>
      <c r="J257" s="227"/>
      <c r="K257" s="370"/>
      <c r="L257" s="228" t="s">
        <v>1807</v>
      </c>
    </row>
    <row r="258" spans="1:12" ht="15.75" thickBot="1">
      <c r="A258" s="367"/>
      <c r="B258" s="226" t="s">
        <v>1808</v>
      </c>
      <c r="C258" s="227"/>
      <c r="D258" s="227"/>
      <c r="E258" s="370"/>
      <c r="F258" s="228" t="s">
        <v>1808</v>
      </c>
      <c r="G258" s="367"/>
      <c r="H258" s="226" t="s">
        <v>1808</v>
      </c>
      <c r="I258" s="227"/>
      <c r="J258" s="227"/>
      <c r="K258" s="370"/>
      <c r="L258" s="228" t="s">
        <v>1808</v>
      </c>
    </row>
    <row r="259" spans="1:12" ht="15.75" thickBot="1">
      <c r="A259" s="367"/>
      <c r="B259" s="226" t="s">
        <v>1809</v>
      </c>
      <c r="C259" s="227"/>
      <c r="D259" s="227"/>
      <c r="E259" s="370"/>
      <c r="F259" s="228" t="s">
        <v>1809</v>
      </c>
      <c r="G259" s="367"/>
      <c r="H259" s="226" t="s">
        <v>1809</v>
      </c>
      <c r="I259" s="227"/>
      <c r="J259" s="227"/>
      <c r="K259" s="370"/>
      <c r="L259" s="228" t="s">
        <v>1809</v>
      </c>
    </row>
    <row r="260" spans="1:12" ht="15.75" thickBot="1">
      <c r="A260" s="367"/>
      <c r="B260" s="226" t="s">
        <v>1810</v>
      </c>
      <c r="C260" s="227"/>
      <c r="D260" s="227"/>
      <c r="E260" s="370"/>
      <c r="F260" s="228" t="s">
        <v>1810</v>
      </c>
      <c r="G260" s="367"/>
      <c r="H260" s="226" t="s">
        <v>1810</v>
      </c>
      <c r="I260" s="227"/>
      <c r="J260" s="227"/>
      <c r="K260" s="370"/>
      <c r="L260" s="228" t="s">
        <v>1810</v>
      </c>
    </row>
    <row r="261" spans="1:12" ht="15.75" thickBot="1">
      <c r="A261" s="367"/>
      <c r="B261" s="226" t="s">
        <v>1811</v>
      </c>
      <c r="C261" s="227"/>
      <c r="D261" s="227"/>
      <c r="E261" s="370"/>
      <c r="F261" s="228" t="s">
        <v>1811</v>
      </c>
      <c r="G261" s="367"/>
      <c r="H261" s="226" t="s">
        <v>1811</v>
      </c>
      <c r="I261" s="227"/>
      <c r="J261" s="227"/>
      <c r="K261" s="370"/>
      <c r="L261" s="228" t="s">
        <v>1811</v>
      </c>
    </row>
    <row r="262" spans="1:12" ht="15.75" thickBot="1">
      <c r="A262" s="367"/>
      <c r="B262" s="226" t="s">
        <v>1812</v>
      </c>
      <c r="C262" s="227"/>
      <c r="D262" s="227"/>
      <c r="E262" s="370"/>
      <c r="F262" s="228" t="s">
        <v>1812</v>
      </c>
      <c r="G262" s="367"/>
      <c r="H262" s="226" t="s">
        <v>1812</v>
      </c>
      <c r="I262" s="227"/>
      <c r="J262" s="227"/>
      <c r="K262" s="370"/>
      <c r="L262" s="228" t="s">
        <v>1812</v>
      </c>
    </row>
    <row r="263" spans="1:12" ht="15.75" thickBot="1">
      <c r="A263" s="367"/>
      <c r="B263" s="226" t="s">
        <v>1813</v>
      </c>
      <c r="C263" s="227"/>
      <c r="D263" s="227"/>
      <c r="E263" s="370"/>
      <c r="F263" s="228" t="s">
        <v>1813</v>
      </c>
      <c r="G263" s="367"/>
      <c r="H263" s="226" t="s">
        <v>1813</v>
      </c>
      <c r="I263" s="227"/>
      <c r="J263" s="227"/>
      <c r="K263" s="370"/>
      <c r="L263" s="228" t="s">
        <v>1813</v>
      </c>
    </row>
    <row r="264" spans="1:12" ht="15.75" thickBot="1">
      <c r="A264" s="367"/>
      <c r="B264" s="226" t="s">
        <v>1814</v>
      </c>
      <c r="C264" s="227"/>
      <c r="D264" s="227"/>
      <c r="E264" s="370"/>
      <c r="F264" s="228" t="s">
        <v>1814</v>
      </c>
      <c r="G264" s="367"/>
      <c r="H264" s="226" t="s">
        <v>1814</v>
      </c>
      <c r="I264" s="227"/>
      <c r="J264" s="227"/>
      <c r="K264" s="370"/>
      <c r="L264" s="228" t="s">
        <v>1814</v>
      </c>
    </row>
    <row r="265" spans="1:12" ht="26.25" thickBot="1">
      <c r="A265" s="367"/>
      <c r="B265" s="226" t="s">
        <v>1815</v>
      </c>
      <c r="C265" s="227"/>
      <c r="D265" s="227"/>
      <c r="E265" s="370"/>
      <c r="F265" s="228" t="s">
        <v>1816</v>
      </c>
      <c r="G265" s="367"/>
      <c r="H265" s="226" t="s">
        <v>1815</v>
      </c>
      <c r="I265" s="227"/>
      <c r="J265" s="227"/>
      <c r="K265" s="370"/>
      <c r="L265" s="228" t="s">
        <v>1816</v>
      </c>
    </row>
    <row r="266" spans="1:12" ht="15.75" thickBot="1">
      <c r="A266" s="368"/>
      <c r="B266" s="226" t="s">
        <v>1817</v>
      </c>
      <c r="C266" s="227"/>
      <c r="D266" s="227"/>
      <c r="E266" s="371"/>
      <c r="F266" s="228" t="s">
        <v>1818</v>
      </c>
      <c r="G266" s="368"/>
      <c r="H266" s="226" t="s">
        <v>1817</v>
      </c>
      <c r="I266" s="227"/>
      <c r="J266" s="227"/>
      <c r="K266" s="371"/>
      <c r="L266" s="228" t="s">
        <v>1818</v>
      </c>
    </row>
    <row r="267" spans="1:12" ht="15.75" thickBot="1">
      <c r="A267" s="366" t="s">
        <v>2129</v>
      </c>
      <c r="B267" s="226" t="s">
        <v>1803</v>
      </c>
      <c r="C267" s="227"/>
      <c r="D267" s="227"/>
      <c r="E267" s="369" t="s">
        <v>2130</v>
      </c>
      <c r="F267" s="228" t="s">
        <v>1803</v>
      </c>
      <c r="G267" s="366" t="s">
        <v>2129</v>
      </c>
      <c r="H267" s="226" t="s">
        <v>1803</v>
      </c>
      <c r="I267" s="227"/>
      <c r="J267" s="227"/>
      <c r="K267" s="369" t="s">
        <v>2130</v>
      </c>
      <c r="L267" s="228" t="s">
        <v>1803</v>
      </c>
    </row>
    <row r="268" spans="1:12" ht="15.75" thickBot="1">
      <c r="A268" s="367"/>
      <c r="B268" s="226" t="s">
        <v>1805</v>
      </c>
      <c r="C268" s="227"/>
      <c r="D268" s="227"/>
      <c r="E268" s="370"/>
      <c r="F268" s="228" t="s">
        <v>1805</v>
      </c>
      <c r="G268" s="367"/>
      <c r="H268" s="226" t="s">
        <v>1805</v>
      </c>
      <c r="I268" s="227"/>
      <c r="J268" s="227"/>
      <c r="K268" s="370"/>
      <c r="L268" s="228" t="s">
        <v>1805</v>
      </c>
    </row>
    <row r="269" spans="1:12" ht="15.75" thickBot="1">
      <c r="A269" s="367"/>
      <c r="B269" s="226" t="s">
        <v>1806</v>
      </c>
      <c r="C269" s="227"/>
      <c r="D269" s="227"/>
      <c r="E269" s="370"/>
      <c r="F269" s="228" t="s">
        <v>1806</v>
      </c>
      <c r="G269" s="367"/>
      <c r="H269" s="226" t="s">
        <v>1806</v>
      </c>
      <c r="I269" s="227"/>
      <c r="J269" s="227"/>
      <c r="K269" s="370"/>
      <c r="L269" s="228" t="s">
        <v>1806</v>
      </c>
    </row>
    <row r="270" spans="1:12" ht="15.75" thickBot="1">
      <c r="A270" s="367"/>
      <c r="B270" s="226" t="s">
        <v>1807</v>
      </c>
      <c r="C270" s="227"/>
      <c r="D270" s="227"/>
      <c r="E270" s="370"/>
      <c r="F270" s="228" t="s">
        <v>1807</v>
      </c>
      <c r="G270" s="367"/>
      <c r="H270" s="226" t="s">
        <v>1807</v>
      </c>
      <c r="I270" s="227"/>
      <c r="J270" s="227"/>
      <c r="K270" s="370"/>
      <c r="L270" s="228" t="s">
        <v>1807</v>
      </c>
    </row>
    <row r="271" spans="1:12" ht="15.75" thickBot="1">
      <c r="A271" s="367"/>
      <c r="B271" s="226" t="s">
        <v>1808</v>
      </c>
      <c r="C271" s="227"/>
      <c r="D271" s="227"/>
      <c r="E271" s="370"/>
      <c r="F271" s="228" t="s">
        <v>1808</v>
      </c>
      <c r="G271" s="367"/>
      <c r="H271" s="226" t="s">
        <v>1808</v>
      </c>
      <c r="I271" s="227"/>
      <c r="J271" s="227"/>
      <c r="K271" s="370"/>
      <c r="L271" s="228" t="s">
        <v>1808</v>
      </c>
    </row>
    <row r="272" spans="1:12" ht="15.75" thickBot="1">
      <c r="A272" s="367"/>
      <c r="B272" s="226" t="s">
        <v>1809</v>
      </c>
      <c r="C272" s="227"/>
      <c r="D272" s="227"/>
      <c r="E272" s="370"/>
      <c r="F272" s="228" t="s">
        <v>1809</v>
      </c>
      <c r="G272" s="367"/>
      <c r="H272" s="226" t="s">
        <v>1809</v>
      </c>
      <c r="I272" s="227"/>
      <c r="J272" s="227"/>
      <c r="K272" s="370"/>
      <c r="L272" s="228" t="s">
        <v>1809</v>
      </c>
    </row>
    <row r="273" spans="1:12" ht="15.75" thickBot="1">
      <c r="A273" s="367"/>
      <c r="B273" s="226" t="s">
        <v>1810</v>
      </c>
      <c r="C273" s="227"/>
      <c r="D273" s="227"/>
      <c r="E273" s="370"/>
      <c r="F273" s="228" t="s">
        <v>1810</v>
      </c>
      <c r="G273" s="367"/>
      <c r="H273" s="226" t="s">
        <v>1810</v>
      </c>
      <c r="I273" s="227"/>
      <c r="J273" s="227"/>
      <c r="K273" s="370"/>
      <c r="L273" s="228" t="s">
        <v>1810</v>
      </c>
    </row>
    <row r="274" spans="1:12" ht="15.75" thickBot="1">
      <c r="A274" s="367"/>
      <c r="B274" s="226" t="s">
        <v>1811</v>
      </c>
      <c r="C274" s="227"/>
      <c r="D274" s="227"/>
      <c r="E274" s="370"/>
      <c r="F274" s="228" t="s">
        <v>1811</v>
      </c>
      <c r="G274" s="367"/>
      <c r="H274" s="226" t="s">
        <v>1811</v>
      </c>
      <c r="I274" s="227"/>
      <c r="J274" s="227"/>
      <c r="K274" s="370"/>
      <c r="L274" s="228" t="s">
        <v>1811</v>
      </c>
    </row>
    <row r="275" spans="1:12" ht="15.75" thickBot="1">
      <c r="A275" s="367"/>
      <c r="B275" s="226" t="s">
        <v>1812</v>
      </c>
      <c r="C275" s="227"/>
      <c r="D275" s="227"/>
      <c r="E275" s="370"/>
      <c r="F275" s="228" t="s">
        <v>1812</v>
      </c>
      <c r="G275" s="367"/>
      <c r="H275" s="226" t="s">
        <v>1812</v>
      </c>
      <c r="I275" s="227"/>
      <c r="J275" s="227"/>
      <c r="K275" s="370"/>
      <c r="L275" s="228" t="s">
        <v>1812</v>
      </c>
    </row>
    <row r="276" spans="1:12" ht="15.75" thickBot="1">
      <c r="A276" s="367"/>
      <c r="B276" s="226" t="s">
        <v>1813</v>
      </c>
      <c r="C276" s="227"/>
      <c r="D276" s="227"/>
      <c r="E276" s="370"/>
      <c r="F276" s="228" t="s">
        <v>1813</v>
      </c>
      <c r="G276" s="367"/>
      <c r="H276" s="226" t="s">
        <v>1813</v>
      </c>
      <c r="I276" s="227"/>
      <c r="J276" s="227"/>
      <c r="K276" s="370"/>
      <c r="L276" s="228" t="s">
        <v>1813</v>
      </c>
    </row>
    <row r="277" spans="1:12" ht="15.75" thickBot="1">
      <c r="A277" s="367"/>
      <c r="B277" s="226" t="s">
        <v>1814</v>
      </c>
      <c r="C277" s="227"/>
      <c r="D277" s="227"/>
      <c r="E277" s="370"/>
      <c r="F277" s="228" t="s">
        <v>1814</v>
      </c>
      <c r="G277" s="367"/>
      <c r="H277" s="226" t="s">
        <v>1814</v>
      </c>
      <c r="I277" s="227"/>
      <c r="J277" s="227"/>
      <c r="K277" s="370"/>
      <c r="L277" s="228" t="s">
        <v>1814</v>
      </c>
    </row>
    <row r="278" spans="1:12" ht="26.25" thickBot="1">
      <c r="A278" s="367"/>
      <c r="B278" s="226" t="s">
        <v>1815</v>
      </c>
      <c r="C278" s="227"/>
      <c r="D278" s="227"/>
      <c r="E278" s="370"/>
      <c r="F278" s="228" t="s">
        <v>1816</v>
      </c>
      <c r="G278" s="367"/>
      <c r="H278" s="226" t="s">
        <v>1815</v>
      </c>
      <c r="I278" s="227"/>
      <c r="J278" s="227"/>
      <c r="K278" s="370"/>
      <c r="L278" s="228" t="s">
        <v>1816</v>
      </c>
    </row>
    <row r="279" spans="1:12" ht="15.75" thickBot="1">
      <c r="A279" s="368"/>
      <c r="B279" s="226" t="s">
        <v>1817</v>
      </c>
      <c r="C279" s="227"/>
      <c r="D279" s="227"/>
      <c r="E279" s="371"/>
      <c r="F279" s="228" t="s">
        <v>1818</v>
      </c>
      <c r="G279" s="368"/>
      <c r="H279" s="226" t="s">
        <v>1817</v>
      </c>
      <c r="I279" s="227"/>
      <c r="J279" s="227"/>
      <c r="K279" s="371"/>
      <c r="L279" s="228" t="s">
        <v>1818</v>
      </c>
    </row>
    <row r="280" spans="1:12" ht="15.75" thickBot="1">
      <c r="A280" s="366" t="s">
        <v>2131</v>
      </c>
      <c r="B280" s="226" t="s">
        <v>1803</v>
      </c>
      <c r="C280" s="227"/>
      <c r="D280" s="227"/>
      <c r="E280" s="369" t="s">
        <v>2132</v>
      </c>
      <c r="F280" s="228" t="s">
        <v>1803</v>
      </c>
      <c r="G280" s="366" t="s">
        <v>2131</v>
      </c>
      <c r="H280" s="226" t="s">
        <v>1803</v>
      </c>
      <c r="I280" s="227"/>
      <c r="J280" s="227"/>
      <c r="K280" s="369" t="s">
        <v>2132</v>
      </c>
      <c r="L280" s="228" t="s">
        <v>1803</v>
      </c>
    </row>
    <row r="281" spans="1:12" ht="15.75" thickBot="1">
      <c r="A281" s="367"/>
      <c r="B281" s="226" t="s">
        <v>1805</v>
      </c>
      <c r="C281" s="227"/>
      <c r="D281" s="227"/>
      <c r="E281" s="370"/>
      <c r="F281" s="228" t="s">
        <v>1805</v>
      </c>
      <c r="G281" s="367"/>
      <c r="H281" s="226" t="s">
        <v>1805</v>
      </c>
      <c r="I281" s="227"/>
      <c r="J281" s="227"/>
      <c r="K281" s="370"/>
      <c r="L281" s="228" t="s">
        <v>1805</v>
      </c>
    </row>
    <row r="282" spans="1:12" ht="15.75" thickBot="1">
      <c r="A282" s="367"/>
      <c r="B282" s="226" t="s">
        <v>1806</v>
      </c>
      <c r="C282" s="227"/>
      <c r="D282" s="227"/>
      <c r="E282" s="370"/>
      <c r="F282" s="228" t="s">
        <v>1806</v>
      </c>
      <c r="G282" s="367"/>
      <c r="H282" s="226" t="s">
        <v>1806</v>
      </c>
      <c r="I282" s="227"/>
      <c r="J282" s="227"/>
      <c r="K282" s="370"/>
      <c r="L282" s="228" t="s">
        <v>1806</v>
      </c>
    </row>
    <row r="283" spans="1:12" ht="15.75" thickBot="1">
      <c r="A283" s="367"/>
      <c r="B283" s="226" t="s">
        <v>1807</v>
      </c>
      <c r="C283" s="227"/>
      <c r="D283" s="227"/>
      <c r="E283" s="370"/>
      <c r="F283" s="228" t="s">
        <v>1807</v>
      </c>
      <c r="G283" s="367"/>
      <c r="H283" s="226" t="s">
        <v>1807</v>
      </c>
      <c r="I283" s="227"/>
      <c r="J283" s="227"/>
      <c r="K283" s="370"/>
      <c r="L283" s="228" t="s">
        <v>1807</v>
      </c>
    </row>
    <row r="284" spans="1:12" ht="15.75" thickBot="1">
      <c r="A284" s="367"/>
      <c r="B284" s="226" t="s">
        <v>1808</v>
      </c>
      <c r="C284" s="227"/>
      <c r="D284" s="227"/>
      <c r="E284" s="370"/>
      <c r="F284" s="228" t="s">
        <v>1808</v>
      </c>
      <c r="G284" s="367"/>
      <c r="H284" s="226" t="s">
        <v>1808</v>
      </c>
      <c r="I284" s="227"/>
      <c r="J284" s="227"/>
      <c r="K284" s="370"/>
      <c r="L284" s="228" t="s">
        <v>1808</v>
      </c>
    </row>
    <row r="285" spans="1:12" ht="15.75" thickBot="1">
      <c r="A285" s="367"/>
      <c r="B285" s="226" t="s">
        <v>1809</v>
      </c>
      <c r="C285" s="227"/>
      <c r="D285" s="227"/>
      <c r="E285" s="370"/>
      <c r="F285" s="228" t="s">
        <v>1809</v>
      </c>
      <c r="G285" s="367"/>
      <c r="H285" s="226" t="s">
        <v>1809</v>
      </c>
      <c r="I285" s="227"/>
      <c r="J285" s="227"/>
      <c r="K285" s="370"/>
      <c r="L285" s="228" t="s">
        <v>1809</v>
      </c>
    </row>
    <row r="286" spans="1:12" ht="15.75" thickBot="1">
      <c r="A286" s="367"/>
      <c r="B286" s="226" t="s">
        <v>1810</v>
      </c>
      <c r="C286" s="227"/>
      <c r="D286" s="227"/>
      <c r="E286" s="370"/>
      <c r="F286" s="228" t="s">
        <v>1810</v>
      </c>
      <c r="G286" s="367"/>
      <c r="H286" s="226" t="s">
        <v>1810</v>
      </c>
      <c r="I286" s="227"/>
      <c r="J286" s="227"/>
      <c r="K286" s="370"/>
      <c r="L286" s="228" t="s">
        <v>1810</v>
      </c>
    </row>
    <row r="287" spans="1:12" ht="15.75" thickBot="1">
      <c r="A287" s="367"/>
      <c r="B287" s="226" t="s">
        <v>1811</v>
      </c>
      <c r="C287" s="227"/>
      <c r="D287" s="227"/>
      <c r="E287" s="370"/>
      <c r="F287" s="228" t="s">
        <v>1811</v>
      </c>
      <c r="G287" s="367"/>
      <c r="H287" s="226" t="s">
        <v>1811</v>
      </c>
      <c r="I287" s="227"/>
      <c r="J287" s="227"/>
      <c r="K287" s="370"/>
      <c r="L287" s="228" t="s">
        <v>1811</v>
      </c>
    </row>
    <row r="288" spans="1:12" ht="15.75" thickBot="1">
      <c r="A288" s="367"/>
      <c r="B288" s="226" t="s">
        <v>1812</v>
      </c>
      <c r="C288" s="227"/>
      <c r="D288" s="227"/>
      <c r="E288" s="370"/>
      <c r="F288" s="228" t="s">
        <v>1812</v>
      </c>
      <c r="G288" s="367"/>
      <c r="H288" s="226" t="s">
        <v>1812</v>
      </c>
      <c r="I288" s="227"/>
      <c r="J288" s="227"/>
      <c r="K288" s="370"/>
      <c r="L288" s="228" t="s">
        <v>1812</v>
      </c>
    </row>
    <row r="289" spans="1:12" ht="15.75" thickBot="1">
      <c r="A289" s="367"/>
      <c r="B289" s="226" t="s">
        <v>1813</v>
      </c>
      <c r="C289" s="227"/>
      <c r="D289" s="227"/>
      <c r="E289" s="370"/>
      <c r="F289" s="228" t="s">
        <v>1813</v>
      </c>
      <c r="G289" s="367"/>
      <c r="H289" s="226" t="s">
        <v>1813</v>
      </c>
      <c r="I289" s="227"/>
      <c r="J289" s="227"/>
      <c r="K289" s="370"/>
      <c r="L289" s="228" t="s">
        <v>1813</v>
      </c>
    </row>
    <row r="290" spans="1:12" ht="15.75" thickBot="1">
      <c r="A290" s="367"/>
      <c r="B290" s="226" t="s">
        <v>1814</v>
      </c>
      <c r="C290" s="227"/>
      <c r="D290" s="227"/>
      <c r="E290" s="370"/>
      <c r="F290" s="228" t="s">
        <v>1814</v>
      </c>
      <c r="G290" s="367"/>
      <c r="H290" s="226" t="s">
        <v>1814</v>
      </c>
      <c r="I290" s="227"/>
      <c r="J290" s="227"/>
      <c r="K290" s="370"/>
      <c r="L290" s="228" t="s">
        <v>1814</v>
      </c>
    </row>
    <row r="291" spans="1:12" ht="26.25" thickBot="1">
      <c r="A291" s="367"/>
      <c r="B291" s="226" t="s">
        <v>1815</v>
      </c>
      <c r="C291" s="227"/>
      <c r="D291" s="227"/>
      <c r="E291" s="370"/>
      <c r="F291" s="228" t="s">
        <v>1816</v>
      </c>
      <c r="G291" s="367"/>
      <c r="H291" s="226" t="s">
        <v>1815</v>
      </c>
      <c r="I291" s="227"/>
      <c r="J291" s="227"/>
      <c r="K291" s="370"/>
      <c r="L291" s="228" t="s">
        <v>1816</v>
      </c>
    </row>
    <row r="292" spans="1:12" ht="15.75" thickBot="1">
      <c r="A292" s="368"/>
      <c r="B292" s="226" t="s">
        <v>1817</v>
      </c>
      <c r="C292" s="227"/>
      <c r="D292" s="227"/>
      <c r="E292" s="371"/>
      <c r="F292" s="228" t="s">
        <v>1818</v>
      </c>
      <c r="G292" s="368"/>
      <c r="H292" s="226" t="s">
        <v>1817</v>
      </c>
      <c r="I292" s="227"/>
      <c r="J292" s="227"/>
      <c r="K292" s="371"/>
      <c r="L292" s="228" t="s">
        <v>1818</v>
      </c>
    </row>
    <row r="293" spans="1:12" ht="15.75" thickBot="1">
      <c r="A293" s="366" t="s">
        <v>2133</v>
      </c>
      <c r="B293" s="226" t="s">
        <v>1803</v>
      </c>
      <c r="C293" s="227">
        <v>50000000000</v>
      </c>
      <c r="D293" s="227">
        <v>50000</v>
      </c>
      <c r="E293" s="369" t="s">
        <v>2134</v>
      </c>
      <c r="F293" s="228" t="s">
        <v>1803</v>
      </c>
      <c r="G293" s="366" t="s">
        <v>2133</v>
      </c>
      <c r="H293" s="226" t="s">
        <v>1803</v>
      </c>
      <c r="I293" s="227"/>
      <c r="J293" s="227">
        <v>216024</v>
      </c>
      <c r="K293" s="369" t="s">
        <v>2134</v>
      </c>
      <c r="L293" s="228" t="s">
        <v>1803</v>
      </c>
    </row>
    <row r="294" spans="1:12" ht="15.75" thickBot="1">
      <c r="A294" s="367"/>
      <c r="B294" s="226" t="s">
        <v>1805</v>
      </c>
      <c r="C294" s="227"/>
      <c r="D294" s="227"/>
      <c r="E294" s="370"/>
      <c r="F294" s="228" t="s">
        <v>1805</v>
      </c>
      <c r="G294" s="367"/>
      <c r="H294" s="226" t="s">
        <v>1805</v>
      </c>
      <c r="I294" s="227"/>
      <c r="J294" s="227"/>
      <c r="K294" s="370"/>
      <c r="L294" s="228" t="s">
        <v>1805</v>
      </c>
    </row>
    <row r="295" spans="1:12" ht="15.75" thickBot="1">
      <c r="A295" s="367"/>
      <c r="B295" s="226" t="s">
        <v>1806</v>
      </c>
      <c r="C295" s="227"/>
      <c r="D295" s="227"/>
      <c r="E295" s="370"/>
      <c r="F295" s="228" t="s">
        <v>1806</v>
      </c>
      <c r="G295" s="367"/>
      <c r="H295" s="226" t="s">
        <v>1806</v>
      </c>
      <c r="I295" s="227"/>
      <c r="J295" s="227"/>
      <c r="K295" s="370"/>
      <c r="L295" s="228" t="s">
        <v>1806</v>
      </c>
    </row>
    <row r="296" spans="1:12" ht="15.75" thickBot="1">
      <c r="A296" s="367"/>
      <c r="B296" s="226" t="s">
        <v>1807</v>
      </c>
      <c r="C296" s="227"/>
      <c r="D296" s="227"/>
      <c r="E296" s="370"/>
      <c r="F296" s="228" t="s">
        <v>1807</v>
      </c>
      <c r="G296" s="367"/>
      <c r="H296" s="226" t="s">
        <v>1807</v>
      </c>
      <c r="I296" s="227"/>
      <c r="J296" s="227"/>
      <c r="K296" s="370"/>
      <c r="L296" s="228" t="s">
        <v>1807</v>
      </c>
    </row>
    <row r="297" spans="1:12" ht="15.75" thickBot="1">
      <c r="A297" s="367"/>
      <c r="B297" s="226" t="s">
        <v>1808</v>
      </c>
      <c r="C297" s="227"/>
      <c r="D297" s="227"/>
      <c r="E297" s="370"/>
      <c r="F297" s="228" t="s">
        <v>1808</v>
      </c>
      <c r="G297" s="367"/>
      <c r="H297" s="226" t="s">
        <v>1808</v>
      </c>
      <c r="I297" s="227"/>
      <c r="J297" s="227"/>
      <c r="K297" s="370"/>
      <c r="L297" s="228" t="s">
        <v>1808</v>
      </c>
    </row>
    <row r="298" spans="1:12" ht="15.75" thickBot="1">
      <c r="A298" s="367"/>
      <c r="B298" s="226" t="s">
        <v>1809</v>
      </c>
      <c r="C298" s="227"/>
      <c r="D298" s="227"/>
      <c r="E298" s="370"/>
      <c r="F298" s="228" t="s">
        <v>1809</v>
      </c>
      <c r="G298" s="367"/>
      <c r="H298" s="226" t="s">
        <v>1809</v>
      </c>
      <c r="I298" s="227"/>
      <c r="J298" s="227"/>
      <c r="K298" s="370"/>
      <c r="L298" s="228" t="s">
        <v>1809</v>
      </c>
    </row>
    <row r="299" spans="1:12" ht="15.75" thickBot="1">
      <c r="A299" s="367"/>
      <c r="B299" s="226" t="s">
        <v>1810</v>
      </c>
      <c r="C299" s="227"/>
      <c r="D299" s="227"/>
      <c r="E299" s="370"/>
      <c r="F299" s="228" t="s">
        <v>1810</v>
      </c>
      <c r="G299" s="367"/>
      <c r="H299" s="226" t="s">
        <v>1810</v>
      </c>
      <c r="I299" s="227"/>
      <c r="J299" s="227"/>
      <c r="K299" s="370"/>
      <c r="L299" s="228" t="s">
        <v>1810</v>
      </c>
    </row>
    <row r="300" spans="1:12" ht="15.75" thickBot="1">
      <c r="A300" s="367"/>
      <c r="B300" s="226" t="s">
        <v>1811</v>
      </c>
      <c r="C300" s="227"/>
      <c r="D300" s="227"/>
      <c r="E300" s="370"/>
      <c r="F300" s="228" t="s">
        <v>1811</v>
      </c>
      <c r="G300" s="367"/>
      <c r="H300" s="226" t="s">
        <v>1811</v>
      </c>
      <c r="I300" s="227"/>
      <c r="J300" s="227"/>
      <c r="K300" s="370"/>
      <c r="L300" s="228" t="s">
        <v>1811</v>
      </c>
    </row>
    <row r="301" spans="1:12" ht="15.75" thickBot="1">
      <c r="A301" s="367"/>
      <c r="B301" s="226" t="s">
        <v>1812</v>
      </c>
      <c r="C301" s="227"/>
      <c r="D301" s="227"/>
      <c r="E301" s="370"/>
      <c r="F301" s="228" t="s">
        <v>1812</v>
      </c>
      <c r="G301" s="367"/>
      <c r="H301" s="226" t="s">
        <v>1812</v>
      </c>
      <c r="I301" s="227"/>
      <c r="J301" s="227"/>
      <c r="K301" s="370"/>
      <c r="L301" s="228" t="s">
        <v>1812</v>
      </c>
    </row>
    <row r="302" spans="1:12" ht="15.75" thickBot="1">
      <c r="A302" s="367"/>
      <c r="B302" s="226" t="s">
        <v>1813</v>
      </c>
      <c r="C302" s="227"/>
      <c r="D302" s="227"/>
      <c r="E302" s="370"/>
      <c r="F302" s="228" t="s">
        <v>1813</v>
      </c>
      <c r="G302" s="367"/>
      <c r="H302" s="226" t="s">
        <v>1813</v>
      </c>
      <c r="I302" s="227"/>
      <c r="J302" s="227"/>
      <c r="K302" s="370"/>
      <c r="L302" s="228" t="s">
        <v>1813</v>
      </c>
    </row>
    <row r="303" spans="1:12" ht="15.75" thickBot="1">
      <c r="A303" s="367"/>
      <c r="B303" s="226" t="s">
        <v>1814</v>
      </c>
      <c r="C303" s="227">
        <v>18825565</v>
      </c>
      <c r="D303" s="227">
        <v>309135</v>
      </c>
      <c r="E303" s="370"/>
      <c r="F303" s="228" t="s">
        <v>1814</v>
      </c>
      <c r="G303" s="367"/>
      <c r="H303" s="226" t="s">
        <v>1814</v>
      </c>
      <c r="I303" s="227"/>
      <c r="J303" s="227"/>
      <c r="K303" s="370"/>
      <c r="L303" s="228" t="s">
        <v>1814</v>
      </c>
    </row>
    <row r="304" spans="1:12" ht="26.25" thickBot="1">
      <c r="A304" s="367"/>
      <c r="B304" s="226" t="s">
        <v>1815</v>
      </c>
      <c r="C304" s="227"/>
      <c r="D304" s="227"/>
      <c r="E304" s="370"/>
      <c r="F304" s="228" t="s">
        <v>1816</v>
      </c>
      <c r="G304" s="367"/>
      <c r="H304" s="226" t="s">
        <v>1815</v>
      </c>
      <c r="I304" s="227"/>
      <c r="J304" s="227"/>
      <c r="K304" s="370"/>
      <c r="L304" s="228" t="s">
        <v>1816</v>
      </c>
    </row>
    <row r="305" spans="1:12" ht="15.75" thickBot="1">
      <c r="A305" s="368"/>
      <c r="B305" s="226" t="s">
        <v>1817</v>
      </c>
      <c r="C305" s="227"/>
      <c r="D305" s="227">
        <v>359135</v>
      </c>
      <c r="E305" s="371"/>
      <c r="F305" s="228" t="s">
        <v>1818</v>
      </c>
      <c r="G305" s="368"/>
      <c r="H305" s="226" t="s">
        <v>1817</v>
      </c>
      <c r="I305" s="227"/>
      <c r="J305" s="227">
        <v>216024</v>
      </c>
      <c r="K305" s="371"/>
      <c r="L305" s="228" t="s">
        <v>1818</v>
      </c>
    </row>
    <row r="306" spans="1:12" ht="17.25" customHeight="1">
      <c r="A306" s="372" t="s">
        <v>19</v>
      </c>
      <c r="B306" s="372"/>
      <c r="C306" s="372"/>
      <c r="D306" s="372"/>
      <c r="E306" s="372"/>
      <c r="F306" s="372"/>
      <c r="G306" s="373" t="s">
        <v>106</v>
      </c>
      <c r="H306" s="373"/>
      <c r="I306" s="373"/>
      <c r="J306" s="373"/>
      <c r="K306" s="373"/>
      <c r="L306" s="373"/>
    </row>
    <row r="307" spans="1:12" ht="17.25" customHeight="1">
      <c r="A307" s="364" t="s">
        <v>2150</v>
      </c>
      <c r="B307" s="364"/>
      <c r="C307" s="364"/>
      <c r="D307" s="365" t="s">
        <v>2151</v>
      </c>
      <c r="E307" s="365"/>
      <c r="F307" s="365"/>
      <c r="G307" s="364" t="s">
        <v>2150</v>
      </c>
      <c r="H307" s="364"/>
      <c r="I307" s="364"/>
      <c r="J307" s="365" t="s">
        <v>2151</v>
      </c>
      <c r="K307" s="365"/>
      <c r="L307" s="365"/>
    </row>
    <row r="308" spans="1:12">
      <c r="A308" s="362"/>
      <c r="B308" s="362"/>
      <c r="C308" s="363" t="s">
        <v>2152</v>
      </c>
      <c r="D308" s="363"/>
      <c r="E308" s="362"/>
      <c r="F308" s="362"/>
      <c r="G308" s="362"/>
      <c r="H308" s="362"/>
      <c r="I308" s="363" t="s">
        <v>2152</v>
      </c>
      <c r="J308" s="363"/>
      <c r="K308" s="362"/>
      <c r="L308" s="362"/>
    </row>
    <row r="309" spans="1:12" ht="23.25">
      <c r="A309" s="362"/>
      <c r="B309" s="362"/>
      <c r="C309" s="225" t="s">
        <v>2153</v>
      </c>
      <c r="D309" s="225" t="s">
        <v>677</v>
      </c>
      <c r="E309" s="362"/>
      <c r="F309" s="362"/>
      <c r="G309" s="362"/>
      <c r="H309" s="362"/>
      <c r="I309" s="225" t="s">
        <v>2153</v>
      </c>
      <c r="J309" s="225" t="s">
        <v>677</v>
      </c>
      <c r="K309" s="362"/>
      <c r="L309" s="362"/>
    </row>
    <row r="310" spans="1:12" ht="15.75" thickBot="1">
      <c r="A310" s="226" t="s">
        <v>2135</v>
      </c>
      <c r="B310" s="226" t="s">
        <v>1817</v>
      </c>
      <c r="C310" s="227"/>
      <c r="D310" s="227">
        <v>1113297</v>
      </c>
      <c r="E310" s="228" t="s">
        <v>2136</v>
      </c>
      <c r="F310" s="228" t="s">
        <v>1818</v>
      </c>
      <c r="G310" s="226" t="s">
        <v>2135</v>
      </c>
      <c r="H310" s="226" t="s">
        <v>1817</v>
      </c>
      <c r="I310" s="227"/>
      <c r="J310" s="227">
        <v>972035</v>
      </c>
      <c r="K310" s="228" t="s">
        <v>2136</v>
      </c>
      <c r="L310" s="228" t="s">
        <v>1818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62D2F8C-68D8-452E-9599-BA404A972B3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4946A-C233-4005-AE96-298B3108AEBF}">
  <dimension ref="A1:C6"/>
  <sheetViews>
    <sheetView showGridLines="0" workbookViewId="0">
      <selection sqref="A1:C1"/>
    </sheetView>
  </sheetViews>
  <sheetFormatPr defaultRowHeight="15"/>
  <cols>
    <col min="1" max="1" width="42.6640625" style="229" bestFit="1" customWidth="1" collapsed="1"/>
    <col min="2" max="2" width="33.33203125" style="229" customWidth="1" collapsed="1"/>
    <col min="3" max="3" width="42.6640625" style="229" bestFit="1" customWidth="1" collapsed="1"/>
    <col min="4" max="16384" width="9.33203125" style="229" collapsed="1"/>
  </cols>
  <sheetData>
    <row r="1" spans="1:3" ht="34.5" customHeight="1">
      <c r="A1" s="374" t="s">
        <v>2154</v>
      </c>
      <c r="B1" s="375"/>
      <c r="C1" s="375"/>
    </row>
    <row r="3" spans="1:3" ht="17.25" customHeight="1">
      <c r="A3" s="230" t="s">
        <v>1737</v>
      </c>
      <c r="B3" s="376" t="s">
        <v>1738</v>
      </c>
      <c r="C3" s="376"/>
    </row>
    <row r="4" spans="1:3">
      <c r="A4" s="231"/>
      <c r="B4" s="232" t="s">
        <v>104</v>
      </c>
    </row>
    <row r="5" spans="1:3" ht="15.75" thickBot="1">
      <c r="A5" s="233" t="s">
        <v>1737</v>
      </c>
      <c r="B5" s="234"/>
      <c r="C5" s="235" t="s">
        <v>1738</v>
      </c>
    </row>
    <row r="6" spans="1:3" ht="75" customHeight="1" thickBot="1">
      <c r="A6" s="236" t="s">
        <v>2155</v>
      </c>
      <c r="B6" s="237"/>
      <c r="C6" s="235" t="s">
        <v>2156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9239F5-B0AC-4F40-9172-4D9A1D540CE2}">
      <formula1>0</formula1>
    </dataValidation>
  </dataValidations>
  <pageMargins left="0.15" right="0.15" top="0.15" bottom="0.15" header="0.5" footer="0.5"/>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CAF8E-2A4F-41FA-BDF0-BB686FCE284E}">
  <dimension ref="A1:P287"/>
  <sheetViews>
    <sheetView showGridLines="0" tabSelected="1" workbookViewId="0"/>
  </sheetViews>
  <sheetFormatPr defaultRowHeight="15"/>
  <cols>
    <col min="1" max="1" width="42.6640625" style="378" bestFit="1" customWidth="1" collapsed="1"/>
    <col min="2" max="2" width="19" style="378" bestFit="1" customWidth="1" collapsed="1"/>
    <col min="3" max="3" width="42.6640625" style="378" bestFit="1" customWidth="1" collapsed="1"/>
    <col min="4" max="4" width="38.1640625" style="378" bestFit="1" customWidth="1" collapsed="1"/>
    <col min="5" max="5" width="32.1640625" style="378" bestFit="1" customWidth="1" collapsed="1"/>
    <col min="6" max="6" width="37.83203125" style="378" bestFit="1" customWidth="1" collapsed="1"/>
    <col min="7" max="7" width="42.6640625" style="378" bestFit="1" customWidth="1" collapsed="1"/>
    <col min="8" max="8" width="15.6640625" style="378" bestFit="1" customWidth="1" collapsed="1"/>
    <col min="9" max="9" width="42.6640625" style="378" bestFit="1" customWidth="1" collapsed="1"/>
    <col min="10" max="10" width="19" style="378" bestFit="1" customWidth="1" collapsed="1"/>
    <col min="11" max="11" width="42.6640625" style="378" bestFit="1" customWidth="1" collapsed="1"/>
    <col min="12" max="12" width="38.1640625" style="378" bestFit="1" customWidth="1" collapsed="1"/>
    <col min="13" max="13" width="32.1640625" style="378" bestFit="1" customWidth="1" collapsed="1"/>
    <col min="14" max="14" width="37.83203125" style="378" bestFit="1" customWidth="1" collapsed="1"/>
    <col min="15" max="15" width="42.6640625" style="378" bestFit="1" customWidth="1" collapsed="1"/>
    <col min="16" max="16" width="15.6640625" style="378" bestFit="1" customWidth="1" collapsed="1"/>
    <col min="17" max="16384" width="9.33203125" style="378" collapsed="1"/>
  </cols>
  <sheetData>
    <row r="1" spans="1:16" ht="17.25">
      <c r="A1" s="377" t="s">
        <v>2157</v>
      </c>
    </row>
    <row r="3" spans="1:16" ht="17.25" customHeight="1">
      <c r="A3" s="379" t="s">
        <v>19</v>
      </c>
      <c r="B3" s="379"/>
      <c r="C3" s="379"/>
      <c r="D3" s="379"/>
      <c r="E3" s="379"/>
      <c r="F3" s="379"/>
      <c r="G3" s="379"/>
      <c r="H3" s="379"/>
      <c r="I3" s="380" t="s">
        <v>106</v>
      </c>
      <c r="J3" s="380"/>
      <c r="K3" s="380"/>
      <c r="L3" s="380"/>
      <c r="M3" s="380"/>
      <c r="N3" s="380"/>
      <c r="O3" s="380"/>
      <c r="P3" s="380"/>
    </row>
    <row r="4" spans="1:16" ht="17.25" customHeight="1">
      <c r="A4" s="379" t="s">
        <v>2150</v>
      </c>
      <c r="B4" s="379"/>
      <c r="C4" s="379"/>
      <c r="D4" s="379"/>
      <c r="E4" s="380" t="s">
        <v>2151</v>
      </c>
      <c r="F4" s="380"/>
      <c r="G4" s="380"/>
      <c r="H4" s="380"/>
      <c r="I4" s="379" t="s">
        <v>2150</v>
      </c>
      <c r="J4" s="379"/>
      <c r="K4" s="379"/>
      <c r="L4" s="379"/>
      <c r="M4" s="380" t="s">
        <v>2151</v>
      </c>
      <c r="N4" s="380"/>
      <c r="O4" s="380"/>
      <c r="P4" s="380"/>
    </row>
    <row r="5" spans="1:16">
      <c r="A5" s="381"/>
      <c r="B5" s="381"/>
      <c r="C5" s="382" t="s">
        <v>2152</v>
      </c>
      <c r="D5" s="382"/>
      <c r="E5" s="382"/>
      <c r="F5" s="382"/>
      <c r="G5" s="381"/>
      <c r="H5" s="381"/>
      <c r="I5" s="381"/>
      <c r="J5" s="381"/>
      <c r="K5" s="382" t="s">
        <v>2152</v>
      </c>
      <c r="L5" s="382"/>
      <c r="M5" s="382"/>
      <c r="N5" s="382"/>
      <c r="O5" s="381"/>
      <c r="P5" s="381"/>
    </row>
    <row r="6" spans="1:16" ht="23.25">
      <c r="A6" s="381"/>
      <c r="B6" s="381"/>
      <c r="C6" s="383" t="s">
        <v>2153</v>
      </c>
      <c r="D6" s="383" t="s">
        <v>2158</v>
      </c>
      <c r="E6" s="383" t="s">
        <v>2159</v>
      </c>
      <c r="F6" s="383" t="s">
        <v>2160</v>
      </c>
      <c r="G6" s="381"/>
      <c r="H6" s="381"/>
      <c r="I6" s="381"/>
      <c r="J6" s="381"/>
      <c r="K6" s="383" t="s">
        <v>2153</v>
      </c>
      <c r="L6" s="383" t="s">
        <v>2158</v>
      </c>
      <c r="M6" s="383" t="s">
        <v>2159</v>
      </c>
      <c r="N6" s="383" t="s">
        <v>2160</v>
      </c>
      <c r="O6" s="381"/>
      <c r="P6" s="381"/>
    </row>
    <row r="7" spans="1:16" ht="15.75" thickBot="1">
      <c r="A7" s="384" t="s">
        <v>2109</v>
      </c>
      <c r="B7" s="385" t="s">
        <v>1803</v>
      </c>
      <c r="C7" s="386"/>
      <c r="D7" s="387"/>
      <c r="E7" s="387"/>
      <c r="F7" s="387"/>
      <c r="G7" s="388" t="s">
        <v>2109</v>
      </c>
      <c r="H7" s="389" t="s">
        <v>1803</v>
      </c>
      <c r="I7" s="384" t="s">
        <v>2109</v>
      </c>
      <c r="J7" s="385" t="s">
        <v>1803</v>
      </c>
      <c r="K7" s="386"/>
      <c r="L7" s="387"/>
      <c r="M7" s="387"/>
      <c r="N7" s="387"/>
      <c r="O7" s="388" t="s">
        <v>2109</v>
      </c>
      <c r="P7" s="389" t="s">
        <v>1803</v>
      </c>
    </row>
    <row r="8" spans="1:16" ht="15.75" thickBot="1">
      <c r="A8" s="384"/>
      <c r="B8" s="385" t="s">
        <v>1805</v>
      </c>
      <c r="C8" s="386"/>
      <c r="D8" s="387"/>
      <c r="E8" s="387"/>
      <c r="F8" s="387"/>
      <c r="G8" s="388"/>
      <c r="H8" s="389" t="s">
        <v>1805</v>
      </c>
      <c r="I8" s="384"/>
      <c r="J8" s="385" t="s">
        <v>1805</v>
      </c>
      <c r="K8" s="386"/>
      <c r="L8" s="387"/>
      <c r="M8" s="387"/>
      <c r="N8" s="387"/>
      <c r="O8" s="388"/>
      <c r="P8" s="389" t="s">
        <v>1805</v>
      </c>
    </row>
    <row r="9" spans="1:16" ht="15.75" thickBot="1">
      <c r="A9" s="384"/>
      <c r="B9" s="385" t="s">
        <v>1806</v>
      </c>
      <c r="C9" s="386"/>
      <c r="D9" s="387"/>
      <c r="E9" s="387"/>
      <c r="F9" s="387"/>
      <c r="G9" s="388"/>
      <c r="H9" s="389" t="s">
        <v>1806</v>
      </c>
      <c r="I9" s="384"/>
      <c r="J9" s="385" t="s">
        <v>1806</v>
      </c>
      <c r="K9" s="386"/>
      <c r="L9" s="387"/>
      <c r="M9" s="387"/>
      <c r="N9" s="387"/>
      <c r="O9" s="388"/>
      <c r="P9" s="389" t="s">
        <v>1806</v>
      </c>
    </row>
    <row r="10" spans="1:16" ht="15.75" thickBot="1">
      <c r="A10" s="384"/>
      <c r="B10" s="385" t="s">
        <v>1807</v>
      </c>
      <c r="C10" s="386"/>
      <c r="D10" s="387"/>
      <c r="E10" s="387"/>
      <c r="F10" s="387"/>
      <c r="G10" s="388"/>
      <c r="H10" s="389" t="s">
        <v>1807</v>
      </c>
      <c r="I10" s="384"/>
      <c r="J10" s="385" t="s">
        <v>1807</v>
      </c>
      <c r="K10" s="386"/>
      <c r="L10" s="387"/>
      <c r="M10" s="387"/>
      <c r="N10" s="387"/>
      <c r="O10" s="388"/>
      <c r="P10" s="389" t="s">
        <v>1807</v>
      </c>
    </row>
    <row r="11" spans="1:16" ht="15.75" thickBot="1">
      <c r="A11" s="384"/>
      <c r="B11" s="385" t="s">
        <v>1808</v>
      </c>
      <c r="C11" s="386"/>
      <c r="D11" s="387"/>
      <c r="E11" s="387"/>
      <c r="F11" s="387"/>
      <c r="G11" s="388"/>
      <c r="H11" s="389" t="s">
        <v>1808</v>
      </c>
      <c r="I11" s="384"/>
      <c r="J11" s="385" t="s">
        <v>1808</v>
      </c>
      <c r="K11" s="386"/>
      <c r="L11" s="387"/>
      <c r="M11" s="387"/>
      <c r="N11" s="387"/>
      <c r="O11" s="388"/>
      <c r="P11" s="389" t="s">
        <v>1808</v>
      </c>
    </row>
    <row r="12" spans="1:16" ht="15.75" thickBot="1">
      <c r="A12" s="384"/>
      <c r="B12" s="385" t="s">
        <v>1809</v>
      </c>
      <c r="C12" s="386"/>
      <c r="D12" s="387"/>
      <c r="E12" s="387"/>
      <c r="F12" s="387"/>
      <c r="G12" s="388"/>
      <c r="H12" s="389" t="s">
        <v>1809</v>
      </c>
      <c r="I12" s="384"/>
      <c r="J12" s="385" t="s">
        <v>1809</v>
      </c>
      <c r="K12" s="386"/>
      <c r="L12" s="387"/>
      <c r="M12" s="387"/>
      <c r="N12" s="387"/>
      <c r="O12" s="388"/>
      <c r="P12" s="389" t="s">
        <v>1809</v>
      </c>
    </row>
    <row r="13" spans="1:16" ht="15.75" thickBot="1">
      <c r="A13" s="384"/>
      <c r="B13" s="385" t="s">
        <v>1810</v>
      </c>
      <c r="C13" s="386"/>
      <c r="D13" s="387"/>
      <c r="E13" s="387"/>
      <c r="F13" s="387"/>
      <c r="G13" s="388"/>
      <c r="H13" s="389" t="s">
        <v>1810</v>
      </c>
      <c r="I13" s="384"/>
      <c r="J13" s="385" t="s">
        <v>1810</v>
      </c>
      <c r="K13" s="386"/>
      <c r="L13" s="387"/>
      <c r="M13" s="387"/>
      <c r="N13" s="387"/>
      <c r="O13" s="388"/>
      <c r="P13" s="389" t="s">
        <v>1810</v>
      </c>
    </row>
    <row r="14" spans="1:16" ht="15.75" thickBot="1">
      <c r="A14" s="384"/>
      <c r="B14" s="385" t="s">
        <v>1811</v>
      </c>
      <c r="C14" s="386"/>
      <c r="D14" s="387"/>
      <c r="E14" s="387"/>
      <c r="F14" s="387"/>
      <c r="G14" s="388"/>
      <c r="H14" s="389" t="s">
        <v>1811</v>
      </c>
      <c r="I14" s="384"/>
      <c r="J14" s="385" t="s">
        <v>1811</v>
      </c>
      <c r="K14" s="386"/>
      <c r="L14" s="387"/>
      <c r="M14" s="387"/>
      <c r="N14" s="387"/>
      <c r="O14" s="388"/>
      <c r="P14" s="389" t="s">
        <v>1811</v>
      </c>
    </row>
    <row r="15" spans="1:16" ht="15.75" thickBot="1">
      <c r="A15" s="384"/>
      <c r="B15" s="385" t="s">
        <v>1812</v>
      </c>
      <c r="C15" s="386"/>
      <c r="D15" s="387"/>
      <c r="E15" s="387"/>
      <c r="F15" s="387"/>
      <c r="G15" s="388"/>
      <c r="H15" s="389" t="s">
        <v>1812</v>
      </c>
      <c r="I15" s="384"/>
      <c r="J15" s="385" t="s">
        <v>1812</v>
      </c>
      <c r="K15" s="386"/>
      <c r="L15" s="387"/>
      <c r="M15" s="387"/>
      <c r="N15" s="387"/>
      <c r="O15" s="388"/>
      <c r="P15" s="389" t="s">
        <v>1812</v>
      </c>
    </row>
    <row r="16" spans="1:16" ht="15.75" thickBot="1">
      <c r="A16" s="384"/>
      <c r="B16" s="385" t="s">
        <v>1813</v>
      </c>
      <c r="C16" s="386"/>
      <c r="D16" s="387"/>
      <c r="E16" s="387"/>
      <c r="F16" s="387"/>
      <c r="G16" s="388"/>
      <c r="H16" s="389" t="s">
        <v>1813</v>
      </c>
      <c r="I16" s="384"/>
      <c r="J16" s="385" t="s">
        <v>1813</v>
      </c>
      <c r="K16" s="386"/>
      <c r="L16" s="387"/>
      <c r="M16" s="387"/>
      <c r="N16" s="387"/>
      <c r="O16" s="388"/>
      <c r="P16" s="389" t="s">
        <v>1813</v>
      </c>
    </row>
    <row r="17" spans="1:16" ht="15.75" thickBot="1">
      <c r="A17" s="384"/>
      <c r="B17" s="385" t="s">
        <v>1814</v>
      </c>
      <c r="C17" s="386"/>
      <c r="D17" s="387"/>
      <c r="E17" s="387"/>
      <c r="F17" s="387"/>
      <c r="G17" s="388"/>
      <c r="H17" s="389" t="s">
        <v>1814</v>
      </c>
      <c r="I17" s="384"/>
      <c r="J17" s="385" t="s">
        <v>1814</v>
      </c>
      <c r="K17" s="386"/>
      <c r="L17" s="387"/>
      <c r="M17" s="387"/>
      <c r="N17" s="387"/>
      <c r="O17" s="388"/>
      <c r="P17" s="389" t="s">
        <v>1814</v>
      </c>
    </row>
    <row r="18" spans="1:16" ht="26.25" thickBot="1">
      <c r="A18" s="390"/>
      <c r="B18" s="385" t="s">
        <v>1815</v>
      </c>
      <c r="C18" s="386"/>
      <c r="D18" s="387"/>
      <c r="E18" s="387"/>
      <c r="F18" s="387"/>
      <c r="G18" s="391"/>
      <c r="H18" s="389" t="s">
        <v>1816</v>
      </c>
      <c r="I18" s="390"/>
      <c r="J18" s="385" t="s">
        <v>1815</v>
      </c>
      <c r="K18" s="386"/>
      <c r="L18" s="387"/>
      <c r="M18" s="387"/>
      <c r="N18" s="387"/>
      <c r="O18" s="391"/>
      <c r="P18" s="389" t="s">
        <v>1816</v>
      </c>
    </row>
    <row r="19" spans="1:16" ht="15.75" thickBot="1">
      <c r="A19" s="392" t="s">
        <v>2110</v>
      </c>
      <c r="B19" s="385" t="s">
        <v>1803</v>
      </c>
      <c r="C19" s="386"/>
      <c r="D19" s="387"/>
      <c r="E19" s="387"/>
      <c r="F19" s="387"/>
      <c r="G19" s="393" t="s">
        <v>2110</v>
      </c>
      <c r="H19" s="389" t="s">
        <v>1803</v>
      </c>
      <c r="I19" s="392" t="s">
        <v>2110</v>
      </c>
      <c r="J19" s="385" t="s">
        <v>1803</v>
      </c>
      <c r="K19" s="386"/>
      <c r="L19" s="387"/>
      <c r="M19" s="387"/>
      <c r="N19" s="387"/>
      <c r="O19" s="393" t="s">
        <v>2110</v>
      </c>
      <c r="P19" s="389" t="s">
        <v>1803</v>
      </c>
    </row>
    <row r="20" spans="1:16" ht="15.75" thickBot="1">
      <c r="A20" s="384"/>
      <c r="B20" s="385" t="s">
        <v>1805</v>
      </c>
      <c r="C20" s="386"/>
      <c r="D20" s="387"/>
      <c r="E20" s="387"/>
      <c r="F20" s="387"/>
      <c r="G20" s="388"/>
      <c r="H20" s="389" t="s">
        <v>1805</v>
      </c>
      <c r="I20" s="384"/>
      <c r="J20" s="385" t="s">
        <v>1805</v>
      </c>
      <c r="K20" s="386"/>
      <c r="L20" s="387"/>
      <c r="M20" s="387"/>
      <c r="N20" s="387"/>
      <c r="O20" s="388"/>
      <c r="P20" s="389" t="s">
        <v>1805</v>
      </c>
    </row>
    <row r="21" spans="1:16" ht="15.75" thickBot="1">
      <c r="A21" s="384"/>
      <c r="B21" s="385" t="s">
        <v>1806</v>
      </c>
      <c r="C21" s="386"/>
      <c r="D21" s="387"/>
      <c r="E21" s="387"/>
      <c r="F21" s="387"/>
      <c r="G21" s="388"/>
      <c r="H21" s="389" t="s">
        <v>1806</v>
      </c>
      <c r="I21" s="384"/>
      <c r="J21" s="385" t="s">
        <v>1806</v>
      </c>
      <c r="K21" s="386"/>
      <c r="L21" s="387"/>
      <c r="M21" s="387"/>
      <c r="N21" s="387"/>
      <c r="O21" s="388"/>
      <c r="P21" s="389" t="s">
        <v>1806</v>
      </c>
    </row>
    <row r="22" spans="1:16" ht="15.75" thickBot="1">
      <c r="A22" s="384"/>
      <c r="B22" s="385" t="s">
        <v>1807</v>
      </c>
      <c r="C22" s="386"/>
      <c r="D22" s="387"/>
      <c r="E22" s="387"/>
      <c r="F22" s="387"/>
      <c r="G22" s="388"/>
      <c r="H22" s="389" t="s">
        <v>1807</v>
      </c>
      <c r="I22" s="384"/>
      <c r="J22" s="385" t="s">
        <v>1807</v>
      </c>
      <c r="K22" s="386"/>
      <c r="L22" s="387"/>
      <c r="M22" s="387"/>
      <c r="N22" s="387"/>
      <c r="O22" s="388"/>
      <c r="P22" s="389" t="s">
        <v>1807</v>
      </c>
    </row>
    <row r="23" spans="1:16" ht="15.75" thickBot="1">
      <c r="A23" s="384"/>
      <c r="B23" s="385" t="s">
        <v>1808</v>
      </c>
      <c r="C23" s="386"/>
      <c r="D23" s="387"/>
      <c r="E23" s="387"/>
      <c r="F23" s="387"/>
      <c r="G23" s="388"/>
      <c r="H23" s="389" t="s">
        <v>1808</v>
      </c>
      <c r="I23" s="384"/>
      <c r="J23" s="385" t="s">
        <v>1808</v>
      </c>
      <c r="K23" s="386"/>
      <c r="L23" s="387"/>
      <c r="M23" s="387"/>
      <c r="N23" s="387"/>
      <c r="O23" s="388"/>
      <c r="P23" s="389" t="s">
        <v>1808</v>
      </c>
    </row>
    <row r="24" spans="1:16" ht="15.75" thickBot="1">
      <c r="A24" s="384"/>
      <c r="B24" s="385" t="s">
        <v>1809</v>
      </c>
      <c r="C24" s="386"/>
      <c r="D24" s="387"/>
      <c r="E24" s="387"/>
      <c r="F24" s="387"/>
      <c r="G24" s="388"/>
      <c r="H24" s="389" t="s">
        <v>1809</v>
      </c>
      <c r="I24" s="384"/>
      <c r="J24" s="385" t="s">
        <v>1809</v>
      </c>
      <c r="K24" s="386"/>
      <c r="L24" s="387"/>
      <c r="M24" s="387"/>
      <c r="N24" s="387"/>
      <c r="O24" s="388"/>
      <c r="P24" s="389" t="s">
        <v>1809</v>
      </c>
    </row>
    <row r="25" spans="1:16" ht="15.75" thickBot="1">
      <c r="A25" s="384"/>
      <c r="B25" s="385" t="s">
        <v>1810</v>
      </c>
      <c r="C25" s="386"/>
      <c r="D25" s="387"/>
      <c r="E25" s="387"/>
      <c r="F25" s="387"/>
      <c r="G25" s="388"/>
      <c r="H25" s="389" t="s">
        <v>1810</v>
      </c>
      <c r="I25" s="384"/>
      <c r="J25" s="385" t="s">
        <v>1810</v>
      </c>
      <c r="K25" s="386"/>
      <c r="L25" s="387"/>
      <c r="M25" s="387"/>
      <c r="N25" s="387"/>
      <c r="O25" s="388"/>
      <c r="P25" s="389" t="s">
        <v>1810</v>
      </c>
    </row>
    <row r="26" spans="1:16" ht="15.75" thickBot="1">
      <c r="A26" s="384"/>
      <c r="B26" s="385" t="s">
        <v>1811</v>
      </c>
      <c r="C26" s="386"/>
      <c r="D26" s="387"/>
      <c r="E26" s="387"/>
      <c r="F26" s="387"/>
      <c r="G26" s="388"/>
      <c r="H26" s="389" t="s">
        <v>1811</v>
      </c>
      <c r="I26" s="384"/>
      <c r="J26" s="385" t="s">
        <v>1811</v>
      </c>
      <c r="K26" s="386"/>
      <c r="L26" s="387"/>
      <c r="M26" s="387"/>
      <c r="N26" s="387"/>
      <c r="O26" s="388"/>
      <c r="P26" s="389" t="s">
        <v>1811</v>
      </c>
    </row>
    <row r="27" spans="1:16" ht="15.75" thickBot="1">
      <c r="A27" s="384"/>
      <c r="B27" s="385" t="s">
        <v>1812</v>
      </c>
      <c r="C27" s="386"/>
      <c r="D27" s="387"/>
      <c r="E27" s="387"/>
      <c r="F27" s="387"/>
      <c r="G27" s="388"/>
      <c r="H27" s="389" t="s">
        <v>1812</v>
      </c>
      <c r="I27" s="384"/>
      <c r="J27" s="385" t="s">
        <v>1812</v>
      </c>
      <c r="K27" s="386"/>
      <c r="L27" s="387"/>
      <c r="M27" s="387"/>
      <c r="N27" s="387"/>
      <c r="O27" s="388"/>
      <c r="P27" s="389" t="s">
        <v>1812</v>
      </c>
    </row>
    <row r="28" spans="1:16" ht="15.75" thickBot="1">
      <c r="A28" s="384"/>
      <c r="B28" s="385" t="s">
        <v>1813</v>
      </c>
      <c r="C28" s="386"/>
      <c r="D28" s="387"/>
      <c r="E28" s="387"/>
      <c r="F28" s="387"/>
      <c r="G28" s="388"/>
      <c r="H28" s="389" t="s">
        <v>1813</v>
      </c>
      <c r="I28" s="384"/>
      <c r="J28" s="385" t="s">
        <v>1813</v>
      </c>
      <c r="K28" s="386"/>
      <c r="L28" s="387"/>
      <c r="M28" s="387"/>
      <c r="N28" s="387"/>
      <c r="O28" s="388"/>
      <c r="P28" s="389" t="s">
        <v>1813</v>
      </c>
    </row>
    <row r="29" spans="1:16" ht="15.75" thickBot="1">
      <c r="A29" s="384"/>
      <c r="B29" s="385" t="s">
        <v>1814</v>
      </c>
      <c r="C29" s="386"/>
      <c r="D29" s="387"/>
      <c r="E29" s="387"/>
      <c r="F29" s="387"/>
      <c r="G29" s="388"/>
      <c r="H29" s="389" t="s">
        <v>1814</v>
      </c>
      <c r="I29" s="384"/>
      <c r="J29" s="385" t="s">
        <v>1814</v>
      </c>
      <c r="K29" s="386"/>
      <c r="L29" s="387"/>
      <c r="M29" s="387"/>
      <c r="N29" s="387"/>
      <c r="O29" s="388"/>
      <c r="P29" s="389" t="s">
        <v>1814</v>
      </c>
    </row>
    <row r="30" spans="1:16" ht="26.25" thickBot="1">
      <c r="A30" s="390"/>
      <c r="B30" s="385" t="s">
        <v>1815</v>
      </c>
      <c r="C30" s="386"/>
      <c r="D30" s="387"/>
      <c r="E30" s="387"/>
      <c r="F30" s="387"/>
      <c r="G30" s="391"/>
      <c r="H30" s="389" t="s">
        <v>1816</v>
      </c>
      <c r="I30" s="390"/>
      <c r="J30" s="385" t="s">
        <v>1815</v>
      </c>
      <c r="K30" s="386"/>
      <c r="L30" s="387"/>
      <c r="M30" s="387"/>
      <c r="N30" s="387"/>
      <c r="O30" s="391"/>
      <c r="P30" s="389" t="s">
        <v>1816</v>
      </c>
    </row>
    <row r="31" spans="1:16" ht="15.75" thickBot="1">
      <c r="A31" s="392" t="s">
        <v>2111</v>
      </c>
      <c r="B31" s="385" t="s">
        <v>1803</v>
      </c>
      <c r="C31" s="386"/>
      <c r="D31" s="387"/>
      <c r="E31" s="387"/>
      <c r="F31" s="387"/>
      <c r="G31" s="393" t="s">
        <v>2111</v>
      </c>
      <c r="H31" s="389" t="s">
        <v>1803</v>
      </c>
      <c r="I31" s="392" t="s">
        <v>2111</v>
      </c>
      <c r="J31" s="385" t="s">
        <v>1803</v>
      </c>
      <c r="K31" s="386"/>
      <c r="L31" s="387"/>
      <c r="M31" s="387"/>
      <c r="N31" s="387"/>
      <c r="O31" s="393" t="s">
        <v>2111</v>
      </c>
      <c r="P31" s="389" t="s">
        <v>1803</v>
      </c>
    </row>
    <row r="32" spans="1:16" ht="15.75" thickBot="1">
      <c r="A32" s="384"/>
      <c r="B32" s="385" t="s">
        <v>1805</v>
      </c>
      <c r="C32" s="386"/>
      <c r="D32" s="387"/>
      <c r="E32" s="387"/>
      <c r="F32" s="387"/>
      <c r="G32" s="388"/>
      <c r="H32" s="389" t="s">
        <v>1805</v>
      </c>
      <c r="I32" s="384"/>
      <c r="J32" s="385" t="s">
        <v>1805</v>
      </c>
      <c r="K32" s="386"/>
      <c r="L32" s="387"/>
      <c r="M32" s="387"/>
      <c r="N32" s="387"/>
      <c r="O32" s="388"/>
      <c r="P32" s="389" t="s">
        <v>1805</v>
      </c>
    </row>
    <row r="33" spans="1:16" ht="15.75" thickBot="1">
      <c r="A33" s="384"/>
      <c r="B33" s="385" t="s">
        <v>1806</v>
      </c>
      <c r="C33" s="386"/>
      <c r="D33" s="387"/>
      <c r="E33" s="387"/>
      <c r="F33" s="387"/>
      <c r="G33" s="388"/>
      <c r="H33" s="389" t="s">
        <v>1806</v>
      </c>
      <c r="I33" s="384"/>
      <c r="J33" s="385" t="s">
        <v>1806</v>
      </c>
      <c r="K33" s="386"/>
      <c r="L33" s="387"/>
      <c r="M33" s="387"/>
      <c r="N33" s="387"/>
      <c r="O33" s="388"/>
      <c r="P33" s="389" t="s">
        <v>1806</v>
      </c>
    </row>
    <row r="34" spans="1:16" ht="15.75" thickBot="1">
      <c r="A34" s="384"/>
      <c r="B34" s="385" t="s">
        <v>1807</v>
      </c>
      <c r="C34" s="386"/>
      <c r="D34" s="387"/>
      <c r="E34" s="387"/>
      <c r="F34" s="387"/>
      <c r="G34" s="388"/>
      <c r="H34" s="389" t="s">
        <v>1807</v>
      </c>
      <c r="I34" s="384"/>
      <c r="J34" s="385" t="s">
        <v>1807</v>
      </c>
      <c r="K34" s="386"/>
      <c r="L34" s="387"/>
      <c r="M34" s="387"/>
      <c r="N34" s="387"/>
      <c r="O34" s="388"/>
      <c r="P34" s="389" t="s">
        <v>1807</v>
      </c>
    </row>
    <row r="35" spans="1:16" ht="15.75" thickBot="1">
      <c r="A35" s="384"/>
      <c r="B35" s="385" t="s">
        <v>1808</v>
      </c>
      <c r="C35" s="386"/>
      <c r="D35" s="387"/>
      <c r="E35" s="387"/>
      <c r="F35" s="387"/>
      <c r="G35" s="388"/>
      <c r="H35" s="389" t="s">
        <v>1808</v>
      </c>
      <c r="I35" s="384"/>
      <c r="J35" s="385" t="s">
        <v>1808</v>
      </c>
      <c r="K35" s="386"/>
      <c r="L35" s="387"/>
      <c r="M35" s="387"/>
      <c r="N35" s="387"/>
      <c r="O35" s="388"/>
      <c r="P35" s="389" t="s">
        <v>1808</v>
      </c>
    </row>
    <row r="36" spans="1:16" ht="15.75" thickBot="1">
      <c r="A36" s="384"/>
      <c r="B36" s="385" t="s">
        <v>1809</v>
      </c>
      <c r="C36" s="386"/>
      <c r="D36" s="387"/>
      <c r="E36" s="387"/>
      <c r="F36" s="387"/>
      <c r="G36" s="388"/>
      <c r="H36" s="389" t="s">
        <v>1809</v>
      </c>
      <c r="I36" s="384"/>
      <c r="J36" s="385" t="s">
        <v>1809</v>
      </c>
      <c r="K36" s="386"/>
      <c r="L36" s="387"/>
      <c r="M36" s="387"/>
      <c r="N36" s="387"/>
      <c r="O36" s="388"/>
      <c r="P36" s="389" t="s">
        <v>1809</v>
      </c>
    </row>
    <row r="37" spans="1:16" ht="15.75" thickBot="1">
      <c r="A37" s="384"/>
      <c r="B37" s="385" t="s">
        <v>1810</v>
      </c>
      <c r="C37" s="386"/>
      <c r="D37" s="387"/>
      <c r="E37" s="387"/>
      <c r="F37" s="387"/>
      <c r="G37" s="388"/>
      <c r="H37" s="389" t="s">
        <v>1810</v>
      </c>
      <c r="I37" s="384"/>
      <c r="J37" s="385" t="s">
        <v>1810</v>
      </c>
      <c r="K37" s="386"/>
      <c r="L37" s="387"/>
      <c r="M37" s="387"/>
      <c r="N37" s="387"/>
      <c r="O37" s="388"/>
      <c r="P37" s="389" t="s">
        <v>1810</v>
      </c>
    </row>
    <row r="38" spans="1:16" ht="15.75" thickBot="1">
      <c r="A38" s="384"/>
      <c r="B38" s="385" t="s">
        <v>1811</v>
      </c>
      <c r="C38" s="386"/>
      <c r="D38" s="387"/>
      <c r="E38" s="387"/>
      <c r="F38" s="387"/>
      <c r="G38" s="388"/>
      <c r="H38" s="389" t="s">
        <v>1811</v>
      </c>
      <c r="I38" s="384"/>
      <c r="J38" s="385" t="s">
        <v>1811</v>
      </c>
      <c r="K38" s="386"/>
      <c r="L38" s="387"/>
      <c r="M38" s="387"/>
      <c r="N38" s="387"/>
      <c r="O38" s="388"/>
      <c r="P38" s="389" t="s">
        <v>1811</v>
      </c>
    </row>
    <row r="39" spans="1:16" ht="15.75" thickBot="1">
      <c r="A39" s="384"/>
      <c r="B39" s="385" t="s">
        <v>1812</v>
      </c>
      <c r="C39" s="386"/>
      <c r="D39" s="387"/>
      <c r="E39" s="387"/>
      <c r="F39" s="387"/>
      <c r="G39" s="388"/>
      <c r="H39" s="389" t="s">
        <v>1812</v>
      </c>
      <c r="I39" s="384"/>
      <c r="J39" s="385" t="s">
        <v>1812</v>
      </c>
      <c r="K39" s="386"/>
      <c r="L39" s="387"/>
      <c r="M39" s="387"/>
      <c r="N39" s="387"/>
      <c r="O39" s="388"/>
      <c r="P39" s="389" t="s">
        <v>1812</v>
      </c>
    </row>
    <row r="40" spans="1:16" ht="15.75" thickBot="1">
      <c r="A40" s="384"/>
      <c r="B40" s="385" t="s">
        <v>1813</v>
      </c>
      <c r="C40" s="386"/>
      <c r="D40" s="387"/>
      <c r="E40" s="387"/>
      <c r="F40" s="387"/>
      <c r="G40" s="388"/>
      <c r="H40" s="389" t="s">
        <v>1813</v>
      </c>
      <c r="I40" s="384"/>
      <c r="J40" s="385" t="s">
        <v>1813</v>
      </c>
      <c r="K40" s="386"/>
      <c r="L40" s="387"/>
      <c r="M40" s="387"/>
      <c r="N40" s="387"/>
      <c r="O40" s="388"/>
      <c r="P40" s="389" t="s">
        <v>1813</v>
      </c>
    </row>
    <row r="41" spans="1:16" ht="15.75" thickBot="1">
      <c r="A41" s="384"/>
      <c r="B41" s="385" t="s">
        <v>1814</v>
      </c>
      <c r="C41" s="386"/>
      <c r="D41" s="387"/>
      <c r="E41" s="387"/>
      <c r="F41" s="387"/>
      <c r="G41" s="388"/>
      <c r="H41" s="389" t="s">
        <v>1814</v>
      </c>
      <c r="I41" s="384"/>
      <c r="J41" s="385" t="s">
        <v>1814</v>
      </c>
      <c r="K41" s="386"/>
      <c r="L41" s="387"/>
      <c r="M41" s="387"/>
      <c r="N41" s="387"/>
      <c r="O41" s="388"/>
      <c r="P41" s="389" t="s">
        <v>1814</v>
      </c>
    </row>
    <row r="42" spans="1:16" ht="26.25" thickBot="1">
      <c r="A42" s="390"/>
      <c r="B42" s="385" t="s">
        <v>1815</v>
      </c>
      <c r="C42" s="386"/>
      <c r="D42" s="387"/>
      <c r="E42" s="387"/>
      <c r="F42" s="387"/>
      <c r="G42" s="391"/>
      <c r="H42" s="389" t="s">
        <v>1816</v>
      </c>
      <c r="I42" s="390"/>
      <c r="J42" s="385" t="s">
        <v>1815</v>
      </c>
      <c r="K42" s="386"/>
      <c r="L42" s="387"/>
      <c r="M42" s="387"/>
      <c r="N42" s="387"/>
      <c r="O42" s="391"/>
      <c r="P42" s="389" t="s">
        <v>1816</v>
      </c>
    </row>
    <row r="43" spans="1:16" ht="15.75" thickBot="1">
      <c r="A43" s="392" t="s">
        <v>2112</v>
      </c>
      <c r="B43" s="385" t="s">
        <v>1803</v>
      </c>
      <c r="C43" s="386"/>
      <c r="D43" s="387"/>
      <c r="E43" s="387"/>
      <c r="F43" s="387"/>
      <c r="G43" s="393" t="s">
        <v>2112</v>
      </c>
      <c r="H43" s="389" t="s">
        <v>1803</v>
      </c>
      <c r="I43" s="392" t="s">
        <v>2112</v>
      </c>
      <c r="J43" s="385" t="s">
        <v>1803</v>
      </c>
      <c r="K43" s="386"/>
      <c r="L43" s="387"/>
      <c r="M43" s="387"/>
      <c r="N43" s="387"/>
      <c r="O43" s="393" t="s">
        <v>2112</v>
      </c>
      <c r="P43" s="389" t="s">
        <v>1803</v>
      </c>
    </row>
    <row r="44" spans="1:16" ht="15.75" thickBot="1">
      <c r="A44" s="384"/>
      <c r="B44" s="385" t="s">
        <v>1805</v>
      </c>
      <c r="C44" s="386"/>
      <c r="D44" s="387"/>
      <c r="E44" s="387"/>
      <c r="F44" s="387"/>
      <c r="G44" s="388"/>
      <c r="H44" s="389" t="s">
        <v>1805</v>
      </c>
      <c r="I44" s="384"/>
      <c r="J44" s="385" t="s">
        <v>1805</v>
      </c>
      <c r="K44" s="386"/>
      <c r="L44" s="387"/>
      <c r="M44" s="387"/>
      <c r="N44" s="387"/>
      <c r="O44" s="388"/>
      <c r="P44" s="389" t="s">
        <v>1805</v>
      </c>
    </row>
    <row r="45" spans="1:16" ht="15.75" thickBot="1">
      <c r="A45" s="384"/>
      <c r="B45" s="385" t="s">
        <v>1806</v>
      </c>
      <c r="C45" s="386"/>
      <c r="D45" s="387"/>
      <c r="E45" s="387"/>
      <c r="F45" s="387"/>
      <c r="G45" s="388"/>
      <c r="H45" s="389" t="s">
        <v>1806</v>
      </c>
      <c r="I45" s="384"/>
      <c r="J45" s="385" t="s">
        <v>1806</v>
      </c>
      <c r="K45" s="386"/>
      <c r="L45" s="387"/>
      <c r="M45" s="387"/>
      <c r="N45" s="387"/>
      <c r="O45" s="388"/>
      <c r="P45" s="389" t="s">
        <v>1806</v>
      </c>
    </row>
    <row r="46" spans="1:16" ht="15.75" thickBot="1">
      <c r="A46" s="384"/>
      <c r="B46" s="385" t="s">
        <v>1807</v>
      </c>
      <c r="C46" s="386"/>
      <c r="D46" s="387"/>
      <c r="E46" s="387"/>
      <c r="F46" s="387"/>
      <c r="G46" s="388"/>
      <c r="H46" s="389" t="s">
        <v>1807</v>
      </c>
      <c r="I46" s="384"/>
      <c r="J46" s="385" t="s">
        <v>1807</v>
      </c>
      <c r="K46" s="386"/>
      <c r="L46" s="387"/>
      <c r="M46" s="387"/>
      <c r="N46" s="387"/>
      <c r="O46" s="388"/>
      <c r="P46" s="389" t="s">
        <v>1807</v>
      </c>
    </row>
    <row r="47" spans="1:16" ht="15.75" thickBot="1">
      <c r="A47" s="384"/>
      <c r="B47" s="385" t="s">
        <v>1808</v>
      </c>
      <c r="C47" s="386"/>
      <c r="D47" s="387"/>
      <c r="E47" s="387"/>
      <c r="F47" s="387"/>
      <c r="G47" s="388"/>
      <c r="H47" s="389" t="s">
        <v>1808</v>
      </c>
      <c r="I47" s="384"/>
      <c r="J47" s="385" t="s">
        <v>1808</v>
      </c>
      <c r="K47" s="386"/>
      <c r="L47" s="387"/>
      <c r="M47" s="387"/>
      <c r="N47" s="387"/>
      <c r="O47" s="388"/>
      <c r="P47" s="389" t="s">
        <v>1808</v>
      </c>
    </row>
    <row r="48" spans="1:16" ht="15.75" thickBot="1">
      <c r="A48" s="384"/>
      <c r="B48" s="385" t="s">
        <v>1809</v>
      </c>
      <c r="C48" s="386"/>
      <c r="D48" s="387"/>
      <c r="E48" s="387"/>
      <c r="F48" s="387"/>
      <c r="G48" s="388"/>
      <c r="H48" s="389" t="s">
        <v>1809</v>
      </c>
      <c r="I48" s="384"/>
      <c r="J48" s="385" t="s">
        <v>1809</v>
      </c>
      <c r="K48" s="386"/>
      <c r="L48" s="387"/>
      <c r="M48" s="387"/>
      <c r="N48" s="387"/>
      <c r="O48" s="388"/>
      <c r="P48" s="389" t="s">
        <v>1809</v>
      </c>
    </row>
    <row r="49" spans="1:16" ht="15.75" thickBot="1">
      <c r="A49" s="384"/>
      <c r="B49" s="385" t="s">
        <v>1810</v>
      </c>
      <c r="C49" s="386"/>
      <c r="D49" s="387"/>
      <c r="E49" s="387"/>
      <c r="F49" s="387"/>
      <c r="G49" s="388"/>
      <c r="H49" s="389" t="s">
        <v>1810</v>
      </c>
      <c r="I49" s="384"/>
      <c r="J49" s="385" t="s">
        <v>1810</v>
      </c>
      <c r="K49" s="386"/>
      <c r="L49" s="387"/>
      <c r="M49" s="387"/>
      <c r="N49" s="387"/>
      <c r="O49" s="388"/>
      <c r="P49" s="389" t="s">
        <v>1810</v>
      </c>
    </row>
    <row r="50" spans="1:16" ht="15.75" thickBot="1">
      <c r="A50" s="384"/>
      <c r="B50" s="385" t="s">
        <v>1811</v>
      </c>
      <c r="C50" s="386"/>
      <c r="D50" s="387"/>
      <c r="E50" s="387"/>
      <c r="F50" s="387"/>
      <c r="G50" s="388"/>
      <c r="H50" s="389" t="s">
        <v>1811</v>
      </c>
      <c r="I50" s="384"/>
      <c r="J50" s="385" t="s">
        <v>1811</v>
      </c>
      <c r="K50" s="386"/>
      <c r="L50" s="387"/>
      <c r="M50" s="387"/>
      <c r="N50" s="387"/>
      <c r="O50" s="388"/>
      <c r="P50" s="389" t="s">
        <v>1811</v>
      </c>
    </row>
    <row r="51" spans="1:16" ht="15.75" thickBot="1">
      <c r="A51" s="384"/>
      <c r="B51" s="385" t="s">
        <v>1812</v>
      </c>
      <c r="C51" s="386"/>
      <c r="D51" s="387"/>
      <c r="E51" s="387"/>
      <c r="F51" s="387"/>
      <c r="G51" s="388"/>
      <c r="H51" s="389" t="s">
        <v>1812</v>
      </c>
      <c r="I51" s="384"/>
      <c r="J51" s="385" t="s">
        <v>1812</v>
      </c>
      <c r="K51" s="386"/>
      <c r="L51" s="387"/>
      <c r="M51" s="387"/>
      <c r="N51" s="387"/>
      <c r="O51" s="388"/>
      <c r="P51" s="389" t="s">
        <v>1812</v>
      </c>
    </row>
    <row r="52" spans="1:16" ht="15.75" thickBot="1">
      <c r="A52" s="384"/>
      <c r="B52" s="385" t="s">
        <v>1813</v>
      </c>
      <c r="C52" s="386"/>
      <c r="D52" s="387"/>
      <c r="E52" s="387"/>
      <c r="F52" s="387"/>
      <c r="G52" s="388"/>
      <c r="H52" s="389" t="s">
        <v>1813</v>
      </c>
      <c r="I52" s="384"/>
      <c r="J52" s="385" t="s">
        <v>1813</v>
      </c>
      <c r="K52" s="386"/>
      <c r="L52" s="387"/>
      <c r="M52" s="387"/>
      <c r="N52" s="387"/>
      <c r="O52" s="388"/>
      <c r="P52" s="389" t="s">
        <v>1813</v>
      </c>
    </row>
    <row r="53" spans="1:16" ht="15.75" thickBot="1">
      <c r="A53" s="384"/>
      <c r="B53" s="385" t="s">
        <v>1814</v>
      </c>
      <c r="C53" s="386"/>
      <c r="D53" s="387"/>
      <c r="E53" s="387"/>
      <c r="F53" s="387"/>
      <c r="G53" s="388"/>
      <c r="H53" s="389" t="s">
        <v>1814</v>
      </c>
      <c r="I53" s="384"/>
      <c r="J53" s="385" t="s">
        <v>1814</v>
      </c>
      <c r="K53" s="386"/>
      <c r="L53" s="387"/>
      <c r="M53" s="387"/>
      <c r="N53" s="387"/>
      <c r="O53" s="388"/>
      <c r="P53" s="389" t="s">
        <v>1814</v>
      </c>
    </row>
    <row r="54" spans="1:16" ht="26.25" thickBot="1">
      <c r="A54" s="390"/>
      <c r="B54" s="385" t="s">
        <v>1815</v>
      </c>
      <c r="C54" s="386"/>
      <c r="D54" s="387"/>
      <c r="E54" s="387"/>
      <c r="F54" s="387"/>
      <c r="G54" s="391"/>
      <c r="H54" s="389" t="s">
        <v>1816</v>
      </c>
      <c r="I54" s="390"/>
      <c r="J54" s="385" t="s">
        <v>1815</v>
      </c>
      <c r="K54" s="386"/>
      <c r="L54" s="387"/>
      <c r="M54" s="387"/>
      <c r="N54" s="387"/>
      <c r="O54" s="391"/>
      <c r="P54" s="389" t="s">
        <v>1816</v>
      </c>
    </row>
    <row r="55" spans="1:16" ht="15.75" thickBot="1">
      <c r="A55" s="392" t="s">
        <v>2113</v>
      </c>
      <c r="B55" s="385" t="s">
        <v>1803</v>
      </c>
      <c r="C55" s="386"/>
      <c r="D55" s="387"/>
      <c r="E55" s="387"/>
      <c r="F55" s="387"/>
      <c r="G55" s="393" t="s">
        <v>2113</v>
      </c>
      <c r="H55" s="389" t="s">
        <v>1803</v>
      </c>
      <c r="I55" s="392" t="s">
        <v>2113</v>
      </c>
      <c r="J55" s="385" t="s">
        <v>1803</v>
      </c>
      <c r="K55" s="386"/>
      <c r="L55" s="387"/>
      <c r="M55" s="387"/>
      <c r="N55" s="387"/>
      <c r="O55" s="393" t="s">
        <v>2113</v>
      </c>
      <c r="P55" s="389" t="s">
        <v>1803</v>
      </c>
    </row>
    <row r="56" spans="1:16" ht="15.75" thickBot="1">
      <c r="A56" s="384"/>
      <c r="B56" s="385" t="s">
        <v>1805</v>
      </c>
      <c r="C56" s="386"/>
      <c r="D56" s="387"/>
      <c r="E56" s="387"/>
      <c r="F56" s="387"/>
      <c r="G56" s="388"/>
      <c r="H56" s="389" t="s">
        <v>1805</v>
      </c>
      <c r="I56" s="384"/>
      <c r="J56" s="385" t="s">
        <v>1805</v>
      </c>
      <c r="K56" s="386"/>
      <c r="L56" s="387"/>
      <c r="M56" s="387"/>
      <c r="N56" s="387"/>
      <c r="O56" s="388"/>
      <c r="P56" s="389" t="s">
        <v>1805</v>
      </c>
    </row>
    <row r="57" spans="1:16" ht="15.75" thickBot="1">
      <c r="A57" s="384"/>
      <c r="B57" s="385" t="s">
        <v>1806</v>
      </c>
      <c r="C57" s="386"/>
      <c r="D57" s="387"/>
      <c r="E57" s="387"/>
      <c r="F57" s="387"/>
      <c r="G57" s="388"/>
      <c r="H57" s="389" t="s">
        <v>1806</v>
      </c>
      <c r="I57" s="384"/>
      <c r="J57" s="385" t="s">
        <v>1806</v>
      </c>
      <c r="K57" s="386"/>
      <c r="L57" s="387"/>
      <c r="M57" s="387"/>
      <c r="N57" s="387"/>
      <c r="O57" s="388"/>
      <c r="P57" s="389" t="s">
        <v>1806</v>
      </c>
    </row>
    <row r="58" spans="1:16" ht="15.75" thickBot="1">
      <c r="A58" s="384"/>
      <c r="B58" s="385" t="s">
        <v>1807</v>
      </c>
      <c r="C58" s="386"/>
      <c r="D58" s="387"/>
      <c r="E58" s="387"/>
      <c r="F58" s="387"/>
      <c r="G58" s="388"/>
      <c r="H58" s="389" t="s">
        <v>1807</v>
      </c>
      <c r="I58" s="384"/>
      <c r="J58" s="385" t="s">
        <v>1807</v>
      </c>
      <c r="K58" s="386"/>
      <c r="L58" s="387"/>
      <c r="M58" s="387"/>
      <c r="N58" s="387"/>
      <c r="O58" s="388"/>
      <c r="P58" s="389" t="s">
        <v>1807</v>
      </c>
    </row>
    <row r="59" spans="1:16" ht="15.75" thickBot="1">
      <c r="A59" s="384"/>
      <c r="B59" s="385" t="s">
        <v>1808</v>
      </c>
      <c r="C59" s="386"/>
      <c r="D59" s="387"/>
      <c r="E59" s="387"/>
      <c r="F59" s="387"/>
      <c r="G59" s="388"/>
      <c r="H59" s="389" t="s">
        <v>1808</v>
      </c>
      <c r="I59" s="384"/>
      <c r="J59" s="385" t="s">
        <v>1808</v>
      </c>
      <c r="K59" s="386"/>
      <c r="L59" s="387"/>
      <c r="M59" s="387"/>
      <c r="N59" s="387"/>
      <c r="O59" s="388"/>
      <c r="P59" s="389" t="s">
        <v>1808</v>
      </c>
    </row>
    <row r="60" spans="1:16" ht="15.75" thickBot="1">
      <c r="A60" s="384"/>
      <c r="B60" s="385" t="s">
        <v>1809</v>
      </c>
      <c r="C60" s="386"/>
      <c r="D60" s="387"/>
      <c r="E60" s="387"/>
      <c r="F60" s="387"/>
      <c r="G60" s="388"/>
      <c r="H60" s="389" t="s">
        <v>1809</v>
      </c>
      <c r="I60" s="384"/>
      <c r="J60" s="385" t="s">
        <v>1809</v>
      </c>
      <c r="K60" s="386"/>
      <c r="L60" s="387"/>
      <c r="M60" s="387"/>
      <c r="N60" s="387"/>
      <c r="O60" s="388"/>
      <c r="P60" s="389" t="s">
        <v>1809</v>
      </c>
    </row>
    <row r="61" spans="1:16" ht="15.75" thickBot="1">
      <c r="A61" s="384"/>
      <c r="B61" s="385" t="s">
        <v>1810</v>
      </c>
      <c r="C61" s="386"/>
      <c r="D61" s="387"/>
      <c r="E61" s="387"/>
      <c r="F61" s="387"/>
      <c r="G61" s="388"/>
      <c r="H61" s="389" t="s">
        <v>1810</v>
      </c>
      <c r="I61" s="384"/>
      <c r="J61" s="385" t="s">
        <v>1810</v>
      </c>
      <c r="K61" s="386"/>
      <c r="L61" s="387"/>
      <c r="M61" s="387"/>
      <c r="N61" s="387"/>
      <c r="O61" s="388"/>
      <c r="P61" s="389" t="s">
        <v>1810</v>
      </c>
    </row>
    <row r="62" spans="1:16" ht="15.75" thickBot="1">
      <c r="A62" s="384"/>
      <c r="B62" s="385" t="s">
        <v>1811</v>
      </c>
      <c r="C62" s="386"/>
      <c r="D62" s="387"/>
      <c r="E62" s="387"/>
      <c r="F62" s="387"/>
      <c r="G62" s="388"/>
      <c r="H62" s="389" t="s">
        <v>1811</v>
      </c>
      <c r="I62" s="384"/>
      <c r="J62" s="385" t="s">
        <v>1811</v>
      </c>
      <c r="K62" s="386"/>
      <c r="L62" s="387"/>
      <c r="M62" s="387"/>
      <c r="N62" s="387"/>
      <c r="O62" s="388"/>
      <c r="P62" s="389" t="s">
        <v>1811</v>
      </c>
    </row>
    <row r="63" spans="1:16" ht="15.75" thickBot="1">
      <c r="A63" s="384"/>
      <c r="B63" s="385" t="s">
        <v>1812</v>
      </c>
      <c r="C63" s="386"/>
      <c r="D63" s="387"/>
      <c r="E63" s="387"/>
      <c r="F63" s="387"/>
      <c r="G63" s="388"/>
      <c r="H63" s="389" t="s">
        <v>1812</v>
      </c>
      <c r="I63" s="384"/>
      <c r="J63" s="385" t="s">
        <v>1812</v>
      </c>
      <c r="K63" s="386"/>
      <c r="L63" s="387"/>
      <c r="M63" s="387"/>
      <c r="N63" s="387"/>
      <c r="O63" s="388"/>
      <c r="P63" s="389" t="s">
        <v>1812</v>
      </c>
    </row>
    <row r="64" spans="1:16" ht="15.75" thickBot="1">
      <c r="A64" s="384"/>
      <c r="B64" s="385" t="s">
        <v>1813</v>
      </c>
      <c r="C64" s="386"/>
      <c r="D64" s="387"/>
      <c r="E64" s="387"/>
      <c r="F64" s="387"/>
      <c r="G64" s="388"/>
      <c r="H64" s="389" t="s">
        <v>1813</v>
      </c>
      <c r="I64" s="384"/>
      <c r="J64" s="385" t="s">
        <v>1813</v>
      </c>
      <c r="K64" s="386"/>
      <c r="L64" s="387"/>
      <c r="M64" s="387"/>
      <c r="N64" s="387"/>
      <c r="O64" s="388"/>
      <c r="P64" s="389" t="s">
        <v>1813</v>
      </c>
    </row>
    <row r="65" spans="1:16" ht="15.75" thickBot="1">
      <c r="A65" s="384"/>
      <c r="B65" s="385" t="s">
        <v>1814</v>
      </c>
      <c r="C65" s="386"/>
      <c r="D65" s="387"/>
      <c r="E65" s="387"/>
      <c r="F65" s="387"/>
      <c r="G65" s="388"/>
      <c r="H65" s="389" t="s">
        <v>1814</v>
      </c>
      <c r="I65" s="384"/>
      <c r="J65" s="385" t="s">
        <v>1814</v>
      </c>
      <c r="K65" s="386"/>
      <c r="L65" s="387"/>
      <c r="M65" s="387"/>
      <c r="N65" s="387"/>
      <c r="O65" s="388"/>
      <c r="P65" s="389" t="s">
        <v>1814</v>
      </c>
    </row>
    <row r="66" spans="1:16" ht="26.25" thickBot="1">
      <c r="A66" s="390"/>
      <c r="B66" s="385" t="s">
        <v>1815</v>
      </c>
      <c r="C66" s="386"/>
      <c r="D66" s="387"/>
      <c r="E66" s="387"/>
      <c r="F66" s="387"/>
      <c r="G66" s="391"/>
      <c r="H66" s="389" t="s">
        <v>1816</v>
      </c>
      <c r="I66" s="390"/>
      <c r="J66" s="385" t="s">
        <v>1815</v>
      </c>
      <c r="K66" s="386"/>
      <c r="L66" s="387"/>
      <c r="M66" s="387"/>
      <c r="N66" s="387"/>
      <c r="O66" s="391"/>
      <c r="P66" s="389" t="s">
        <v>1816</v>
      </c>
    </row>
    <row r="67" spans="1:16" ht="15.75" thickBot="1">
      <c r="A67" s="392" t="s">
        <v>2114</v>
      </c>
      <c r="B67" s="385" t="s">
        <v>1803</v>
      </c>
      <c r="C67" s="386"/>
      <c r="D67" s="387"/>
      <c r="E67" s="387"/>
      <c r="F67" s="387"/>
      <c r="G67" s="393" t="s">
        <v>2114</v>
      </c>
      <c r="H67" s="389" t="s">
        <v>1803</v>
      </c>
      <c r="I67" s="392" t="s">
        <v>2114</v>
      </c>
      <c r="J67" s="385" t="s">
        <v>1803</v>
      </c>
      <c r="K67" s="386"/>
      <c r="L67" s="387"/>
      <c r="M67" s="387"/>
      <c r="N67" s="387"/>
      <c r="O67" s="393" t="s">
        <v>2114</v>
      </c>
      <c r="P67" s="389" t="s">
        <v>1803</v>
      </c>
    </row>
    <row r="68" spans="1:16" ht="15.75" thickBot="1">
      <c r="A68" s="384"/>
      <c r="B68" s="385" t="s">
        <v>1805</v>
      </c>
      <c r="C68" s="386"/>
      <c r="D68" s="387"/>
      <c r="E68" s="387"/>
      <c r="F68" s="387"/>
      <c r="G68" s="388"/>
      <c r="H68" s="389" t="s">
        <v>1805</v>
      </c>
      <c r="I68" s="384"/>
      <c r="J68" s="385" t="s">
        <v>1805</v>
      </c>
      <c r="K68" s="386"/>
      <c r="L68" s="387"/>
      <c r="M68" s="387"/>
      <c r="N68" s="387"/>
      <c r="O68" s="388"/>
      <c r="P68" s="389" t="s">
        <v>1805</v>
      </c>
    </row>
    <row r="69" spans="1:16" ht="15.75" thickBot="1">
      <c r="A69" s="384"/>
      <c r="B69" s="385" t="s">
        <v>1806</v>
      </c>
      <c r="C69" s="386"/>
      <c r="D69" s="387"/>
      <c r="E69" s="387"/>
      <c r="F69" s="387"/>
      <c r="G69" s="388"/>
      <c r="H69" s="389" t="s">
        <v>1806</v>
      </c>
      <c r="I69" s="384"/>
      <c r="J69" s="385" t="s">
        <v>1806</v>
      </c>
      <c r="K69" s="386"/>
      <c r="L69" s="387"/>
      <c r="M69" s="387"/>
      <c r="N69" s="387"/>
      <c r="O69" s="388"/>
      <c r="P69" s="389" t="s">
        <v>1806</v>
      </c>
    </row>
    <row r="70" spans="1:16" ht="15.75" thickBot="1">
      <c r="A70" s="384"/>
      <c r="B70" s="385" t="s">
        <v>1807</v>
      </c>
      <c r="C70" s="386"/>
      <c r="D70" s="387"/>
      <c r="E70" s="387"/>
      <c r="F70" s="387"/>
      <c r="G70" s="388"/>
      <c r="H70" s="389" t="s">
        <v>1807</v>
      </c>
      <c r="I70" s="384"/>
      <c r="J70" s="385" t="s">
        <v>1807</v>
      </c>
      <c r="K70" s="386"/>
      <c r="L70" s="387"/>
      <c r="M70" s="387"/>
      <c r="N70" s="387"/>
      <c r="O70" s="388"/>
      <c r="P70" s="389" t="s">
        <v>1807</v>
      </c>
    </row>
    <row r="71" spans="1:16" ht="15.75" thickBot="1">
      <c r="A71" s="384"/>
      <c r="B71" s="385" t="s">
        <v>1808</v>
      </c>
      <c r="C71" s="386"/>
      <c r="D71" s="387"/>
      <c r="E71" s="387"/>
      <c r="F71" s="387"/>
      <c r="G71" s="388"/>
      <c r="H71" s="389" t="s">
        <v>1808</v>
      </c>
      <c r="I71" s="384"/>
      <c r="J71" s="385" t="s">
        <v>1808</v>
      </c>
      <c r="K71" s="386"/>
      <c r="L71" s="387"/>
      <c r="M71" s="387"/>
      <c r="N71" s="387"/>
      <c r="O71" s="388"/>
      <c r="P71" s="389" t="s">
        <v>1808</v>
      </c>
    </row>
    <row r="72" spans="1:16" ht="15.75" thickBot="1">
      <c r="A72" s="384"/>
      <c r="B72" s="385" t="s">
        <v>1809</v>
      </c>
      <c r="C72" s="386"/>
      <c r="D72" s="387"/>
      <c r="E72" s="387"/>
      <c r="F72" s="387"/>
      <c r="G72" s="388"/>
      <c r="H72" s="389" t="s">
        <v>1809</v>
      </c>
      <c r="I72" s="384"/>
      <c r="J72" s="385" t="s">
        <v>1809</v>
      </c>
      <c r="K72" s="386"/>
      <c r="L72" s="387"/>
      <c r="M72" s="387"/>
      <c r="N72" s="387"/>
      <c r="O72" s="388"/>
      <c r="P72" s="389" t="s">
        <v>1809</v>
      </c>
    </row>
    <row r="73" spans="1:16" ht="15.75" thickBot="1">
      <c r="A73" s="384"/>
      <c r="B73" s="385" t="s">
        <v>1810</v>
      </c>
      <c r="C73" s="386"/>
      <c r="D73" s="387"/>
      <c r="E73" s="387"/>
      <c r="F73" s="387"/>
      <c r="G73" s="388"/>
      <c r="H73" s="389" t="s">
        <v>1810</v>
      </c>
      <c r="I73" s="384"/>
      <c r="J73" s="385" t="s">
        <v>1810</v>
      </c>
      <c r="K73" s="386"/>
      <c r="L73" s="387"/>
      <c r="M73" s="387"/>
      <c r="N73" s="387"/>
      <c r="O73" s="388"/>
      <c r="P73" s="389" t="s">
        <v>1810</v>
      </c>
    </row>
    <row r="74" spans="1:16" ht="15.75" thickBot="1">
      <c r="A74" s="384"/>
      <c r="B74" s="385" t="s">
        <v>1811</v>
      </c>
      <c r="C74" s="386"/>
      <c r="D74" s="387"/>
      <c r="E74" s="387"/>
      <c r="F74" s="387"/>
      <c r="G74" s="388"/>
      <c r="H74" s="389" t="s">
        <v>1811</v>
      </c>
      <c r="I74" s="384"/>
      <c r="J74" s="385" t="s">
        <v>1811</v>
      </c>
      <c r="K74" s="386"/>
      <c r="L74" s="387"/>
      <c r="M74" s="387"/>
      <c r="N74" s="387"/>
      <c r="O74" s="388"/>
      <c r="P74" s="389" t="s">
        <v>1811</v>
      </c>
    </row>
    <row r="75" spans="1:16" ht="15.75" thickBot="1">
      <c r="A75" s="384"/>
      <c r="B75" s="385" t="s">
        <v>1812</v>
      </c>
      <c r="C75" s="386"/>
      <c r="D75" s="387"/>
      <c r="E75" s="387"/>
      <c r="F75" s="387"/>
      <c r="G75" s="388"/>
      <c r="H75" s="389" t="s">
        <v>1812</v>
      </c>
      <c r="I75" s="384"/>
      <c r="J75" s="385" t="s">
        <v>1812</v>
      </c>
      <c r="K75" s="386"/>
      <c r="L75" s="387"/>
      <c r="M75" s="387"/>
      <c r="N75" s="387"/>
      <c r="O75" s="388"/>
      <c r="P75" s="389" t="s">
        <v>1812</v>
      </c>
    </row>
    <row r="76" spans="1:16" ht="15.75" thickBot="1">
      <c r="A76" s="384"/>
      <c r="B76" s="385" t="s">
        <v>1813</v>
      </c>
      <c r="C76" s="386"/>
      <c r="D76" s="387"/>
      <c r="E76" s="387"/>
      <c r="F76" s="387"/>
      <c r="G76" s="388"/>
      <c r="H76" s="389" t="s">
        <v>1813</v>
      </c>
      <c r="I76" s="384"/>
      <c r="J76" s="385" t="s">
        <v>1813</v>
      </c>
      <c r="K76" s="386"/>
      <c r="L76" s="387"/>
      <c r="M76" s="387"/>
      <c r="N76" s="387"/>
      <c r="O76" s="388"/>
      <c r="P76" s="389" t="s">
        <v>1813</v>
      </c>
    </row>
    <row r="77" spans="1:16" ht="15.75" thickBot="1">
      <c r="A77" s="384"/>
      <c r="B77" s="385" t="s">
        <v>1814</v>
      </c>
      <c r="C77" s="386"/>
      <c r="D77" s="387"/>
      <c r="E77" s="387"/>
      <c r="F77" s="387"/>
      <c r="G77" s="388"/>
      <c r="H77" s="389" t="s">
        <v>1814</v>
      </c>
      <c r="I77" s="384"/>
      <c r="J77" s="385" t="s">
        <v>1814</v>
      </c>
      <c r="K77" s="386"/>
      <c r="L77" s="387"/>
      <c r="M77" s="387"/>
      <c r="N77" s="387"/>
      <c r="O77" s="388"/>
      <c r="P77" s="389" t="s">
        <v>1814</v>
      </c>
    </row>
    <row r="78" spans="1:16" ht="26.25" thickBot="1">
      <c r="A78" s="390"/>
      <c r="B78" s="385" t="s">
        <v>1815</v>
      </c>
      <c r="C78" s="386"/>
      <c r="D78" s="387"/>
      <c r="E78" s="387"/>
      <c r="F78" s="387"/>
      <c r="G78" s="391"/>
      <c r="H78" s="389" t="s">
        <v>1816</v>
      </c>
      <c r="I78" s="390"/>
      <c r="J78" s="385" t="s">
        <v>1815</v>
      </c>
      <c r="K78" s="386"/>
      <c r="L78" s="387"/>
      <c r="M78" s="387"/>
      <c r="N78" s="387"/>
      <c r="O78" s="391"/>
      <c r="P78" s="389" t="s">
        <v>1816</v>
      </c>
    </row>
    <row r="79" spans="1:16" ht="15.75" thickBot="1">
      <c r="A79" s="392" t="s">
        <v>2115</v>
      </c>
      <c r="B79" s="385" t="s">
        <v>1803</v>
      </c>
      <c r="C79" s="386"/>
      <c r="D79" s="387"/>
      <c r="E79" s="387"/>
      <c r="F79" s="387"/>
      <c r="G79" s="393" t="s">
        <v>2115</v>
      </c>
      <c r="H79" s="389" t="s">
        <v>1803</v>
      </c>
      <c r="I79" s="392" t="s">
        <v>2115</v>
      </c>
      <c r="J79" s="385" t="s">
        <v>1803</v>
      </c>
      <c r="K79" s="386"/>
      <c r="L79" s="387"/>
      <c r="M79" s="387"/>
      <c r="N79" s="387"/>
      <c r="O79" s="393" t="s">
        <v>2115</v>
      </c>
      <c r="P79" s="389" t="s">
        <v>1803</v>
      </c>
    </row>
    <row r="80" spans="1:16" ht="15.75" thickBot="1">
      <c r="A80" s="384"/>
      <c r="B80" s="385" t="s">
        <v>1805</v>
      </c>
      <c r="C80" s="386"/>
      <c r="D80" s="387"/>
      <c r="E80" s="387"/>
      <c r="F80" s="387"/>
      <c r="G80" s="388"/>
      <c r="H80" s="389" t="s">
        <v>1805</v>
      </c>
      <c r="I80" s="384"/>
      <c r="J80" s="385" t="s">
        <v>1805</v>
      </c>
      <c r="K80" s="386"/>
      <c r="L80" s="387"/>
      <c r="M80" s="387"/>
      <c r="N80" s="387"/>
      <c r="O80" s="388"/>
      <c r="P80" s="389" t="s">
        <v>1805</v>
      </c>
    </row>
    <row r="81" spans="1:16" ht="15.75" thickBot="1">
      <c r="A81" s="384"/>
      <c r="B81" s="385" t="s">
        <v>1806</v>
      </c>
      <c r="C81" s="386"/>
      <c r="D81" s="387"/>
      <c r="E81" s="387"/>
      <c r="F81" s="387"/>
      <c r="G81" s="388"/>
      <c r="H81" s="389" t="s">
        <v>1806</v>
      </c>
      <c r="I81" s="384"/>
      <c r="J81" s="385" t="s">
        <v>1806</v>
      </c>
      <c r="K81" s="386"/>
      <c r="L81" s="387"/>
      <c r="M81" s="387"/>
      <c r="N81" s="387"/>
      <c r="O81" s="388"/>
      <c r="P81" s="389" t="s">
        <v>1806</v>
      </c>
    </row>
    <row r="82" spans="1:16" ht="15.75" thickBot="1">
      <c r="A82" s="384"/>
      <c r="B82" s="385" t="s">
        <v>1807</v>
      </c>
      <c r="C82" s="386"/>
      <c r="D82" s="387"/>
      <c r="E82" s="387"/>
      <c r="F82" s="387"/>
      <c r="G82" s="388"/>
      <c r="H82" s="389" t="s">
        <v>1807</v>
      </c>
      <c r="I82" s="384"/>
      <c r="J82" s="385" t="s">
        <v>1807</v>
      </c>
      <c r="K82" s="386"/>
      <c r="L82" s="387"/>
      <c r="M82" s="387"/>
      <c r="N82" s="387"/>
      <c r="O82" s="388"/>
      <c r="P82" s="389" t="s">
        <v>1807</v>
      </c>
    </row>
    <row r="83" spans="1:16" ht="15.75" thickBot="1">
      <c r="A83" s="384"/>
      <c r="B83" s="385" t="s">
        <v>1808</v>
      </c>
      <c r="C83" s="386"/>
      <c r="D83" s="387"/>
      <c r="E83" s="387"/>
      <c r="F83" s="387"/>
      <c r="G83" s="388"/>
      <c r="H83" s="389" t="s">
        <v>1808</v>
      </c>
      <c r="I83" s="384"/>
      <c r="J83" s="385" t="s">
        <v>1808</v>
      </c>
      <c r="K83" s="386"/>
      <c r="L83" s="387"/>
      <c r="M83" s="387"/>
      <c r="N83" s="387"/>
      <c r="O83" s="388"/>
      <c r="P83" s="389" t="s">
        <v>1808</v>
      </c>
    </row>
    <row r="84" spans="1:16" ht="15.75" thickBot="1">
      <c r="A84" s="384"/>
      <c r="B84" s="385" t="s">
        <v>1809</v>
      </c>
      <c r="C84" s="386"/>
      <c r="D84" s="387"/>
      <c r="E84" s="387"/>
      <c r="F84" s="387"/>
      <c r="G84" s="388"/>
      <c r="H84" s="389" t="s">
        <v>1809</v>
      </c>
      <c r="I84" s="384"/>
      <c r="J84" s="385" t="s">
        <v>1809</v>
      </c>
      <c r="K84" s="386"/>
      <c r="L84" s="387"/>
      <c r="M84" s="387"/>
      <c r="N84" s="387"/>
      <c r="O84" s="388"/>
      <c r="P84" s="389" t="s">
        <v>1809</v>
      </c>
    </row>
    <row r="85" spans="1:16" ht="15.75" thickBot="1">
      <c r="A85" s="384"/>
      <c r="B85" s="385" t="s">
        <v>1810</v>
      </c>
      <c r="C85" s="386"/>
      <c r="D85" s="387"/>
      <c r="E85" s="387"/>
      <c r="F85" s="387"/>
      <c r="G85" s="388"/>
      <c r="H85" s="389" t="s">
        <v>1810</v>
      </c>
      <c r="I85" s="384"/>
      <c r="J85" s="385" t="s">
        <v>1810</v>
      </c>
      <c r="K85" s="386"/>
      <c r="L85" s="387"/>
      <c r="M85" s="387"/>
      <c r="N85" s="387"/>
      <c r="O85" s="388"/>
      <c r="P85" s="389" t="s">
        <v>1810</v>
      </c>
    </row>
    <row r="86" spans="1:16" ht="15.75" thickBot="1">
      <c r="A86" s="384"/>
      <c r="B86" s="385" t="s">
        <v>1811</v>
      </c>
      <c r="C86" s="386"/>
      <c r="D86" s="387"/>
      <c r="E86" s="387"/>
      <c r="F86" s="387"/>
      <c r="G86" s="388"/>
      <c r="H86" s="389" t="s">
        <v>1811</v>
      </c>
      <c r="I86" s="384"/>
      <c r="J86" s="385" t="s">
        <v>1811</v>
      </c>
      <c r="K86" s="386"/>
      <c r="L86" s="387"/>
      <c r="M86" s="387"/>
      <c r="N86" s="387"/>
      <c r="O86" s="388"/>
      <c r="P86" s="389" t="s">
        <v>1811</v>
      </c>
    </row>
    <row r="87" spans="1:16" ht="15.75" thickBot="1">
      <c r="A87" s="384"/>
      <c r="B87" s="385" t="s">
        <v>1812</v>
      </c>
      <c r="C87" s="386"/>
      <c r="D87" s="387"/>
      <c r="E87" s="387"/>
      <c r="F87" s="387"/>
      <c r="G87" s="388"/>
      <c r="H87" s="389" t="s">
        <v>1812</v>
      </c>
      <c r="I87" s="384"/>
      <c r="J87" s="385" t="s">
        <v>1812</v>
      </c>
      <c r="K87" s="386"/>
      <c r="L87" s="387"/>
      <c r="M87" s="387"/>
      <c r="N87" s="387"/>
      <c r="O87" s="388"/>
      <c r="P87" s="389" t="s">
        <v>1812</v>
      </c>
    </row>
    <row r="88" spans="1:16" ht="15.75" thickBot="1">
      <c r="A88" s="384"/>
      <c r="B88" s="385" t="s">
        <v>1813</v>
      </c>
      <c r="C88" s="386"/>
      <c r="D88" s="387"/>
      <c r="E88" s="387"/>
      <c r="F88" s="387"/>
      <c r="G88" s="388"/>
      <c r="H88" s="389" t="s">
        <v>1813</v>
      </c>
      <c r="I88" s="384"/>
      <c r="J88" s="385" t="s">
        <v>1813</v>
      </c>
      <c r="K88" s="386"/>
      <c r="L88" s="387"/>
      <c r="M88" s="387"/>
      <c r="N88" s="387"/>
      <c r="O88" s="388"/>
      <c r="P88" s="389" t="s">
        <v>1813</v>
      </c>
    </row>
    <row r="89" spans="1:16" ht="15.75" thickBot="1">
      <c r="A89" s="384"/>
      <c r="B89" s="385" t="s">
        <v>1814</v>
      </c>
      <c r="C89" s="386"/>
      <c r="D89" s="387"/>
      <c r="E89" s="387"/>
      <c r="F89" s="387"/>
      <c r="G89" s="388"/>
      <c r="H89" s="389" t="s">
        <v>1814</v>
      </c>
      <c r="I89" s="384"/>
      <c r="J89" s="385" t="s">
        <v>1814</v>
      </c>
      <c r="K89" s="386"/>
      <c r="L89" s="387"/>
      <c r="M89" s="387"/>
      <c r="N89" s="387"/>
      <c r="O89" s="388"/>
      <c r="P89" s="389" t="s">
        <v>1814</v>
      </c>
    </row>
    <row r="90" spans="1:16" ht="26.25" thickBot="1">
      <c r="A90" s="390"/>
      <c r="B90" s="385" t="s">
        <v>1815</v>
      </c>
      <c r="C90" s="386"/>
      <c r="D90" s="387"/>
      <c r="E90" s="387"/>
      <c r="F90" s="387"/>
      <c r="G90" s="391"/>
      <c r="H90" s="389" t="s">
        <v>1816</v>
      </c>
      <c r="I90" s="390"/>
      <c r="J90" s="385" t="s">
        <v>1815</v>
      </c>
      <c r="K90" s="386"/>
      <c r="L90" s="387"/>
      <c r="M90" s="387"/>
      <c r="N90" s="387"/>
      <c r="O90" s="391"/>
      <c r="P90" s="389" t="s">
        <v>1816</v>
      </c>
    </row>
    <row r="91" spans="1:16" ht="15.75" thickBot="1">
      <c r="A91" s="392" t="s">
        <v>2116</v>
      </c>
      <c r="B91" s="385" t="s">
        <v>1803</v>
      </c>
      <c r="C91" s="386"/>
      <c r="D91" s="387"/>
      <c r="E91" s="387"/>
      <c r="F91" s="387"/>
      <c r="G91" s="393" t="s">
        <v>2116</v>
      </c>
      <c r="H91" s="389" t="s">
        <v>1803</v>
      </c>
      <c r="I91" s="392" t="s">
        <v>2116</v>
      </c>
      <c r="J91" s="385" t="s">
        <v>1803</v>
      </c>
      <c r="K91" s="386"/>
      <c r="L91" s="387"/>
      <c r="M91" s="387"/>
      <c r="N91" s="387"/>
      <c r="O91" s="393" t="s">
        <v>2116</v>
      </c>
      <c r="P91" s="389" t="s">
        <v>1803</v>
      </c>
    </row>
    <row r="92" spans="1:16" ht="15.75" thickBot="1">
      <c r="A92" s="384"/>
      <c r="B92" s="385" t="s">
        <v>1805</v>
      </c>
      <c r="C92" s="386"/>
      <c r="D92" s="387"/>
      <c r="E92" s="387"/>
      <c r="F92" s="387"/>
      <c r="G92" s="388"/>
      <c r="H92" s="389" t="s">
        <v>1805</v>
      </c>
      <c r="I92" s="384"/>
      <c r="J92" s="385" t="s">
        <v>1805</v>
      </c>
      <c r="K92" s="386"/>
      <c r="L92" s="387"/>
      <c r="M92" s="387"/>
      <c r="N92" s="387"/>
      <c r="O92" s="388"/>
      <c r="P92" s="389" t="s">
        <v>1805</v>
      </c>
    </row>
    <row r="93" spans="1:16" ht="15.75" thickBot="1">
      <c r="A93" s="384"/>
      <c r="B93" s="385" t="s">
        <v>1806</v>
      </c>
      <c r="C93" s="386"/>
      <c r="D93" s="387"/>
      <c r="E93" s="387"/>
      <c r="F93" s="387"/>
      <c r="G93" s="388"/>
      <c r="H93" s="389" t="s">
        <v>1806</v>
      </c>
      <c r="I93" s="384"/>
      <c r="J93" s="385" t="s">
        <v>1806</v>
      </c>
      <c r="K93" s="386"/>
      <c r="L93" s="387"/>
      <c r="M93" s="387"/>
      <c r="N93" s="387"/>
      <c r="O93" s="388"/>
      <c r="P93" s="389" t="s">
        <v>1806</v>
      </c>
    </row>
    <row r="94" spans="1:16" ht="15.75" thickBot="1">
      <c r="A94" s="384"/>
      <c r="B94" s="385" t="s">
        <v>1807</v>
      </c>
      <c r="C94" s="386"/>
      <c r="D94" s="387"/>
      <c r="E94" s="387"/>
      <c r="F94" s="387"/>
      <c r="G94" s="388"/>
      <c r="H94" s="389" t="s">
        <v>1807</v>
      </c>
      <c r="I94" s="384"/>
      <c r="J94" s="385" t="s">
        <v>1807</v>
      </c>
      <c r="K94" s="386"/>
      <c r="L94" s="387"/>
      <c r="M94" s="387"/>
      <c r="N94" s="387"/>
      <c r="O94" s="388"/>
      <c r="P94" s="389" t="s">
        <v>1807</v>
      </c>
    </row>
    <row r="95" spans="1:16" ht="15.75" thickBot="1">
      <c r="A95" s="384"/>
      <c r="B95" s="385" t="s">
        <v>1808</v>
      </c>
      <c r="C95" s="386"/>
      <c r="D95" s="387"/>
      <c r="E95" s="387"/>
      <c r="F95" s="387"/>
      <c r="G95" s="388"/>
      <c r="H95" s="389" t="s">
        <v>1808</v>
      </c>
      <c r="I95" s="384"/>
      <c r="J95" s="385" t="s">
        <v>1808</v>
      </c>
      <c r="K95" s="386"/>
      <c r="L95" s="387"/>
      <c r="M95" s="387"/>
      <c r="N95" s="387"/>
      <c r="O95" s="388"/>
      <c r="P95" s="389" t="s">
        <v>1808</v>
      </c>
    </row>
    <row r="96" spans="1:16" ht="15.75" thickBot="1">
      <c r="A96" s="384"/>
      <c r="B96" s="385" t="s">
        <v>1809</v>
      </c>
      <c r="C96" s="386"/>
      <c r="D96" s="387"/>
      <c r="E96" s="387"/>
      <c r="F96" s="387"/>
      <c r="G96" s="388"/>
      <c r="H96" s="389" t="s">
        <v>1809</v>
      </c>
      <c r="I96" s="384"/>
      <c r="J96" s="385" t="s">
        <v>1809</v>
      </c>
      <c r="K96" s="386"/>
      <c r="L96" s="387"/>
      <c r="M96" s="387"/>
      <c r="N96" s="387"/>
      <c r="O96" s="388"/>
      <c r="P96" s="389" t="s">
        <v>1809</v>
      </c>
    </row>
    <row r="97" spans="1:16" ht="15.75" thickBot="1">
      <c r="A97" s="384"/>
      <c r="B97" s="385" t="s">
        <v>1810</v>
      </c>
      <c r="C97" s="386"/>
      <c r="D97" s="387"/>
      <c r="E97" s="387"/>
      <c r="F97" s="387"/>
      <c r="G97" s="388"/>
      <c r="H97" s="389" t="s">
        <v>1810</v>
      </c>
      <c r="I97" s="384"/>
      <c r="J97" s="385" t="s">
        <v>1810</v>
      </c>
      <c r="K97" s="386"/>
      <c r="L97" s="387"/>
      <c r="M97" s="387"/>
      <c r="N97" s="387"/>
      <c r="O97" s="388"/>
      <c r="P97" s="389" t="s">
        <v>1810</v>
      </c>
    </row>
    <row r="98" spans="1:16" ht="15.75" thickBot="1">
      <c r="A98" s="384"/>
      <c r="B98" s="385" t="s">
        <v>1811</v>
      </c>
      <c r="C98" s="386"/>
      <c r="D98" s="387"/>
      <c r="E98" s="387"/>
      <c r="F98" s="387"/>
      <c r="G98" s="388"/>
      <c r="H98" s="389" t="s">
        <v>1811</v>
      </c>
      <c r="I98" s="384"/>
      <c r="J98" s="385" t="s">
        <v>1811</v>
      </c>
      <c r="K98" s="386"/>
      <c r="L98" s="387"/>
      <c r="M98" s="387"/>
      <c r="N98" s="387"/>
      <c r="O98" s="388"/>
      <c r="P98" s="389" t="s">
        <v>1811</v>
      </c>
    </row>
    <row r="99" spans="1:16" ht="15.75" thickBot="1">
      <c r="A99" s="384"/>
      <c r="B99" s="385" t="s">
        <v>1812</v>
      </c>
      <c r="C99" s="386"/>
      <c r="D99" s="387"/>
      <c r="E99" s="387"/>
      <c r="F99" s="387"/>
      <c r="G99" s="388"/>
      <c r="H99" s="389" t="s">
        <v>1812</v>
      </c>
      <c r="I99" s="384"/>
      <c r="J99" s="385" t="s">
        <v>1812</v>
      </c>
      <c r="K99" s="386"/>
      <c r="L99" s="387"/>
      <c r="M99" s="387"/>
      <c r="N99" s="387"/>
      <c r="O99" s="388"/>
      <c r="P99" s="389" t="s">
        <v>1812</v>
      </c>
    </row>
    <row r="100" spans="1:16" ht="15.75" thickBot="1">
      <c r="A100" s="384"/>
      <c r="B100" s="385" t="s">
        <v>1813</v>
      </c>
      <c r="C100" s="386"/>
      <c r="D100" s="387"/>
      <c r="E100" s="387"/>
      <c r="F100" s="387"/>
      <c r="G100" s="388"/>
      <c r="H100" s="389" t="s">
        <v>1813</v>
      </c>
      <c r="I100" s="384"/>
      <c r="J100" s="385" t="s">
        <v>1813</v>
      </c>
      <c r="K100" s="386"/>
      <c r="L100" s="387"/>
      <c r="M100" s="387"/>
      <c r="N100" s="387"/>
      <c r="O100" s="388"/>
      <c r="P100" s="389" t="s">
        <v>1813</v>
      </c>
    </row>
    <row r="101" spans="1:16" ht="15.75" thickBot="1">
      <c r="A101" s="384"/>
      <c r="B101" s="385" t="s">
        <v>1814</v>
      </c>
      <c r="C101" s="386"/>
      <c r="D101" s="387"/>
      <c r="E101" s="387"/>
      <c r="F101" s="387"/>
      <c r="G101" s="388"/>
      <c r="H101" s="389" t="s">
        <v>1814</v>
      </c>
      <c r="I101" s="384"/>
      <c r="J101" s="385" t="s">
        <v>1814</v>
      </c>
      <c r="K101" s="386"/>
      <c r="L101" s="387"/>
      <c r="M101" s="387"/>
      <c r="N101" s="387"/>
      <c r="O101" s="388"/>
      <c r="P101" s="389" t="s">
        <v>1814</v>
      </c>
    </row>
    <row r="102" spans="1:16" ht="26.25" thickBot="1">
      <c r="A102" s="390"/>
      <c r="B102" s="385" t="s">
        <v>1815</v>
      </c>
      <c r="C102" s="386"/>
      <c r="D102" s="387"/>
      <c r="E102" s="387"/>
      <c r="F102" s="387"/>
      <c r="G102" s="391"/>
      <c r="H102" s="389" t="s">
        <v>1816</v>
      </c>
      <c r="I102" s="390"/>
      <c r="J102" s="385" t="s">
        <v>1815</v>
      </c>
      <c r="K102" s="386"/>
      <c r="L102" s="387"/>
      <c r="M102" s="387"/>
      <c r="N102" s="387"/>
      <c r="O102" s="391"/>
      <c r="P102" s="389" t="s">
        <v>1816</v>
      </c>
    </row>
    <row r="103" spans="1:16" ht="15.75" thickBot="1">
      <c r="A103" s="392" t="s">
        <v>2117</v>
      </c>
      <c r="B103" s="385" t="s">
        <v>1803</v>
      </c>
      <c r="C103" s="386"/>
      <c r="D103" s="387"/>
      <c r="E103" s="387"/>
      <c r="F103" s="387"/>
      <c r="G103" s="393" t="s">
        <v>2117</v>
      </c>
      <c r="H103" s="389" t="s">
        <v>1803</v>
      </c>
      <c r="I103" s="392" t="s">
        <v>2117</v>
      </c>
      <c r="J103" s="385" t="s">
        <v>1803</v>
      </c>
      <c r="K103" s="386"/>
      <c r="L103" s="387"/>
      <c r="M103" s="387"/>
      <c r="N103" s="387"/>
      <c r="O103" s="393" t="s">
        <v>2117</v>
      </c>
      <c r="P103" s="389" t="s">
        <v>1803</v>
      </c>
    </row>
    <row r="104" spans="1:16" ht="15.75" thickBot="1">
      <c r="A104" s="384"/>
      <c r="B104" s="385" t="s">
        <v>1805</v>
      </c>
      <c r="C104" s="386"/>
      <c r="D104" s="387"/>
      <c r="E104" s="387"/>
      <c r="F104" s="387"/>
      <c r="G104" s="388"/>
      <c r="H104" s="389" t="s">
        <v>1805</v>
      </c>
      <c r="I104" s="384"/>
      <c r="J104" s="385" t="s">
        <v>1805</v>
      </c>
      <c r="K104" s="386"/>
      <c r="L104" s="387"/>
      <c r="M104" s="387"/>
      <c r="N104" s="387"/>
      <c r="O104" s="388"/>
      <c r="P104" s="389" t="s">
        <v>1805</v>
      </c>
    </row>
    <row r="105" spans="1:16" ht="15.75" thickBot="1">
      <c r="A105" s="384"/>
      <c r="B105" s="385" t="s">
        <v>1806</v>
      </c>
      <c r="C105" s="386"/>
      <c r="D105" s="387"/>
      <c r="E105" s="387"/>
      <c r="F105" s="387"/>
      <c r="G105" s="388"/>
      <c r="H105" s="389" t="s">
        <v>1806</v>
      </c>
      <c r="I105" s="384"/>
      <c r="J105" s="385" t="s">
        <v>1806</v>
      </c>
      <c r="K105" s="386"/>
      <c r="L105" s="387"/>
      <c r="M105" s="387"/>
      <c r="N105" s="387"/>
      <c r="O105" s="388"/>
      <c r="P105" s="389" t="s">
        <v>1806</v>
      </c>
    </row>
    <row r="106" spans="1:16" ht="15.75" thickBot="1">
      <c r="A106" s="384"/>
      <c r="B106" s="385" t="s">
        <v>1807</v>
      </c>
      <c r="C106" s="386"/>
      <c r="D106" s="387"/>
      <c r="E106" s="387"/>
      <c r="F106" s="387"/>
      <c r="G106" s="388"/>
      <c r="H106" s="389" t="s">
        <v>1807</v>
      </c>
      <c r="I106" s="384"/>
      <c r="J106" s="385" t="s">
        <v>1807</v>
      </c>
      <c r="K106" s="386"/>
      <c r="L106" s="387"/>
      <c r="M106" s="387"/>
      <c r="N106" s="387"/>
      <c r="O106" s="388"/>
      <c r="P106" s="389" t="s">
        <v>1807</v>
      </c>
    </row>
    <row r="107" spans="1:16" ht="15.75" thickBot="1">
      <c r="A107" s="384"/>
      <c r="B107" s="385" t="s">
        <v>1808</v>
      </c>
      <c r="C107" s="386"/>
      <c r="D107" s="387"/>
      <c r="E107" s="387"/>
      <c r="F107" s="387"/>
      <c r="G107" s="388"/>
      <c r="H107" s="389" t="s">
        <v>1808</v>
      </c>
      <c r="I107" s="384"/>
      <c r="J107" s="385" t="s">
        <v>1808</v>
      </c>
      <c r="K107" s="386"/>
      <c r="L107" s="387"/>
      <c r="M107" s="387"/>
      <c r="N107" s="387"/>
      <c r="O107" s="388"/>
      <c r="P107" s="389" t="s">
        <v>1808</v>
      </c>
    </row>
    <row r="108" spans="1:16" ht="15.75" thickBot="1">
      <c r="A108" s="384"/>
      <c r="B108" s="385" t="s">
        <v>1809</v>
      </c>
      <c r="C108" s="386"/>
      <c r="D108" s="387"/>
      <c r="E108" s="387"/>
      <c r="F108" s="387"/>
      <c r="G108" s="388"/>
      <c r="H108" s="389" t="s">
        <v>1809</v>
      </c>
      <c r="I108" s="384"/>
      <c r="J108" s="385" t="s">
        <v>1809</v>
      </c>
      <c r="K108" s="386"/>
      <c r="L108" s="387"/>
      <c r="M108" s="387"/>
      <c r="N108" s="387"/>
      <c r="O108" s="388"/>
      <c r="P108" s="389" t="s">
        <v>1809</v>
      </c>
    </row>
    <row r="109" spans="1:16" ht="15.75" thickBot="1">
      <c r="A109" s="384"/>
      <c r="B109" s="385" t="s">
        <v>1810</v>
      </c>
      <c r="C109" s="386"/>
      <c r="D109" s="387"/>
      <c r="E109" s="387"/>
      <c r="F109" s="387"/>
      <c r="G109" s="388"/>
      <c r="H109" s="389" t="s">
        <v>1810</v>
      </c>
      <c r="I109" s="384"/>
      <c r="J109" s="385" t="s">
        <v>1810</v>
      </c>
      <c r="K109" s="386"/>
      <c r="L109" s="387"/>
      <c r="M109" s="387"/>
      <c r="N109" s="387"/>
      <c r="O109" s="388"/>
      <c r="P109" s="389" t="s">
        <v>1810</v>
      </c>
    </row>
    <row r="110" spans="1:16" ht="15.75" thickBot="1">
      <c r="A110" s="384"/>
      <c r="B110" s="385" t="s">
        <v>1811</v>
      </c>
      <c r="C110" s="386"/>
      <c r="D110" s="387"/>
      <c r="E110" s="387"/>
      <c r="F110" s="387"/>
      <c r="G110" s="388"/>
      <c r="H110" s="389" t="s">
        <v>1811</v>
      </c>
      <c r="I110" s="384"/>
      <c r="J110" s="385" t="s">
        <v>1811</v>
      </c>
      <c r="K110" s="386"/>
      <c r="L110" s="387"/>
      <c r="M110" s="387"/>
      <c r="N110" s="387"/>
      <c r="O110" s="388"/>
      <c r="P110" s="389" t="s">
        <v>1811</v>
      </c>
    </row>
    <row r="111" spans="1:16" ht="15.75" thickBot="1">
      <c r="A111" s="384"/>
      <c r="B111" s="385" t="s">
        <v>1812</v>
      </c>
      <c r="C111" s="386"/>
      <c r="D111" s="387"/>
      <c r="E111" s="387"/>
      <c r="F111" s="387"/>
      <c r="G111" s="388"/>
      <c r="H111" s="389" t="s">
        <v>1812</v>
      </c>
      <c r="I111" s="384"/>
      <c r="J111" s="385" t="s">
        <v>1812</v>
      </c>
      <c r="K111" s="386"/>
      <c r="L111" s="387"/>
      <c r="M111" s="387"/>
      <c r="N111" s="387"/>
      <c r="O111" s="388"/>
      <c r="P111" s="389" t="s">
        <v>1812</v>
      </c>
    </row>
    <row r="112" spans="1:16" ht="15.75" thickBot="1">
      <c r="A112" s="384"/>
      <c r="B112" s="385" t="s">
        <v>1813</v>
      </c>
      <c r="C112" s="386"/>
      <c r="D112" s="387"/>
      <c r="E112" s="387"/>
      <c r="F112" s="387"/>
      <c r="G112" s="388"/>
      <c r="H112" s="389" t="s">
        <v>1813</v>
      </c>
      <c r="I112" s="384"/>
      <c r="J112" s="385" t="s">
        <v>1813</v>
      </c>
      <c r="K112" s="386"/>
      <c r="L112" s="387"/>
      <c r="M112" s="387"/>
      <c r="N112" s="387"/>
      <c r="O112" s="388"/>
      <c r="P112" s="389" t="s">
        <v>1813</v>
      </c>
    </row>
    <row r="113" spans="1:16" ht="15.75" thickBot="1">
      <c r="A113" s="384"/>
      <c r="B113" s="385" t="s">
        <v>1814</v>
      </c>
      <c r="C113" s="386"/>
      <c r="D113" s="387"/>
      <c r="E113" s="387"/>
      <c r="F113" s="387"/>
      <c r="G113" s="388"/>
      <c r="H113" s="389" t="s">
        <v>1814</v>
      </c>
      <c r="I113" s="384"/>
      <c r="J113" s="385" t="s">
        <v>1814</v>
      </c>
      <c r="K113" s="386"/>
      <c r="L113" s="387"/>
      <c r="M113" s="387"/>
      <c r="N113" s="387"/>
      <c r="O113" s="388"/>
      <c r="P113" s="389" t="s">
        <v>1814</v>
      </c>
    </row>
    <row r="114" spans="1:16" ht="26.25" thickBot="1">
      <c r="A114" s="390"/>
      <c r="B114" s="385" t="s">
        <v>1815</v>
      </c>
      <c r="C114" s="386"/>
      <c r="D114" s="387"/>
      <c r="E114" s="387"/>
      <c r="F114" s="387"/>
      <c r="G114" s="391"/>
      <c r="H114" s="389" t="s">
        <v>1816</v>
      </c>
      <c r="I114" s="390"/>
      <c r="J114" s="385" t="s">
        <v>1815</v>
      </c>
      <c r="K114" s="386"/>
      <c r="L114" s="387"/>
      <c r="M114" s="387"/>
      <c r="N114" s="387"/>
      <c r="O114" s="391"/>
      <c r="P114" s="389" t="s">
        <v>1816</v>
      </c>
    </row>
    <row r="115" spans="1:16" ht="15.75" thickBot="1">
      <c r="A115" s="392" t="s">
        <v>2118</v>
      </c>
      <c r="B115" s="385" t="s">
        <v>1803</v>
      </c>
      <c r="C115" s="386"/>
      <c r="D115" s="387"/>
      <c r="E115" s="387"/>
      <c r="F115" s="387"/>
      <c r="G115" s="393" t="s">
        <v>2118</v>
      </c>
      <c r="H115" s="389" t="s">
        <v>1803</v>
      </c>
      <c r="I115" s="392" t="s">
        <v>2118</v>
      </c>
      <c r="J115" s="385" t="s">
        <v>1803</v>
      </c>
      <c r="K115" s="386"/>
      <c r="L115" s="387"/>
      <c r="M115" s="387"/>
      <c r="N115" s="387"/>
      <c r="O115" s="393" t="s">
        <v>2118</v>
      </c>
      <c r="P115" s="389" t="s">
        <v>1803</v>
      </c>
    </row>
    <row r="116" spans="1:16" ht="15.75" thickBot="1">
      <c r="A116" s="384"/>
      <c r="B116" s="385" t="s">
        <v>1805</v>
      </c>
      <c r="C116" s="386"/>
      <c r="D116" s="387"/>
      <c r="E116" s="387"/>
      <c r="F116" s="387"/>
      <c r="G116" s="388"/>
      <c r="H116" s="389" t="s">
        <v>1805</v>
      </c>
      <c r="I116" s="384"/>
      <c r="J116" s="385" t="s">
        <v>1805</v>
      </c>
      <c r="K116" s="386"/>
      <c r="L116" s="387"/>
      <c r="M116" s="387"/>
      <c r="N116" s="387"/>
      <c r="O116" s="388"/>
      <c r="P116" s="389" t="s">
        <v>1805</v>
      </c>
    </row>
    <row r="117" spans="1:16" ht="15.75" thickBot="1">
      <c r="A117" s="384"/>
      <c r="B117" s="385" t="s">
        <v>1806</v>
      </c>
      <c r="C117" s="386"/>
      <c r="D117" s="387"/>
      <c r="E117" s="387"/>
      <c r="F117" s="387"/>
      <c r="G117" s="388"/>
      <c r="H117" s="389" t="s">
        <v>1806</v>
      </c>
      <c r="I117" s="384"/>
      <c r="J117" s="385" t="s">
        <v>1806</v>
      </c>
      <c r="K117" s="386"/>
      <c r="L117" s="387"/>
      <c r="M117" s="387"/>
      <c r="N117" s="387"/>
      <c r="O117" s="388"/>
      <c r="P117" s="389" t="s">
        <v>1806</v>
      </c>
    </row>
    <row r="118" spans="1:16" ht="15.75" thickBot="1">
      <c r="A118" s="384"/>
      <c r="B118" s="385" t="s">
        <v>1807</v>
      </c>
      <c r="C118" s="386"/>
      <c r="D118" s="387"/>
      <c r="E118" s="387"/>
      <c r="F118" s="387"/>
      <c r="G118" s="388"/>
      <c r="H118" s="389" t="s">
        <v>1807</v>
      </c>
      <c r="I118" s="384"/>
      <c r="J118" s="385" t="s">
        <v>1807</v>
      </c>
      <c r="K118" s="386"/>
      <c r="L118" s="387"/>
      <c r="M118" s="387"/>
      <c r="N118" s="387"/>
      <c r="O118" s="388"/>
      <c r="P118" s="389" t="s">
        <v>1807</v>
      </c>
    </row>
    <row r="119" spans="1:16" ht="15.75" thickBot="1">
      <c r="A119" s="384"/>
      <c r="B119" s="385" t="s">
        <v>1808</v>
      </c>
      <c r="C119" s="386"/>
      <c r="D119" s="387"/>
      <c r="E119" s="387"/>
      <c r="F119" s="387"/>
      <c r="G119" s="388"/>
      <c r="H119" s="389" t="s">
        <v>1808</v>
      </c>
      <c r="I119" s="384"/>
      <c r="J119" s="385" t="s">
        <v>1808</v>
      </c>
      <c r="K119" s="386"/>
      <c r="L119" s="387"/>
      <c r="M119" s="387"/>
      <c r="N119" s="387"/>
      <c r="O119" s="388"/>
      <c r="P119" s="389" t="s">
        <v>1808</v>
      </c>
    </row>
    <row r="120" spans="1:16" ht="15.75" thickBot="1">
      <c r="A120" s="384"/>
      <c r="B120" s="385" t="s">
        <v>1809</v>
      </c>
      <c r="C120" s="386"/>
      <c r="D120" s="387"/>
      <c r="E120" s="387"/>
      <c r="F120" s="387"/>
      <c r="G120" s="388"/>
      <c r="H120" s="389" t="s">
        <v>1809</v>
      </c>
      <c r="I120" s="384"/>
      <c r="J120" s="385" t="s">
        <v>1809</v>
      </c>
      <c r="K120" s="386"/>
      <c r="L120" s="387"/>
      <c r="M120" s="387"/>
      <c r="N120" s="387"/>
      <c r="O120" s="388"/>
      <c r="P120" s="389" t="s">
        <v>1809</v>
      </c>
    </row>
    <row r="121" spans="1:16" ht="15.75" thickBot="1">
      <c r="A121" s="384"/>
      <c r="B121" s="385" t="s">
        <v>1810</v>
      </c>
      <c r="C121" s="386"/>
      <c r="D121" s="387"/>
      <c r="E121" s="387"/>
      <c r="F121" s="387"/>
      <c r="G121" s="388"/>
      <c r="H121" s="389" t="s">
        <v>1810</v>
      </c>
      <c r="I121" s="384"/>
      <c r="J121" s="385" t="s">
        <v>1810</v>
      </c>
      <c r="K121" s="386"/>
      <c r="L121" s="387"/>
      <c r="M121" s="387"/>
      <c r="N121" s="387"/>
      <c r="O121" s="388"/>
      <c r="P121" s="389" t="s">
        <v>1810</v>
      </c>
    </row>
    <row r="122" spans="1:16" ht="15.75" thickBot="1">
      <c r="A122" s="384"/>
      <c r="B122" s="385" t="s">
        <v>1811</v>
      </c>
      <c r="C122" s="386"/>
      <c r="D122" s="387"/>
      <c r="E122" s="387"/>
      <c r="F122" s="387"/>
      <c r="G122" s="388"/>
      <c r="H122" s="389" t="s">
        <v>1811</v>
      </c>
      <c r="I122" s="384"/>
      <c r="J122" s="385" t="s">
        <v>1811</v>
      </c>
      <c r="K122" s="386"/>
      <c r="L122" s="387"/>
      <c r="M122" s="387"/>
      <c r="N122" s="387"/>
      <c r="O122" s="388"/>
      <c r="P122" s="389" t="s">
        <v>1811</v>
      </c>
    </row>
    <row r="123" spans="1:16" ht="15.75" thickBot="1">
      <c r="A123" s="384"/>
      <c r="B123" s="385" t="s">
        <v>1812</v>
      </c>
      <c r="C123" s="386"/>
      <c r="D123" s="387"/>
      <c r="E123" s="387"/>
      <c r="F123" s="387"/>
      <c r="G123" s="388"/>
      <c r="H123" s="389" t="s">
        <v>1812</v>
      </c>
      <c r="I123" s="384"/>
      <c r="J123" s="385" t="s">
        <v>1812</v>
      </c>
      <c r="K123" s="386"/>
      <c r="L123" s="387"/>
      <c r="M123" s="387"/>
      <c r="N123" s="387"/>
      <c r="O123" s="388"/>
      <c r="P123" s="389" t="s">
        <v>1812</v>
      </c>
    </row>
    <row r="124" spans="1:16" ht="15.75" thickBot="1">
      <c r="A124" s="384"/>
      <c r="B124" s="385" t="s">
        <v>1813</v>
      </c>
      <c r="C124" s="386"/>
      <c r="D124" s="387"/>
      <c r="E124" s="387"/>
      <c r="F124" s="387"/>
      <c r="G124" s="388"/>
      <c r="H124" s="389" t="s">
        <v>1813</v>
      </c>
      <c r="I124" s="384"/>
      <c r="J124" s="385" t="s">
        <v>1813</v>
      </c>
      <c r="K124" s="386"/>
      <c r="L124" s="387"/>
      <c r="M124" s="387"/>
      <c r="N124" s="387"/>
      <c r="O124" s="388"/>
      <c r="P124" s="389" t="s">
        <v>1813</v>
      </c>
    </row>
    <row r="125" spans="1:16" ht="15.75" thickBot="1">
      <c r="A125" s="384"/>
      <c r="B125" s="385" t="s">
        <v>1814</v>
      </c>
      <c r="C125" s="386"/>
      <c r="D125" s="387"/>
      <c r="E125" s="387"/>
      <c r="F125" s="387"/>
      <c r="G125" s="388"/>
      <c r="H125" s="389" t="s">
        <v>1814</v>
      </c>
      <c r="I125" s="384"/>
      <c r="J125" s="385" t="s">
        <v>1814</v>
      </c>
      <c r="K125" s="386"/>
      <c r="L125" s="387"/>
      <c r="M125" s="387"/>
      <c r="N125" s="387"/>
      <c r="O125" s="388"/>
      <c r="P125" s="389" t="s">
        <v>1814</v>
      </c>
    </row>
    <row r="126" spans="1:16" ht="26.25" thickBot="1">
      <c r="A126" s="390"/>
      <c r="B126" s="385" t="s">
        <v>1815</v>
      </c>
      <c r="C126" s="386"/>
      <c r="D126" s="387"/>
      <c r="E126" s="387"/>
      <c r="F126" s="387"/>
      <c r="G126" s="391"/>
      <c r="H126" s="389" t="s">
        <v>1816</v>
      </c>
      <c r="I126" s="390"/>
      <c r="J126" s="385" t="s">
        <v>1815</v>
      </c>
      <c r="K126" s="386"/>
      <c r="L126" s="387"/>
      <c r="M126" s="387"/>
      <c r="N126" s="387"/>
      <c r="O126" s="391"/>
      <c r="P126" s="389" t="s">
        <v>1816</v>
      </c>
    </row>
    <row r="127" spans="1:16" ht="15.75" thickBot="1">
      <c r="A127" s="392" t="s">
        <v>2119</v>
      </c>
      <c r="B127" s="385" t="s">
        <v>1803</v>
      </c>
      <c r="C127" s="386"/>
      <c r="D127" s="387"/>
      <c r="E127" s="387"/>
      <c r="F127" s="387"/>
      <c r="G127" s="393" t="s">
        <v>2119</v>
      </c>
      <c r="H127" s="389" t="s">
        <v>1803</v>
      </c>
      <c r="I127" s="392" t="s">
        <v>2119</v>
      </c>
      <c r="J127" s="385" t="s">
        <v>1803</v>
      </c>
      <c r="K127" s="386"/>
      <c r="L127" s="387"/>
      <c r="M127" s="387"/>
      <c r="N127" s="387"/>
      <c r="O127" s="393" t="s">
        <v>2119</v>
      </c>
      <c r="P127" s="389" t="s">
        <v>1803</v>
      </c>
    </row>
    <row r="128" spans="1:16" ht="15.75" thickBot="1">
      <c r="A128" s="384"/>
      <c r="B128" s="385" t="s">
        <v>1805</v>
      </c>
      <c r="C128" s="386"/>
      <c r="D128" s="387"/>
      <c r="E128" s="387"/>
      <c r="F128" s="387"/>
      <c r="G128" s="388"/>
      <c r="H128" s="389" t="s">
        <v>1805</v>
      </c>
      <c r="I128" s="384"/>
      <c r="J128" s="385" t="s">
        <v>1805</v>
      </c>
      <c r="K128" s="386"/>
      <c r="L128" s="387"/>
      <c r="M128" s="387"/>
      <c r="N128" s="387"/>
      <c r="O128" s="388"/>
      <c r="P128" s="389" t="s">
        <v>1805</v>
      </c>
    </row>
    <row r="129" spans="1:16" ht="15.75" thickBot="1">
      <c r="A129" s="384"/>
      <c r="B129" s="385" t="s">
        <v>1806</v>
      </c>
      <c r="C129" s="386"/>
      <c r="D129" s="387"/>
      <c r="E129" s="387"/>
      <c r="F129" s="387"/>
      <c r="G129" s="388"/>
      <c r="H129" s="389" t="s">
        <v>1806</v>
      </c>
      <c r="I129" s="384"/>
      <c r="J129" s="385" t="s">
        <v>1806</v>
      </c>
      <c r="K129" s="386"/>
      <c r="L129" s="387"/>
      <c r="M129" s="387"/>
      <c r="N129" s="387"/>
      <c r="O129" s="388"/>
      <c r="P129" s="389" t="s">
        <v>1806</v>
      </c>
    </row>
    <row r="130" spans="1:16" ht="15.75" thickBot="1">
      <c r="A130" s="384"/>
      <c r="B130" s="385" t="s">
        <v>1807</v>
      </c>
      <c r="C130" s="386"/>
      <c r="D130" s="387"/>
      <c r="E130" s="387"/>
      <c r="F130" s="387"/>
      <c r="G130" s="388"/>
      <c r="H130" s="389" t="s">
        <v>1807</v>
      </c>
      <c r="I130" s="384"/>
      <c r="J130" s="385" t="s">
        <v>1807</v>
      </c>
      <c r="K130" s="386"/>
      <c r="L130" s="387"/>
      <c r="M130" s="387"/>
      <c r="N130" s="387"/>
      <c r="O130" s="388"/>
      <c r="P130" s="389" t="s">
        <v>1807</v>
      </c>
    </row>
    <row r="131" spans="1:16" ht="15.75" thickBot="1">
      <c r="A131" s="384"/>
      <c r="B131" s="385" t="s">
        <v>1808</v>
      </c>
      <c r="C131" s="386"/>
      <c r="D131" s="387"/>
      <c r="E131" s="387"/>
      <c r="F131" s="387"/>
      <c r="G131" s="388"/>
      <c r="H131" s="389" t="s">
        <v>1808</v>
      </c>
      <c r="I131" s="384"/>
      <c r="J131" s="385" t="s">
        <v>1808</v>
      </c>
      <c r="K131" s="386"/>
      <c r="L131" s="387"/>
      <c r="M131" s="387"/>
      <c r="N131" s="387"/>
      <c r="O131" s="388"/>
      <c r="P131" s="389" t="s">
        <v>1808</v>
      </c>
    </row>
    <row r="132" spans="1:16" ht="15.75" thickBot="1">
      <c r="A132" s="384"/>
      <c r="B132" s="385" t="s">
        <v>1809</v>
      </c>
      <c r="C132" s="386"/>
      <c r="D132" s="387"/>
      <c r="E132" s="387"/>
      <c r="F132" s="387"/>
      <c r="G132" s="388"/>
      <c r="H132" s="389" t="s">
        <v>1809</v>
      </c>
      <c r="I132" s="384"/>
      <c r="J132" s="385" t="s">
        <v>1809</v>
      </c>
      <c r="K132" s="386"/>
      <c r="L132" s="387"/>
      <c r="M132" s="387"/>
      <c r="N132" s="387"/>
      <c r="O132" s="388"/>
      <c r="P132" s="389" t="s">
        <v>1809</v>
      </c>
    </row>
    <row r="133" spans="1:16" ht="15.75" thickBot="1">
      <c r="A133" s="384"/>
      <c r="B133" s="385" t="s">
        <v>1810</v>
      </c>
      <c r="C133" s="386"/>
      <c r="D133" s="387"/>
      <c r="E133" s="387"/>
      <c r="F133" s="387"/>
      <c r="G133" s="388"/>
      <c r="H133" s="389" t="s">
        <v>1810</v>
      </c>
      <c r="I133" s="384"/>
      <c r="J133" s="385" t="s">
        <v>1810</v>
      </c>
      <c r="K133" s="386"/>
      <c r="L133" s="387"/>
      <c r="M133" s="387"/>
      <c r="N133" s="387"/>
      <c r="O133" s="388"/>
      <c r="P133" s="389" t="s">
        <v>1810</v>
      </c>
    </row>
    <row r="134" spans="1:16" ht="15.75" thickBot="1">
      <c r="A134" s="384"/>
      <c r="B134" s="385" t="s">
        <v>1811</v>
      </c>
      <c r="C134" s="386"/>
      <c r="D134" s="387"/>
      <c r="E134" s="387"/>
      <c r="F134" s="387"/>
      <c r="G134" s="388"/>
      <c r="H134" s="389" t="s">
        <v>1811</v>
      </c>
      <c r="I134" s="384"/>
      <c r="J134" s="385" t="s">
        <v>1811</v>
      </c>
      <c r="K134" s="386"/>
      <c r="L134" s="387"/>
      <c r="M134" s="387"/>
      <c r="N134" s="387"/>
      <c r="O134" s="388"/>
      <c r="P134" s="389" t="s">
        <v>1811</v>
      </c>
    </row>
    <row r="135" spans="1:16" ht="15.75" thickBot="1">
      <c r="A135" s="384"/>
      <c r="B135" s="385" t="s">
        <v>1812</v>
      </c>
      <c r="C135" s="386"/>
      <c r="D135" s="387"/>
      <c r="E135" s="387"/>
      <c r="F135" s="387"/>
      <c r="G135" s="388"/>
      <c r="H135" s="389" t="s">
        <v>1812</v>
      </c>
      <c r="I135" s="384"/>
      <c r="J135" s="385" t="s">
        <v>1812</v>
      </c>
      <c r="K135" s="386"/>
      <c r="L135" s="387"/>
      <c r="M135" s="387"/>
      <c r="N135" s="387"/>
      <c r="O135" s="388"/>
      <c r="P135" s="389" t="s">
        <v>1812</v>
      </c>
    </row>
    <row r="136" spans="1:16" ht="15.75" thickBot="1">
      <c r="A136" s="384"/>
      <c r="B136" s="385" t="s">
        <v>1813</v>
      </c>
      <c r="C136" s="386"/>
      <c r="D136" s="387"/>
      <c r="E136" s="387"/>
      <c r="F136" s="387"/>
      <c r="G136" s="388"/>
      <c r="H136" s="389" t="s">
        <v>1813</v>
      </c>
      <c r="I136" s="384"/>
      <c r="J136" s="385" t="s">
        <v>1813</v>
      </c>
      <c r="K136" s="386"/>
      <c r="L136" s="387"/>
      <c r="M136" s="387"/>
      <c r="N136" s="387"/>
      <c r="O136" s="388"/>
      <c r="P136" s="389" t="s">
        <v>1813</v>
      </c>
    </row>
    <row r="137" spans="1:16" ht="15.75" thickBot="1">
      <c r="A137" s="384"/>
      <c r="B137" s="385" t="s">
        <v>1814</v>
      </c>
      <c r="C137" s="386"/>
      <c r="D137" s="387"/>
      <c r="E137" s="387"/>
      <c r="F137" s="387"/>
      <c r="G137" s="388"/>
      <c r="H137" s="389" t="s">
        <v>1814</v>
      </c>
      <c r="I137" s="384"/>
      <c r="J137" s="385" t="s">
        <v>1814</v>
      </c>
      <c r="K137" s="386"/>
      <c r="L137" s="387"/>
      <c r="M137" s="387"/>
      <c r="N137" s="387"/>
      <c r="O137" s="388"/>
      <c r="P137" s="389" t="s">
        <v>1814</v>
      </c>
    </row>
    <row r="138" spans="1:16" ht="26.25" thickBot="1">
      <c r="A138" s="390"/>
      <c r="B138" s="385" t="s">
        <v>1815</v>
      </c>
      <c r="C138" s="386"/>
      <c r="D138" s="387"/>
      <c r="E138" s="387"/>
      <c r="F138" s="387"/>
      <c r="G138" s="391"/>
      <c r="H138" s="389" t="s">
        <v>1816</v>
      </c>
      <c r="I138" s="390"/>
      <c r="J138" s="385" t="s">
        <v>1815</v>
      </c>
      <c r="K138" s="386"/>
      <c r="L138" s="387"/>
      <c r="M138" s="387"/>
      <c r="N138" s="387"/>
      <c r="O138" s="391"/>
      <c r="P138" s="389" t="s">
        <v>1816</v>
      </c>
    </row>
    <row r="139" spans="1:16" ht="15.75" thickBot="1">
      <c r="A139" s="392" t="s">
        <v>2120</v>
      </c>
      <c r="B139" s="385" t="s">
        <v>1803</v>
      </c>
      <c r="C139" s="386"/>
      <c r="D139" s="387"/>
      <c r="E139" s="387"/>
      <c r="F139" s="387"/>
      <c r="G139" s="393" t="s">
        <v>2120</v>
      </c>
      <c r="H139" s="389" t="s">
        <v>1803</v>
      </c>
      <c r="I139" s="392" t="s">
        <v>2120</v>
      </c>
      <c r="J139" s="385" t="s">
        <v>1803</v>
      </c>
      <c r="K139" s="386"/>
      <c r="L139" s="387"/>
      <c r="M139" s="387"/>
      <c r="N139" s="387"/>
      <c r="O139" s="393" t="s">
        <v>2120</v>
      </c>
      <c r="P139" s="389" t="s">
        <v>1803</v>
      </c>
    </row>
    <row r="140" spans="1:16" ht="15.75" thickBot="1">
      <c r="A140" s="384"/>
      <c r="B140" s="385" t="s">
        <v>1805</v>
      </c>
      <c r="C140" s="386"/>
      <c r="D140" s="387"/>
      <c r="E140" s="387"/>
      <c r="F140" s="387"/>
      <c r="G140" s="388"/>
      <c r="H140" s="389" t="s">
        <v>1805</v>
      </c>
      <c r="I140" s="384"/>
      <c r="J140" s="385" t="s">
        <v>1805</v>
      </c>
      <c r="K140" s="386"/>
      <c r="L140" s="387"/>
      <c r="M140" s="387"/>
      <c r="N140" s="387"/>
      <c r="O140" s="388"/>
      <c r="P140" s="389" t="s">
        <v>1805</v>
      </c>
    </row>
    <row r="141" spans="1:16" ht="15.75" thickBot="1">
      <c r="A141" s="384"/>
      <c r="B141" s="385" t="s">
        <v>1806</v>
      </c>
      <c r="C141" s="386"/>
      <c r="D141" s="387"/>
      <c r="E141" s="387"/>
      <c r="F141" s="387"/>
      <c r="G141" s="388"/>
      <c r="H141" s="389" t="s">
        <v>1806</v>
      </c>
      <c r="I141" s="384"/>
      <c r="J141" s="385" t="s">
        <v>1806</v>
      </c>
      <c r="K141" s="386"/>
      <c r="L141" s="387"/>
      <c r="M141" s="387"/>
      <c r="N141" s="387"/>
      <c r="O141" s="388"/>
      <c r="P141" s="389" t="s">
        <v>1806</v>
      </c>
    </row>
    <row r="142" spans="1:16" ht="15.75" thickBot="1">
      <c r="A142" s="384"/>
      <c r="B142" s="385" t="s">
        <v>1807</v>
      </c>
      <c r="C142" s="386"/>
      <c r="D142" s="387"/>
      <c r="E142" s="387"/>
      <c r="F142" s="387"/>
      <c r="G142" s="388"/>
      <c r="H142" s="389" t="s">
        <v>1807</v>
      </c>
      <c r="I142" s="384"/>
      <c r="J142" s="385" t="s">
        <v>1807</v>
      </c>
      <c r="K142" s="386"/>
      <c r="L142" s="387"/>
      <c r="M142" s="387"/>
      <c r="N142" s="387"/>
      <c r="O142" s="388"/>
      <c r="P142" s="389" t="s">
        <v>1807</v>
      </c>
    </row>
    <row r="143" spans="1:16" ht="15.75" thickBot="1">
      <c r="A143" s="384"/>
      <c r="B143" s="385" t="s">
        <v>1808</v>
      </c>
      <c r="C143" s="386"/>
      <c r="D143" s="387"/>
      <c r="E143" s="387"/>
      <c r="F143" s="387"/>
      <c r="G143" s="388"/>
      <c r="H143" s="389" t="s">
        <v>1808</v>
      </c>
      <c r="I143" s="384"/>
      <c r="J143" s="385" t="s">
        <v>1808</v>
      </c>
      <c r="K143" s="386"/>
      <c r="L143" s="387"/>
      <c r="M143" s="387"/>
      <c r="N143" s="387"/>
      <c r="O143" s="388"/>
      <c r="P143" s="389" t="s">
        <v>1808</v>
      </c>
    </row>
    <row r="144" spans="1:16" ht="15.75" thickBot="1">
      <c r="A144" s="384"/>
      <c r="B144" s="385" t="s">
        <v>1809</v>
      </c>
      <c r="C144" s="386"/>
      <c r="D144" s="387"/>
      <c r="E144" s="387"/>
      <c r="F144" s="387"/>
      <c r="G144" s="388"/>
      <c r="H144" s="389" t="s">
        <v>1809</v>
      </c>
      <c r="I144" s="384"/>
      <c r="J144" s="385" t="s">
        <v>1809</v>
      </c>
      <c r="K144" s="386"/>
      <c r="L144" s="387"/>
      <c r="M144" s="387"/>
      <c r="N144" s="387"/>
      <c r="O144" s="388"/>
      <c r="P144" s="389" t="s">
        <v>1809</v>
      </c>
    </row>
    <row r="145" spans="1:16" ht="15.75" thickBot="1">
      <c r="A145" s="384"/>
      <c r="B145" s="385" t="s">
        <v>1810</v>
      </c>
      <c r="C145" s="386"/>
      <c r="D145" s="387"/>
      <c r="E145" s="387"/>
      <c r="F145" s="387"/>
      <c r="G145" s="388"/>
      <c r="H145" s="389" t="s">
        <v>1810</v>
      </c>
      <c r="I145" s="384"/>
      <c r="J145" s="385" t="s">
        <v>1810</v>
      </c>
      <c r="K145" s="386"/>
      <c r="L145" s="387"/>
      <c r="M145" s="387"/>
      <c r="N145" s="387"/>
      <c r="O145" s="388"/>
      <c r="P145" s="389" t="s">
        <v>1810</v>
      </c>
    </row>
    <row r="146" spans="1:16" ht="15.75" thickBot="1">
      <c r="A146" s="384"/>
      <c r="B146" s="385" t="s">
        <v>1811</v>
      </c>
      <c r="C146" s="386"/>
      <c r="D146" s="387"/>
      <c r="E146" s="387"/>
      <c r="F146" s="387"/>
      <c r="G146" s="388"/>
      <c r="H146" s="389" t="s">
        <v>1811</v>
      </c>
      <c r="I146" s="384"/>
      <c r="J146" s="385" t="s">
        <v>1811</v>
      </c>
      <c r="K146" s="386"/>
      <c r="L146" s="387"/>
      <c r="M146" s="387"/>
      <c r="N146" s="387"/>
      <c r="O146" s="388"/>
      <c r="P146" s="389" t="s">
        <v>1811</v>
      </c>
    </row>
    <row r="147" spans="1:16" ht="15.75" thickBot="1">
      <c r="A147" s="384"/>
      <c r="B147" s="385" t="s">
        <v>1812</v>
      </c>
      <c r="C147" s="386"/>
      <c r="D147" s="387"/>
      <c r="E147" s="387"/>
      <c r="F147" s="387"/>
      <c r="G147" s="388"/>
      <c r="H147" s="389" t="s">
        <v>1812</v>
      </c>
      <c r="I147" s="384"/>
      <c r="J147" s="385" t="s">
        <v>1812</v>
      </c>
      <c r="K147" s="386"/>
      <c r="L147" s="387"/>
      <c r="M147" s="387"/>
      <c r="N147" s="387"/>
      <c r="O147" s="388"/>
      <c r="P147" s="389" t="s">
        <v>1812</v>
      </c>
    </row>
    <row r="148" spans="1:16" ht="15.75" thickBot="1">
      <c r="A148" s="384"/>
      <c r="B148" s="385" t="s">
        <v>1813</v>
      </c>
      <c r="C148" s="386"/>
      <c r="D148" s="387"/>
      <c r="E148" s="387"/>
      <c r="F148" s="387"/>
      <c r="G148" s="388"/>
      <c r="H148" s="389" t="s">
        <v>1813</v>
      </c>
      <c r="I148" s="384"/>
      <c r="J148" s="385" t="s">
        <v>1813</v>
      </c>
      <c r="K148" s="386"/>
      <c r="L148" s="387"/>
      <c r="M148" s="387"/>
      <c r="N148" s="387"/>
      <c r="O148" s="388"/>
      <c r="P148" s="389" t="s">
        <v>1813</v>
      </c>
    </row>
    <row r="149" spans="1:16" ht="15.75" thickBot="1">
      <c r="A149" s="384"/>
      <c r="B149" s="385" t="s">
        <v>1814</v>
      </c>
      <c r="C149" s="386"/>
      <c r="D149" s="387"/>
      <c r="E149" s="387"/>
      <c r="F149" s="387"/>
      <c r="G149" s="388"/>
      <c r="H149" s="389" t="s">
        <v>1814</v>
      </c>
      <c r="I149" s="384"/>
      <c r="J149" s="385" t="s">
        <v>1814</v>
      </c>
      <c r="K149" s="386"/>
      <c r="L149" s="387"/>
      <c r="M149" s="387"/>
      <c r="N149" s="387"/>
      <c r="O149" s="388"/>
      <c r="P149" s="389" t="s">
        <v>1814</v>
      </c>
    </row>
    <row r="150" spans="1:16" ht="26.25" thickBot="1">
      <c r="A150" s="390"/>
      <c r="B150" s="385" t="s">
        <v>1815</v>
      </c>
      <c r="C150" s="386"/>
      <c r="D150" s="387"/>
      <c r="E150" s="387"/>
      <c r="F150" s="387"/>
      <c r="G150" s="391"/>
      <c r="H150" s="389" t="s">
        <v>1816</v>
      </c>
      <c r="I150" s="390"/>
      <c r="J150" s="385" t="s">
        <v>1815</v>
      </c>
      <c r="K150" s="386"/>
      <c r="L150" s="387"/>
      <c r="M150" s="387"/>
      <c r="N150" s="387"/>
      <c r="O150" s="391"/>
      <c r="P150" s="389" t="s">
        <v>1816</v>
      </c>
    </row>
    <row r="151" spans="1:16" ht="15.75" thickBot="1">
      <c r="A151" s="392" t="s">
        <v>2121</v>
      </c>
      <c r="B151" s="385" t="s">
        <v>1803</v>
      </c>
      <c r="C151" s="386"/>
      <c r="D151" s="387"/>
      <c r="E151" s="387"/>
      <c r="F151" s="387"/>
      <c r="G151" s="393" t="s">
        <v>2121</v>
      </c>
      <c r="H151" s="389" t="s">
        <v>1803</v>
      </c>
      <c r="I151" s="392" t="s">
        <v>2121</v>
      </c>
      <c r="J151" s="385" t="s">
        <v>1803</v>
      </c>
      <c r="K151" s="386"/>
      <c r="L151" s="387"/>
      <c r="M151" s="387"/>
      <c r="N151" s="387"/>
      <c r="O151" s="393" t="s">
        <v>2121</v>
      </c>
      <c r="P151" s="389" t="s">
        <v>1803</v>
      </c>
    </row>
    <row r="152" spans="1:16" ht="15.75" thickBot="1">
      <c r="A152" s="384"/>
      <c r="B152" s="385" t="s">
        <v>1805</v>
      </c>
      <c r="C152" s="386"/>
      <c r="D152" s="387"/>
      <c r="E152" s="387"/>
      <c r="F152" s="387"/>
      <c r="G152" s="388"/>
      <c r="H152" s="389" t="s">
        <v>1805</v>
      </c>
      <c r="I152" s="384"/>
      <c r="J152" s="385" t="s">
        <v>1805</v>
      </c>
      <c r="K152" s="386"/>
      <c r="L152" s="387"/>
      <c r="M152" s="387"/>
      <c r="N152" s="387"/>
      <c r="O152" s="388"/>
      <c r="P152" s="389" t="s">
        <v>1805</v>
      </c>
    </row>
    <row r="153" spans="1:16" ht="15.75" thickBot="1">
      <c r="A153" s="384"/>
      <c r="B153" s="385" t="s">
        <v>1806</v>
      </c>
      <c r="C153" s="386"/>
      <c r="D153" s="387"/>
      <c r="E153" s="387"/>
      <c r="F153" s="387"/>
      <c r="G153" s="388"/>
      <c r="H153" s="389" t="s">
        <v>1806</v>
      </c>
      <c r="I153" s="384"/>
      <c r="J153" s="385" t="s">
        <v>1806</v>
      </c>
      <c r="K153" s="386"/>
      <c r="L153" s="387"/>
      <c r="M153" s="387"/>
      <c r="N153" s="387"/>
      <c r="O153" s="388"/>
      <c r="P153" s="389" t="s">
        <v>1806</v>
      </c>
    </row>
    <row r="154" spans="1:16" ht="15.75" thickBot="1">
      <c r="A154" s="384"/>
      <c r="B154" s="385" t="s">
        <v>1807</v>
      </c>
      <c r="C154" s="386"/>
      <c r="D154" s="387"/>
      <c r="E154" s="387"/>
      <c r="F154" s="387"/>
      <c r="G154" s="388"/>
      <c r="H154" s="389" t="s">
        <v>1807</v>
      </c>
      <c r="I154" s="384"/>
      <c r="J154" s="385" t="s">
        <v>1807</v>
      </c>
      <c r="K154" s="386"/>
      <c r="L154" s="387"/>
      <c r="M154" s="387"/>
      <c r="N154" s="387"/>
      <c r="O154" s="388"/>
      <c r="P154" s="389" t="s">
        <v>1807</v>
      </c>
    </row>
    <row r="155" spans="1:16" ht="15.75" thickBot="1">
      <c r="A155" s="384"/>
      <c r="B155" s="385" t="s">
        <v>1808</v>
      </c>
      <c r="C155" s="386"/>
      <c r="D155" s="387"/>
      <c r="E155" s="387"/>
      <c r="F155" s="387"/>
      <c r="G155" s="388"/>
      <c r="H155" s="389" t="s">
        <v>1808</v>
      </c>
      <c r="I155" s="384"/>
      <c r="J155" s="385" t="s">
        <v>1808</v>
      </c>
      <c r="K155" s="386"/>
      <c r="L155" s="387"/>
      <c r="M155" s="387"/>
      <c r="N155" s="387"/>
      <c r="O155" s="388"/>
      <c r="P155" s="389" t="s">
        <v>1808</v>
      </c>
    </row>
    <row r="156" spans="1:16" ht="15.75" thickBot="1">
      <c r="A156" s="384"/>
      <c r="B156" s="385" t="s">
        <v>1809</v>
      </c>
      <c r="C156" s="386"/>
      <c r="D156" s="387"/>
      <c r="E156" s="387"/>
      <c r="F156" s="387"/>
      <c r="G156" s="388"/>
      <c r="H156" s="389" t="s">
        <v>1809</v>
      </c>
      <c r="I156" s="384"/>
      <c r="J156" s="385" t="s">
        <v>1809</v>
      </c>
      <c r="K156" s="386"/>
      <c r="L156" s="387"/>
      <c r="M156" s="387"/>
      <c r="N156" s="387"/>
      <c r="O156" s="388"/>
      <c r="P156" s="389" t="s">
        <v>1809</v>
      </c>
    </row>
    <row r="157" spans="1:16" ht="15.75" thickBot="1">
      <c r="A157" s="384"/>
      <c r="B157" s="385" t="s">
        <v>1810</v>
      </c>
      <c r="C157" s="386"/>
      <c r="D157" s="387"/>
      <c r="E157" s="387"/>
      <c r="F157" s="387"/>
      <c r="G157" s="388"/>
      <c r="H157" s="389" t="s">
        <v>1810</v>
      </c>
      <c r="I157" s="384"/>
      <c r="J157" s="385" t="s">
        <v>1810</v>
      </c>
      <c r="K157" s="386"/>
      <c r="L157" s="387"/>
      <c r="M157" s="387"/>
      <c r="N157" s="387"/>
      <c r="O157" s="388"/>
      <c r="P157" s="389" t="s">
        <v>1810</v>
      </c>
    </row>
    <row r="158" spans="1:16" ht="15.75" thickBot="1">
      <c r="A158" s="384"/>
      <c r="B158" s="385" t="s">
        <v>1811</v>
      </c>
      <c r="C158" s="386"/>
      <c r="D158" s="387"/>
      <c r="E158" s="387"/>
      <c r="F158" s="387"/>
      <c r="G158" s="388"/>
      <c r="H158" s="389" t="s">
        <v>1811</v>
      </c>
      <c r="I158" s="384"/>
      <c r="J158" s="385" t="s">
        <v>1811</v>
      </c>
      <c r="K158" s="386"/>
      <c r="L158" s="387"/>
      <c r="M158" s="387"/>
      <c r="N158" s="387"/>
      <c r="O158" s="388"/>
      <c r="P158" s="389" t="s">
        <v>1811</v>
      </c>
    </row>
    <row r="159" spans="1:16" ht="15.75" thickBot="1">
      <c r="A159" s="384"/>
      <c r="B159" s="385" t="s">
        <v>1812</v>
      </c>
      <c r="C159" s="386"/>
      <c r="D159" s="387"/>
      <c r="E159" s="387"/>
      <c r="F159" s="387"/>
      <c r="G159" s="388"/>
      <c r="H159" s="389" t="s">
        <v>1812</v>
      </c>
      <c r="I159" s="384"/>
      <c r="J159" s="385" t="s">
        <v>1812</v>
      </c>
      <c r="K159" s="386"/>
      <c r="L159" s="387"/>
      <c r="M159" s="387"/>
      <c r="N159" s="387"/>
      <c r="O159" s="388"/>
      <c r="P159" s="389" t="s">
        <v>1812</v>
      </c>
    </row>
    <row r="160" spans="1:16" ht="15.75" thickBot="1">
      <c r="A160" s="384"/>
      <c r="B160" s="385" t="s">
        <v>1813</v>
      </c>
      <c r="C160" s="386"/>
      <c r="D160" s="387"/>
      <c r="E160" s="387"/>
      <c r="F160" s="387"/>
      <c r="G160" s="388"/>
      <c r="H160" s="389" t="s">
        <v>1813</v>
      </c>
      <c r="I160" s="384"/>
      <c r="J160" s="385" t="s">
        <v>1813</v>
      </c>
      <c r="K160" s="386"/>
      <c r="L160" s="387"/>
      <c r="M160" s="387"/>
      <c r="N160" s="387"/>
      <c r="O160" s="388"/>
      <c r="P160" s="389" t="s">
        <v>1813</v>
      </c>
    </row>
    <row r="161" spans="1:16" ht="15.75" thickBot="1">
      <c r="A161" s="384"/>
      <c r="B161" s="385" t="s">
        <v>1814</v>
      </c>
      <c r="C161" s="386"/>
      <c r="D161" s="387"/>
      <c r="E161" s="387"/>
      <c r="F161" s="387"/>
      <c r="G161" s="388"/>
      <c r="H161" s="389" t="s">
        <v>1814</v>
      </c>
      <c r="I161" s="384"/>
      <c r="J161" s="385" t="s">
        <v>1814</v>
      </c>
      <c r="K161" s="386"/>
      <c r="L161" s="387"/>
      <c r="M161" s="387"/>
      <c r="N161" s="387"/>
      <c r="O161" s="388"/>
      <c r="P161" s="389" t="s">
        <v>1814</v>
      </c>
    </row>
    <row r="162" spans="1:16" ht="26.25" thickBot="1">
      <c r="A162" s="390"/>
      <c r="B162" s="385" t="s">
        <v>1815</v>
      </c>
      <c r="C162" s="386"/>
      <c r="D162" s="387"/>
      <c r="E162" s="387"/>
      <c r="F162" s="387"/>
      <c r="G162" s="391"/>
      <c r="H162" s="389" t="s">
        <v>1816</v>
      </c>
      <c r="I162" s="390"/>
      <c r="J162" s="385" t="s">
        <v>1815</v>
      </c>
      <c r="K162" s="386"/>
      <c r="L162" s="387"/>
      <c r="M162" s="387"/>
      <c r="N162" s="387"/>
      <c r="O162" s="391"/>
      <c r="P162" s="389" t="s">
        <v>1816</v>
      </c>
    </row>
    <row r="163" spans="1:16" ht="15.75" thickBot="1">
      <c r="A163" s="392" t="s">
        <v>2122</v>
      </c>
      <c r="B163" s="385" t="s">
        <v>1803</v>
      </c>
      <c r="C163" s="386"/>
      <c r="D163" s="387"/>
      <c r="E163" s="387"/>
      <c r="F163" s="387"/>
      <c r="G163" s="393" t="s">
        <v>2122</v>
      </c>
      <c r="H163" s="389" t="s">
        <v>1803</v>
      </c>
      <c r="I163" s="392" t="s">
        <v>2122</v>
      </c>
      <c r="J163" s="385" t="s">
        <v>1803</v>
      </c>
      <c r="K163" s="386"/>
      <c r="L163" s="387"/>
      <c r="M163" s="387"/>
      <c r="N163" s="387"/>
      <c r="O163" s="393" t="s">
        <v>2122</v>
      </c>
      <c r="P163" s="389" t="s">
        <v>1803</v>
      </c>
    </row>
    <row r="164" spans="1:16" ht="15.75" thickBot="1">
      <c r="A164" s="384"/>
      <c r="B164" s="385" t="s">
        <v>1805</v>
      </c>
      <c r="C164" s="386"/>
      <c r="D164" s="387"/>
      <c r="E164" s="387"/>
      <c r="F164" s="387"/>
      <c r="G164" s="388"/>
      <c r="H164" s="389" t="s">
        <v>1805</v>
      </c>
      <c r="I164" s="384"/>
      <c r="J164" s="385" t="s">
        <v>1805</v>
      </c>
      <c r="K164" s="386"/>
      <c r="L164" s="387"/>
      <c r="M164" s="387"/>
      <c r="N164" s="387"/>
      <c r="O164" s="388"/>
      <c r="P164" s="389" t="s">
        <v>1805</v>
      </c>
    </row>
    <row r="165" spans="1:16" ht="15.75" thickBot="1">
      <c r="A165" s="384"/>
      <c r="B165" s="385" t="s">
        <v>1806</v>
      </c>
      <c r="C165" s="386"/>
      <c r="D165" s="387"/>
      <c r="E165" s="387"/>
      <c r="F165" s="387"/>
      <c r="G165" s="388"/>
      <c r="H165" s="389" t="s">
        <v>1806</v>
      </c>
      <c r="I165" s="384"/>
      <c r="J165" s="385" t="s">
        <v>1806</v>
      </c>
      <c r="K165" s="386"/>
      <c r="L165" s="387"/>
      <c r="M165" s="387"/>
      <c r="N165" s="387"/>
      <c r="O165" s="388"/>
      <c r="P165" s="389" t="s">
        <v>1806</v>
      </c>
    </row>
    <row r="166" spans="1:16" ht="15.75" thickBot="1">
      <c r="A166" s="384"/>
      <c r="B166" s="385" t="s">
        <v>1807</v>
      </c>
      <c r="C166" s="386"/>
      <c r="D166" s="387"/>
      <c r="E166" s="387"/>
      <c r="F166" s="387"/>
      <c r="G166" s="388"/>
      <c r="H166" s="389" t="s">
        <v>1807</v>
      </c>
      <c r="I166" s="384"/>
      <c r="J166" s="385" t="s">
        <v>1807</v>
      </c>
      <c r="K166" s="386"/>
      <c r="L166" s="387"/>
      <c r="M166" s="387"/>
      <c r="N166" s="387"/>
      <c r="O166" s="388"/>
      <c r="P166" s="389" t="s">
        <v>1807</v>
      </c>
    </row>
    <row r="167" spans="1:16" ht="15.75" thickBot="1">
      <c r="A167" s="384"/>
      <c r="B167" s="385" t="s">
        <v>1808</v>
      </c>
      <c r="C167" s="386"/>
      <c r="D167" s="387"/>
      <c r="E167" s="387"/>
      <c r="F167" s="387"/>
      <c r="G167" s="388"/>
      <c r="H167" s="389" t="s">
        <v>1808</v>
      </c>
      <c r="I167" s="384"/>
      <c r="J167" s="385" t="s">
        <v>1808</v>
      </c>
      <c r="K167" s="386"/>
      <c r="L167" s="387"/>
      <c r="M167" s="387"/>
      <c r="N167" s="387"/>
      <c r="O167" s="388"/>
      <c r="P167" s="389" t="s">
        <v>1808</v>
      </c>
    </row>
    <row r="168" spans="1:16" ht="15.75" thickBot="1">
      <c r="A168" s="384"/>
      <c r="B168" s="385" t="s">
        <v>1809</v>
      </c>
      <c r="C168" s="386"/>
      <c r="D168" s="387"/>
      <c r="E168" s="387"/>
      <c r="F168" s="387"/>
      <c r="G168" s="388"/>
      <c r="H168" s="389" t="s">
        <v>1809</v>
      </c>
      <c r="I168" s="384"/>
      <c r="J168" s="385" t="s">
        <v>1809</v>
      </c>
      <c r="K168" s="386"/>
      <c r="L168" s="387"/>
      <c r="M168" s="387"/>
      <c r="N168" s="387"/>
      <c r="O168" s="388"/>
      <c r="P168" s="389" t="s">
        <v>1809</v>
      </c>
    </row>
    <row r="169" spans="1:16" ht="15.75" thickBot="1">
      <c r="A169" s="384"/>
      <c r="B169" s="385" t="s">
        <v>1810</v>
      </c>
      <c r="C169" s="386"/>
      <c r="D169" s="387"/>
      <c r="E169" s="387"/>
      <c r="F169" s="387"/>
      <c r="G169" s="388"/>
      <c r="H169" s="389" t="s">
        <v>1810</v>
      </c>
      <c r="I169" s="384"/>
      <c r="J169" s="385" t="s">
        <v>1810</v>
      </c>
      <c r="K169" s="386"/>
      <c r="L169" s="387"/>
      <c r="M169" s="387"/>
      <c r="N169" s="387"/>
      <c r="O169" s="388"/>
      <c r="P169" s="389" t="s">
        <v>1810</v>
      </c>
    </row>
    <row r="170" spans="1:16" ht="15.75" thickBot="1">
      <c r="A170" s="384"/>
      <c r="B170" s="385" t="s">
        <v>1811</v>
      </c>
      <c r="C170" s="386"/>
      <c r="D170" s="387"/>
      <c r="E170" s="387"/>
      <c r="F170" s="387"/>
      <c r="G170" s="388"/>
      <c r="H170" s="389" t="s">
        <v>1811</v>
      </c>
      <c r="I170" s="384"/>
      <c r="J170" s="385" t="s">
        <v>1811</v>
      </c>
      <c r="K170" s="386"/>
      <c r="L170" s="387"/>
      <c r="M170" s="387"/>
      <c r="N170" s="387"/>
      <c r="O170" s="388"/>
      <c r="P170" s="389" t="s">
        <v>1811</v>
      </c>
    </row>
    <row r="171" spans="1:16" ht="15.75" thickBot="1">
      <c r="A171" s="384"/>
      <c r="B171" s="385" t="s">
        <v>1812</v>
      </c>
      <c r="C171" s="386"/>
      <c r="D171" s="387"/>
      <c r="E171" s="387"/>
      <c r="F171" s="387"/>
      <c r="G171" s="388"/>
      <c r="H171" s="389" t="s">
        <v>1812</v>
      </c>
      <c r="I171" s="384"/>
      <c r="J171" s="385" t="s">
        <v>1812</v>
      </c>
      <c r="K171" s="386"/>
      <c r="L171" s="387"/>
      <c r="M171" s="387"/>
      <c r="N171" s="387"/>
      <c r="O171" s="388"/>
      <c r="P171" s="389" t="s">
        <v>1812</v>
      </c>
    </row>
    <row r="172" spans="1:16" ht="15.75" thickBot="1">
      <c r="A172" s="384"/>
      <c r="B172" s="385" t="s">
        <v>1813</v>
      </c>
      <c r="C172" s="386"/>
      <c r="D172" s="387"/>
      <c r="E172" s="387"/>
      <c r="F172" s="387"/>
      <c r="G172" s="388"/>
      <c r="H172" s="389" t="s">
        <v>1813</v>
      </c>
      <c r="I172" s="384"/>
      <c r="J172" s="385" t="s">
        <v>1813</v>
      </c>
      <c r="K172" s="386"/>
      <c r="L172" s="387"/>
      <c r="M172" s="387"/>
      <c r="N172" s="387"/>
      <c r="O172" s="388"/>
      <c r="P172" s="389" t="s">
        <v>1813</v>
      </c>
    </row>
    <row r="173" spans="1:16" ht="15.75" thickBot="1">
      <c r="A173" s="384"/>
      <c r="B173" s="385" t="s">
        <v>1814</v>
      </c>
      <c r="C173" s="386"/>
      <c r="D173" s="387"/>
      <c r="E173" s="387"/>
      <c r="F173" s="387"/>
      <c r="G173" s="388"/>
      <c r="H173" s="389" t="s">
        <v>1814</v>
      </c>
      <c r="I173" s="384"/>
      <c r="J173" s="385" t="s">
        <v>1814</v>
      </c>
      <c r="K173" s="386"/>
      <c r="L173" s="387"/>
      <c r="M173" s="387"/>
      <c r="N173" s="387"/>
      <c r="O173" s="388"/>
      <c r="P173" s="389" t="s">
        <v>1814</v>
      </c>
    </row>
    <row r="174" spans="1:16" ht="26.25" thickBot="1">
      <c r="A174" s="390"/>
      <c r="B174" s="385" t="s">
        <v>1815</v>
      </c>
      <c r="C174" s="386"/>
      <c r="D174" s="387"/>
      <c r="E174" s="387"/>
      <c r="F174" s="387"/>
      <c r="G174" s="391"/>
      <c r="H174" s="389" t="s">
        <v>1816</v>
      </c>
      <c r="I174" s="390"/>
      <c r="J174" s="385" t="s">
        <v>1815</v>
      </c>
      <c r="K174" s="386"/>
      <c r="L174" s="387"/>
      <c r="M174" s="387"/>
      <c r="N174" s="387"/>
      <c r="O174" s="391"/>
      <c r="P174" s="389" t="s">
        <v>1816</v>
      </c>
    </row>
    <row r="175" spans="1:16" ht="15.75" thickBot="1">
      <c r="A175" s="392" t="s">
        <v>2123</v>
      </c>
      <c r="B175" s="385" t="s">
        <v>1803</v>
      </c>
      <c r="C175" s="386"/>
      <c r="D175" s="387"/>
      <c r="E175" s="387"/>
      <c r="F175" s="387"/>
      <c r="G175" s="393" t="s">
        <v>2123</v>
      </c>
      <c r="H175" s="389" t="s">
        <v>1803</v>
      </c>
      <c r="I175" s="392" t="s">
        <v>2123</v>
      </c>
      <c r="J175" s="385" t="s">
        <v>1803</v>
      </c>
      <c r="K175" s="386"/>
      <c r="L175" s="387"/>
      <c r="M175" s="387"/>
      <c r="N175" s="387"/>
      <c r="O175" s="393" t="s">
        <v>2123</v>
      </c>
      <c r="P175" s="389" t="s">
        <v>1803</v>
      </c>
    </row>
    <row r="176" spans="1:16" ht="15.75" thickBot="1">
      <c r="A176" s="384"/>
      <c r="B176" s="385" t="s">
        <v>1805</v>
      </c>
      <c r="C176" s="386"/>
      <c r="D176" s="387"/>
      <c r="E176" s="387"/>
      <c r="F176" s="387"/>
      <c r="G176" s="388"/>
      <c r="H176" s="389" t="s">
        <v>1805</v>
      </c>
      <c r="I176" s="384"/>
      <c r="J176" s="385" t="s">
        <v>1805</v>
      </c>
      <c r="K176" s="386"/>
      <c r="L176" s="387"/>
      <c r="M176" s="387"/>
      <c r="N176" s="387"/>
      <c r="O176" s="388"/>
      <c r="P176" s="389" t="s">
        <v>1805</v>
      </c>
    </row>
    <row r="177" spans="1:16" ht="15.75" thickBot="1">
      <c r="A177" s="384"/>
      <c r="B177" s="385" t="s">
        <v>1806</v>
      </c>
      <c r="C177" s="386"/>
      <c r="D177" s="387"/>
      <c r="E177" s="387"/>
      <c r="F177" s="387"/>
      <c r="G177" s="388"/>
      <c r="H177" s="389" t="s">
        <v>1806</v>
      </c>
      <c r="I177" s="384"/>
      <c r="J177" s="385" t="s">
        <v>1806</v>
      </c>
      <c r="K177" s="386"/>
      <c r="L177" s="387"/>
      <c r="M177" s="387"/>
      <c r="N177" s="387"/>
      <c r="O177" s="388"/>
      <c r="P177" s="389" t="s">
        <v>1806</v>
      </c>
    </row>
    <row r="178" spans="1:16" ht="15.75" thickBot="1">
      <c r="A178" s="384"/>
      <c r="B178" s="385" t="s">
        <v>1807</v>
      </c>
      <c r="C178" s="386"/>
      <c r="D178" s="387"/>
      <c r="E178" s="387"/>
      <c r="F178" s="387"/>
      <c r="G178" s="388"/>
      <c r="H178" s="389" t="s">
        <v>1807</v>
      </c>
      <c r="I178" s="384"/>
      <c r="J178" s="385" t="s">
        <v>1807</v>
      </c>
      <c r="K178" s="386"/>
      <c r="L178" s="387"/>
      <c r="M178" s="387"/>
      <c r="N178" s="387"/>
      <c r="O178" s="388"/>
      <c r="P178" s="389" t="s">
        <v>1807</v>
      </c>
    </row>
    <row r="179" spans="1:16" ht="15.75" thickBot="1">
      <c r="A179" s="384"/>
      <c r="B179" s="385" t="s">
        <v>1808</v>
      </c>
      <c r="C179" s="386"/>
      <c r="D179" s="387"/>
      <c r="E179" s="387"/>
      <c r="F179" s="387"/>
      <c r="G179" s="388"/>
      <c r="H179" s="389" t="s">
        <v>1808</v>
      </c>
      <c r="I179" s="384"/>
      <c r="J179" s="385" t="s">
        <v>1808</v>
      </c>
      <c r="K179" s="386"/>
      <c r="L179" s="387"/>
      <c r="M179" s="387"/>
      <c r="N179" s="387"/>
      <c r="O179" s="388"/>
      <c r="P179" s="389" t="s">
        <v>1808</v>
      </c>
    </row>
    <row r="180" spans="1:16" ht="15.75" thickBot="1">
      <c r="A180" s="384"/>
      <c r="B180" s="385" t="s">
        <v>1809</v>
      </c>
      <c r="C180" s="386"/>
      <c r="D180" s="387"/>
      <c r="E180" s="387"/>
      <c r="F180" s="387"/>
      <c r="G180" s="388"/>
      <c r="H180" s="389" t="s">
        <v>1809</v>
      </c>
      <c r="I180" s="384"/>
      <c r="J180" s="385" t="s">
        <v>1809</v>
      </c>
      <c r="K180" s="386"/>
      <c r="L180" s="387"/>
      <c r="M180" s="387"/>
      <c r="N180" s="387"/>
      <c r="O180" s="388"/>
      <c r="P180" s="389" t="s">
        <v>1809</v>
      </c>
    </row>
    <row r="181" spans="1:16" ht="15.75" thickBot="1">
      <c r="A181" s="384"/>
      <c r="B181" s="385" t="s">
        <v>1810</v>
      </c>
      <c r="C181" s="386"/>
      <c r="D181" s="387"/>
      <c r="E181" s="387"/>
      <c r="F181" s="387"/>
      <c r="G181" s="388"/>
      <c r="H181" s="389" t="s">
        <v>1810</v>
      </c>
      <c r="I181" s="384"/>
      <c r="J181" s="385" t="s">
        <v>1810</v>
      </c>
      <c r="K181" s="386"/>
      <c r="L181" s="387"/>
      <c r="M181" s="387"/>
      <c r="N181" s="387"/>
      <c r="O181" s="388"/>
      <c r="P181" s="389" t="s">
        <v>1810</v>
      </c>
    </row>
    <row r="182" spans="1:16" ht="15.75" thickBot="1">
      <c r="A182" s="384"/>
      <c r="B182" s="385" t="s">
        <v>1811</v>
      </c>
      <c r="C182" s="386"/>
      <c r="D182" s="387"/>
      <c r="E182" s="387"/>
      <c r="F182" s="387"/>
      <c r="G182" s="388"/>
      <c r="H182" s="389" t="s">
        <v>1811</v>
      </c>
      <c r="I182" s="384"/>
      <c r="J182" s="385" t="s">
        <v>1811</v>
      </c>
      <c r="K182" s="386"/>
      <c r="L182" s="387"/>
      <c r="M182" s="387"/>
      <c r="N182" s="387"/>
      <c r="O182" s="388"/>
      <c r="P182" s="389" t="s">
        <v>1811</v>
      </c>
    </row>
    <row r="183" spans="1:16" ht="15.75" thickBot="1">
      <c r="A183" s="384"/>
      <c r="B183" s="385" t="s">
        <v>1812</v>
      </c>
      <c r="C183" s="386"/>
      <c r="D183" s="387"/>
      <c r="E183" s="387"/>
      <c r="F183" s="387"/>
      <c r="G183" s="388"/>
      <c r="H183" s="389" t="s">
        <v>1812</v>
      </c>
      <c r="I183" s="384"/>
      <c r="J183" s="385" t="s">
        <v>1812</v>
      </c>
      <c r="K183" s="386"/>
      <c r="L183" s="387"/>
      <c r="M183" s="387"/>
      <c r="N183" s="387"/>
      <c r="O183" s="388"/>
      <c r="P183" s="389" t="s">
        <v>1812</v>
      </c>
    </row>
    <row r="184" spans="1:16" ht="15.75" thickBot="1">
      <c r="A184" s="384"/>
      <c r="B184" s="385" t="s">
        <v>1813</v>
      </c>
      <c r="C184" s="386"/>
      <c r="D184" s="387"/>
      <c r="E184" s="387"/>
      <c r="F184" s="387"/>
      <c r="G184" s="388"/>
      <c r="H184" s="389" t="s">
        <v>1813</v>
      </c>
      <c r="I184" s="384"/>
      <c r="J184" s="385" t="s">
        <v>1813</v>
      </c>
      <c r="K184" s="386"/>
      <c r="L184" s="387"/>
      <c r="M184" s="387"/>
      <c r="N184" s="387"/>
      <c r="O184" s="388"/>
      <c r="P184" s="389" t="s">
        <v>1813</v>
      </c>
    </row>
    <row r="185" spans="1:16" ht="15.75" thickBot="1">
      <c r="A185" s="384"/>
      <c r="B185" s="385" t="s">
        <v>1814</v>
      </c>
      <c r="C185" s="386"/>
      <c r="D185" s="387"/>
      <c r="E185" s="387"/>
      <c r="F185" s="387"/>
      <c r="G185" s="388"/>
      <c r="H185" s="389" t="s">
        <v>1814</v>
      </c>
      <c r="I185" s="384"/>
      <c r="J185" s="385" t="s">
        <v>1814</v>
      </c>
      <c r="K185" s="386"/>
      <c r="L185" s="387"/>
      <c r="M185" s="387"/>
      <c r="N185" s="387"/>
      <c r="O185" s="388"/>
      <c r="P185" s="389" t="s">
        <v>1814</v>
      </c>
    </row>
    <row r="186" spans="1:16" ht="26.25" thickBot="1">
      <c r="A186" s="390"/>
      <c r="B186" s="385" t="s">
        <v>1815</v>
      </c>
      <c r="C186" s="386"/>
      <c r="D186" s="387"/>
      <c r="E186" s="387"/>
      <c r="F186" s="387"/>
      <c r="G186" s="391"/>
      <c r="H186" s="389" t="s">
        <v>1816</v>
      </c>
      <c r="I186" s="390"/>
      <c r="J186" s="385" t="s">
        <v>1815</v>
      </c>
      <c r="K186" s="386"/>
      <c r="L186" s="387"/>
      <c r="M186" s="387"/>
      <c r="N186" s="387"/>
      <c r="O186" s="391"/>
      <c r="P186" s="389" t="s">
        <v>1816</v>
      </c>
    </row>
    <row r="187" spans="1:16" ht="15.75" thickBot="1">
      <c r="A187" s="392" t="s">
        <v>2124</v>
      </c>
      <c r="B187" s="385" t="s">
        <v>1803</v>
      </c>
      <c r="C187" s="386"/>
      <c r="D187" s="387"/>
      <c r="E187" s="387"/>
      <c r="F187" s="387"/>
      <c r="G187" s="393" t="s">
        <v>2124</v>
      </c>
      <c r="H187" s="389" t="s">
        <v>1803</v>
      </c>
      <c r="I187" s="392" t="s">
        <v>2124</v>
      </c>
      <c r="J187" s="385" t="s">
        <v>1803</v>
      </c>
      <c r="K187" s="386"/>
      <c r="L187" s="387"/>
      <c r="M187" s="387"/>
      <c r="N187" s="387"/>
      <c r="O187" s="393" t="s">
        <v>2124</v>
      </c>
      <c r="P187" s="389" t="s">
        <v>1803</v>
      </c>
    </row>
    <row r="188" spans="1:16" ht="15.75" thickBot="1">
      <c r="A188" s="384"/>
      <c r="B188" s="385" t="s">
        <v>1805</v>
      </c>
      <c r="C188" s="386"/>
      <c r="D188" s="387"/>
      <c r="E188" s="387"/>
      <c r="F188" s="387"/>
      <c r="G188" s="388"/>
      <c r="H188" s="389" t="s">
        <v>1805</v>
      </c>
      <c r="I188" s="384"/>
      <c r="J188" s="385" t="s">
        <v>1805</v>
      </c>
      <c r="K188" s="386"/>
      <c r="L188" s="387"/>
      <c r="M188" s="387"/>
      <c r="N188" s="387"/>
      <c r="O188" s="388"/>
      <c r="P188" s="389" t="s">
        <v>1805</v>
      </c>
    </row>
    <row r="189" spans="1:16" ht="15.75" thickBot="1">
      <c r="A189" s="384"/>
      <c r="B189" s="385" t="s">
        <v>1806</v>
      </c>
      <c r="C189" s="386"/>
      <c r="D189" s="387"/>
      <c r="E189" s="387"/>
      <c r="F189" s="387"/>
      <c r="G189" s="388"/>
      <c r="H189" s="389" t="s">
        <v>1806</v>
      </c>
      <c r="I189" s="384"/>
      <c r="J189" s="385" t="s">
        <v>1806</v>
      </c>
      <c r="K189" s="386"/>
      <c r="L189" s="387"/>
      <c r="M189" s="387"/>
      <c r="N189" s="387"/>
      <c r="O189" s="388"/>
      <c r="P189" s="389" t="s">
        <v>1806</v>
      </c>
    </row>
    <row r="190" spans="1:16" ht="15.75" thickBot="1">
      <c r="A190" s="384"/>
      <c r="B190" s="385" t="s">
        <v>1807</v>
      </c>
      <c r="C190" s="386"/>
      <c r="D190" s="387"/>
      <c r="E190" s="387"/>
      <c r="F190" s="387"/>
      <c r="G190" s="388"/>
      <c r="H190" s="389" t="s">
        <v>1807</v>
      </c>
      <c r="I190" s="384"/>
      <c r="J190" s="385" t="s">
        <v>1807</v>
      </c>
      <c r="K190" s="386"/>
      <c r="L190" s="387"/>
      <c r="M190" s="387"/>
      <c r="N190" s="387"/>
      <c r="O190" s="388"/>
      <c r="P190" s="389" t="s">
        <v>1807</v>
      </c>
    </row>
    <row r="191" spans="1:16" ht="15.75" thickBot="1">
      <c r="A191" s="384"/>
      <c r="B191" s="385" t="s">
        <v>1808</v>
      </c>
      <c r="C191" s="386"/>
      <c r="D191" s="387"/>
      <c r="E191" s="387"/>
      <c r="F191" s="387"/>
      <c r="G191" s="388"/>
      <c r="H191" s="389" t="s">
        <v>1808</v>
      </c>
      <c r="I191" s="384"/>
      <c r="J191" s="385" t="s">
        <v>1808</v>
      </c>
      <c r="K191" s="386"/>
      <c r="L191" s="387"/>
      <c r="M191" s="387"/>
      <c r="N191" s="387"/>
      <c r="O191" s="388"/>
      <c r="P191" s="389" t="s">
        <v>1808</v>
      </c>
    </row>
    <row r="192" spans="1:16" ht="15.75" thickBot="1">
      <c r="A192" s="384"/>
      <c r="B192" s="385" t="s">
        <v>1809</v>
      </c>
      <c r="C192" s="386"/>
      <c r="D192" s="387"/>
      <c r="E192" s="387"/>
      <c r="F192" s="387"/>
      <c r="G192" s="388"/>
      <c r="H192" s="389" t="s">
        <v>1809</v>
      </c>
      <c r="I192" s="384"/>
      <c r="J192" s="385" t="s">
        <v>1809</v>
      </c>
      <c r="K192" s="386"/>
      <c r="L192" s="387"/>
      <c r="M192" s="387"/>
      <c r="N192" s="387"/>
      <c r="O192" s="388"/>
      <c r="P192" s="389" t="s">
        <v>1809</v>
      </c>
    </row>
    <row r="193" spans="1:16" ht="15.75" thickBot="1">
      <c r="A193" s="384"/>
      <c r="B193" s="385" t="s">
        <v>1810</v>
      </c>
      <c r="C193" s="386"/>
      <c r="D193" s="387"/>
      <c r="E193" s="387"/>
      <c r="F193" s="387"/>
      <c r="G193" s="388"/>
      <c r="H193" s="389" t="s">
        <v>1810</v>
      </c>
      <c r="I193" s="384"/>
      <c r="J193" s="385" t="s">
        <v>1810</v>
      </c>
      <c r="K193" s="386"/>
      <c r="L193" s="387"/>
      <c r="M193" s="387"/>
      <c r="N193" s="387"/>
      <c r="O193" s="388"/>
      <c r="P193" s="389" t="s">
        <v>1810</v>
      </c>
    </row>
    <row r="194" spans="1:16" ht="15.75" thickBot="1">
      <c r="A194" s="384"/>
      <c r="B194" s="385" t="s">
        <v>1811</v>
      </c>
      <c r="C194" s="386"/>
      <c r="D194" s="387"/>
      <c r="E194" s="387"/>
      <c r="F194" s="387"/>
      <c r="G194" s="388"/>
      <c r="H194" s="389" t="s">
        <v>1811</v>
      </c>
      <c r="I194" s="384"/>
      <c r="J194" s="385" t="s">
        <v>1811</v>
      </c>
      <c r="K194" s="386"/>
      <c r="L194" s="387"/>
      <c r="M194" s="387"/>
      <c r="N194" s="387"/>
      <c r="O194" s="388"/>
      <c r="P194" s="389" t="s">
        <v>1811</v>
      </c>
    </row>
    <row r="195" spans="1:16" ht="15.75" thickBot="1">
      <c r="A195" s="384"/>
      <c r="B195" s="385" t="s">
        <v>1812</v>
      </c>
      <c r="C195" s="386"/>
      <c r="D195" s="387"/>
      <c r="E195" s="387"/>
      <c r="F195" s="387"/>
      <c r="G195" s="388"/>
      <c r="H195" s="389" t="s">
        <v>1812</v>
      </c>
      <c r="I195" s="384"/>
      <c r="J195" s="385" t="s">
        <v>1812</v>
      </c>
      <c r="K195" s="386"/>
      <c r="L195" s="387"/>
      <c r="M195" s="387"/>
      <c r="N195" s="387"/>
      <c r="O195" s="388"/>
      <c r="P195" s="389" t="s">
        <v>1812</v>
      </c>
    </row>
    <row r="196" spans="1:16" ht="15.75" thickBot="1">
      <c r="A196" s="384"/>
      <c r="B196" s="385" t="s">
        <v>1813</v>
      </c>
      <c r="C196" s="386"/>
      <c r="D196" s="387"/>
      <c r="E196" s="387"/>
      <c r="F196" s="387"/>
      <c r="G196" s="388"/>
      <c r="H196" s="389" t="s">
        <v>1813</v>
      </c>
      <c r="I196" s="384"/>
      <c r="J196" s="385" t="s">
        <v>1813</v>
      </c>
      <c r="K196" s="386"/>
      <c r="L196" s="387"/>
      <c r="M196" s="387"/>
      <c r="N196" s="387"/>
      <c r="O196" s="388"/>
      <c r="P196" s="389" t="s">
        <v>1813</v>
      </c>
    </row>
    <row r="197" spans="1:16" ht="15.75" thickBot="1">
      <c r="A197" s="384"/>
      <c r="B197" s="385" t="s">
        <v>1814</v>
      </c>
      <c r="C197" s="386"/>
      <c r="D197" s="387"/>
      <c r="E197" s="387"/>
      <c r="F197" s="387"/>
      <c r="G197" s="388"/>
      <c r="H197" s="389" t="s">
        <v>1814</v>
      </c>
      <c r="I197" s="384"/>
      <c r="J197" s="385" t="s">
        <v>1814</v>
      </c>
      <c r="K197" s="386"/>
      <c r="L197" s="387"/>
      <c r="M197" s="387"/>
      <c r="N197" s="387"/>
      <c r="O197" s="388"/>
      <c r="P197" s="389" t="s">
        <v>1814</v>
      </c>
    </row>
    <row r="198" spans="1:16" ht="26.25" thickBot="1">
      <c r="A198" s="390"/>
      <c r="B198" s="385" t="s">
        <v>1815</v>
      </c>
      <c r="C198" s="386"/>
      <c r="D198" s="387"/>
      <c r="E198" s="387"/>
      <c r="F198" s="387"/>
      <c r="G198" s="391"/>
      <c r="H198" s="389" t="s">
        <v>1816</v>
      </c>
      <c r="I198" s="390"/>
      <c r="J198" s="385" t="s">
        <v>1815</v>
      </c>
      <c r="K198" s="386"/>
      <c r="L198" s="387"/>
      <c r="M198" s="387"/>
      <c r="N198" s="387"/>
      <c r="O198" s="391"/>
      <c r="P198" s="389" t="s">
        <v>1816</v>
      </c>
    </row>
    <row r="199" spans="1:16" ht="15.75" thickBot="1">
      <c r="A199" s="392" t="s">
        <v>2125</v>
      </c>
      <c r="B199" s="385" t="s">
        <v>1803</v>
      </c>
      <c r="C199" s="386"/>
      <c r="D199" s="387"/>
      <c r="E199" s="387"/>
      <c r="F199" s="387"/>
      <c r="G199" s="393" t="s">
        <v>2125</v>
      </c>
      <c r="H199" s="389" t="s">
        <v>1803</v>
      </c>
      <c r="I199" s="392" t="s">
        <v>2125</v>
      </c>
      <c r="J199" s="385" t="s">
        <v>1803</v>
      </c>
      <c r="K199" s="386"/>
      <c r="L199" s="387"/>
      <c r="M199" s="387"/>
      <c r="N199" s="387"/>
      <c r="O199" s="393" t="s">
        <v>2125</v>
      </c>
      <c r="P199" s="389" t="s">
        <v>1803</v>
      </c>
    </row>
    <row r="200" spans="1:16" ht="15.75" thickBot="1">
      <c r="A200" s="384"/>
      <c r="B200" s="385" t="s">
        <v>1805</v>
      </c>
      <c r="C200" s="386"/>
      <c r="D200" s="387"/>
      <c r="E200" s="387"/>
      <c r="F200" s="387"/>
      <c r="G200" s="388"/>
      <c r="H200" s="389" t="s">
        <v>1805</v>
      </c>
      <c r="I200" s="384"/>
      <c r="J200" s="385" t="s">
        <v>1805</v>
      </c>
      <c r="K200" s="386"/>
      <c r="L200" s="387"/>
      <c r="M200" s="387"/>
      <c r="N200" s="387"/>
      <c r="O200" s="388"/>
      <c r="P200" s="389" t="s">
        <v>1805</v>
      </c>
    </row>
    <row r="201" spans="1:16" ht="15.75" thickBot="1">
      <c r="A201" s="384"/>
      <c r="B201" s="385" t="s">
        <v>1806</v>
      </c>
      <c r="C201" s="386"/>
      <c r="D201" s="387"/>
      <c r="E201" s="387"/>
      <c r="F201" s="387"/>
      <c r="G201" s="388"/>
      <c r="H201" s="389" t="s">
        <v>1806</v>
      </c>
      <c r="I201" s="384"/>
      <c r="J201" s="385" t="s">
        <v>1806</v>
      </c>
      <c r="K201" s="386"/>
      <c r="L201" s="387"/>
      <c r="M201" s="387"/>
      <c r="N201" s="387"/>
      <c r="O201" s="388"/>
      <c r="P201" s="389" t="s">
        <v>1806</v>
      </c>
    </row>
    <row r="202" spans="1:16" ht="15.75" thickBot="1">
      <c r="A202" s="384"/>
      <c r="B202" s="385" t="s">
        <v>1807</v>
      </c>
      <c r="C202" s="386"/>
      <c r="D202" s="387"/>
      <c r="E202" s="387"/>
      <c r="F202" s="387"/>
      <c r="G202" s="388"/>
      <c r="H202" s="389" t="s">
        <v>1807</v>
      </c>
      <c r="I202" s="384"/>
      <c r="J202" s="385" t="s">
        <v>1807</v>
      </c>
      <c r="K202" s="386"/>
      <c r="L202" s="387"/>
      <c r="M202" s="387"/>
      <c r="N202" s="387"/>
      <c r="O202" s="388"/>
      <c r="P202" s="389" t="s">
        <v>1807</v>
      </c>
    </row>
    <row r="203" spans="1:16" ht="15.75" thickBot="1">
      <c r="A203" s="384"/>
      <c r="B203" s="385" t="s">
        <v>1808</v>
      </c>
      <c r="C203" s="386"/>
      <c r="D203" s="387"/>
      <c r="E203" s="387"/>
      <c r="F203" s="387"/>
      <c r="G203" s="388"/>
      <c r="H203" s="389" t="s">
        <v>1808</v>
      </c>
      <c r="I203" s="384"/>
      <c r="J203" s="385" t="s">
        <v>1808</v>
      </c>
      <c r="K203" s="386"/>
      <c r="L203" s="387"/>
      <c r="M203" s="387"/>
      <c r="N203" s="387"/>
      <c r="O203" s="388"/>
      <c r="P203" s="389" t="s">
        <v>1808</v>
      </c>
    </row>
    <row r="204" spans="1:16" ht="15.75" thickBot="1">
      <c r="A204" s="384"/>
      <c r="B204" s="385" t="s">
        <v>1809</v>
      </c>
      <c r="C204" s="386"/>
      <c r="D204" s="387"/>
      <c r="E204" s="387"/>
      <c r="F204" s="387"/>
      <c r="G204" s="388"/>
      <c r="H204" s="389" t="s">
        <v>1809</v>
      </c>
      <c r="I204" s="384"/>
      <c r="J204" s="385" t="s">
        <v>1809</v>
      </c>
      <c r="K204" s="386"/>
      <c r="L204" s="387"/>
      <c r="M204" s="387"/>
      <c r="N204" s="387"/>
      <c r="O204" s="388"/>
      <c r="P204" s="389" t="s">
        <v>1809</v>
      </c>
    </row>
    <row r="205" spans="1:16" ht="15.75" thickBot="1">
      <c r="A205" s="384"/>
      <c r="B205" s="385" t="s">
        <v>1810</v>
      </c>
      <c r="C205" s="386"/>
      <c r="D205" s="387"/>
      <c r="E205" s="387"/>
      <c r="F205" s="387"/>
      <c r="G205" s="388"/>
      <c r="H205" s="389" t="s">
        <v>1810</v>
      </c>
      <c r="I205" s="384"/>
      <c r="J205" s="385" t="s">
        <v>1810</v>
      </c>
      <c r="K205" s="386"/>
      <c r="L205" s="387"/>
      <c r="M205" s="387"/>
      <c r="N205" s="387"/>
      <c r="O205" s="388"/>
      <c r="P205" s="389" t="s">
        <v>1810</v>
      </c>
    </row>
    <row r="206" spans="1:16" ht="15.75" thickBot="1">
      <c r="A206" s="384"/>
      <c r="B206" s="385" t="s">
        <v>1811</v>
      </c>
      <c r="C206" s="386"/>
      <c r="D206" s="387"/>
      <c r="E206" s="387"/>
      <c r="F206" s="387"/>
      <c r="G206" s="388"/>
      <c r="H206" s="389" t="s">
        <v>1811</v>
      </c>
      <c r="I206" s="384"/>
      <c r="J206" s="385" t="s">
        <v>1811</v>
      </c>
      <c r="K206" s="386"/>
      <c r="L206" s="387"/>
      <c r="M206" s="387"/>
      <c r="N206" s="387"/>
      <c r="O206" s="388"/>
      <c r="P206" s="389" t="s">
        <v>1811</v>
      </c>
    </row>
    <row r="207" spans="1:16" ht="15.75" thickBot="1">
      <c r="A207" s="384"/>
      <c r="B207" s="385" t="s">
        <v>1812</v>
      </c>
      <c r="C207" s="386"/>
      <c r="D207" s="387"/>
      <c r="E207" s="387"/>
      <c r="F207" s="387"/>
      <c r="G207" s="388"/>
      <c r="H207" s="389" t="s">
        <v>1812</v>
      </c>
      <c r="I207" s="384"/>
      <c r="J207" s="385" t="s">
        <v>1812</v>
      </c>
      <c r="K207" s="386"/>
      <c r="L207" s="387"/>
      <c r="M207" s="387"/>
      <c r="N207" s="387"/>
      <c r="O207" s="388"/>
      <c r="P207" s="389" t="s">
        <v>1812</v>
      </c>
    </row>
    <row r="208" spans="1:16" ht="15.75" thickBot="1">
      <c r="A208" s="384"/>
      <c r="B208" s="385" t="s">
        <v>1813</v>
      </c>
      <c r="C208" s="386"/>
      <c r="D208" s="387"/>
      <c r="E208" s="387"/>
      <c r="F208" s="387"/>
      <c r="G208" s="388"/>
      <c r="H208" s="389" t="s">
        <v>1813</v>
      </c>
      <c r="I208" s="384"/>
      <c r="J208" s="385" t="s">
        <v>1813</v>
      </c>
      <c r="K208" s="386"/>
      <c r="L208" s="387"/>
      <c r="M208" s="387"/>
      <c r="N208" s="387"/>
      <c r="O208" s="388"/>
      <c r="P208" s="389" t="s">
        <v>1813</v>
      </c>
    </row>
    <row r="209" spans="1:16" ht="15.75" thickBot="1">
      <c r="A209" s="384"/>
      <c r="B209" s="385" t="s">
        <v>1814</v>
      </c>
      <c r="C209" s="386"/>
      <c r="D209" s="387"/>
      <c r="E209" s="387"/>
      <c r="F209" s="387"/>
      <c r="G209" s="388"/>
      <c r="H209" s="389" t="s">
        <v>1814</v>
      </c>
      <c r="I209" s="384"/>
      <c r="J209" s="385" t="s">
        <v>1814</v>
      </c>
      <c r="K209" s="386"/>
      <c r="L209" s="387"/>
      <c r="M209" s="387"/>
      <c r="N209" s="387"/>
      <c r="O209" s="388"/>
      <c r="P209" s="389" t="s">
        <v>1814</v>
      </c>
    </row>
    <row r="210" spans="1:16" ht="26.25" thickBot="1">
      <c r="A210" s="390"/>
      <c r="B210" s="385" t="s">
        <v>1815</v>
      </c>
      <c r="C210" s="386"/>
      <c r="D210" s="387"/>
      <c r="E210" s="387"/>
      <c r="F210" s="387"/>
      <c r="G210" s="391"/>
      <c r="H210" s="389" t="s">
        <v>1816</v>
      </c>
      <c r="I210" s="390"/>
      <c r="J210" s="385" t="s">
        <v>1815</v>
      </c>
      <c r="K210" s="386"/>
      <c r="L210" s="387"/>
      <c r="M210" s="387"/>
      <c r="N210" s="387"/>
      <c r="O210" s="391"/>
      <c r="P210" s="389" t="s">
        <v>1816</v>
      </c>
    </row>
    <row r="211" spans="1:16" ht="15.75" thickBot="1">
      <c r="A211" s="392" t="s">
        <v>2126</v>
      </c>
      <c r="B211" s="385" t="s">
        <v>1803</v>
      </c>
      <c r="C211" s="386"/>
      <c r="D211" s="387"/>
      <c r="E211" s="387"/>
      <c r="F211" s="387"/>
      <c r="G211" s="393" t="s">
        <v>2126</v>
      </c>
      <c r="H211" s="389" t="s">
        <v>1803</v>
      </c>
      <c r="I211" s="392" t="s">
        <v>2126</v>
      </c>
      <c r="J211" s="385" t="s">
        <v>1803</v>
      </c>
      <c r="K211" s="386"/>
      <c r="L211" s="387"/>
      <c r="M211" s="387"/>
      <c r="N211" s="387"/>
      <c r="O211" s="393" t="s">
        <v>2126</v>
      </c>
      <c r="P211" s="389" t="s">
        <v>1803</v>
      </c>
    </row>
    <row r="212" spans="1:16" ht="15.75" thickBot="1">
      <c r="A212" s="384"/>
      <c r="B212" s="385" t="s">
        <v>1805</v>
      </c>
      <c r="C212" s="386"/>
      <c r="D212" s="387"/>
      <c r="E212" s="387"/>
      <c r="F212" s="387"/>
      <c r="G212" s="388"/>
      <c r="H212" s="389" t="s">
        <v>1805</v>
      </c>
      <c r="I212" s="384"/>
      <c r="J212" s="385" t="s">
        <v>1805</v>
      </c>
      <c r="K212" s="386"/>
      <c r="L212" s="387"/>
      <c r="M212" s="387"/>
      <c r="N212" s="387"/>
      <c r="O212" s="388"/>
      <c r="P212" s="389" t="s">
        <v>1805</v>
      </c>
    </row>
    <row r="213" spans="1:16" ht="15.75" thickBot="1">
      <c r="A213" s="384"/>
      <c r="B213" s="385" t="s">
        <v>1806</v>
      </c>
      <c r="C213" s="386"/>
      <c r="D213" s="387"/>
      <c r="E213" s="387"/>
      <c r="F213" s="387"/>
      <c r="G213" s="388"/>
      <c r="H213" s="389" t="s">
        <v>1806</v>
      </c>
      <c r="I213" s="384"/>
      <c r="J213" s="385" t="s">
        <v>1806</v>
      </c>
      <c r="K213" s="386"/>
      <c r="L213" s="387"/>
      <c r="M213" s="387"/>
      <c r="N213" s="387"/>
      <c r="O213" s="388"/>
      <c r="P213" s="389" t="s">
        <v>1806</v>
      </c>
    </row>
    <row r="214" spans="1:16" ht="15.75" thickBot="1">
      <c r="A214" s="384"/>
      <c r="B214" s="385" t="s">
        <v>1807</v>
      </c>
      <c r="C214" s="386"/>
      <c r="D214" s="387"/>
      <c r="E214" s="387"/>
      <c r="F214" s="387"/>
      <c r="G214" s="388"/>
      <c r="H214" s="389" t="s">
        <v>1807</v>
      </c>
      <c r="I214" s="384"/>
      <c r="J214" s="385" t="s">
        <v>1807</v>
      </c>
      <c r="K214" s="386"/>
      <c r="L214" s="387"/>
      <c r="M214" s="387"/>
      <c r="N214" s="387"/>
      <c r="O214" s="388"/>
      <c r="P214" s="389" t="s">
        <v>1807</v>
      </c>
    </row>
    <row r="215" spans="1:16" ht="15.75" thickBot="1">
      <c r="A215" s="384"/>
      <c r="B215" s="385" t="s">
        <v>1808</v>
      </c>
      <c r="C215" s="386"/>
      <c r="D215" s="387"/>
      <c r="E215" s="387"/>
      <c r="F215" s="387"/>
      <c r="G215" s="388"/>
      <c r="H215" s="389" t="s">
        <v>1808</v>
      </c>
      <c r="I215" s="384"/>
      <c r="J215" s="385" t="s">
        <v>1808</v>
      </c>
      <c r="K215" s="386"/>
      <c r="L215" s="387"/>
      <c r="M215" s="387"/>
      <c r="N215" s="387"/>
      <c r="O215" s="388"/>
      <c r="P215" s="389" t="s">
        <v>1808</v>
      </c>
    </row>
    <row r="216" spans="1:16" ht="15.75" thickBot="1">
      <c r="A216" s="384"/>
      <c r="B216" s="385" t="s">
        <v>1809</v>
      </c>
      <c r="C216" s="386"/>
      <c r="D216" s="387"/>
      <c r="E216" s="387"/>
      <c r="F216" s="387"/>
      <c r="G216" s="388"/>
      <c r="H216" s="389" t="s">
        <v>1809</v>
      </c>
      <c r="I216" s="384"/>
      <c r="J216" s="385" t="s">
        <v>1809</v>
      </c>
      <c r="K216" s="386"/>
      <c r="L216" s="387"/>
      <c r="M216" s="387"/>
      <c r="N216" s="387"/>
      <c r="O216" s="388"/>
      <c r="P216" s="389" t="s">
        <v>1809</v>
      </c>
    </row>
    <row r="217" spans="1:16" ht="15.75" thickBot="1">
      <c r="A217" s="384"/>
      <c r="B217" s="385" t="s">
        <v>1810</v>
      </c>
      <c r="C217" s="386"/>
      <c r="D217" s="387"/>
      <c r="E217" s="387"/>
      <c r="F217" s="387"/>
      <c r="G217" s="388"/>
      <c r="H217" s="389" t="s">
        <v>1810</v>
      </c>
      <c r="I217" s="384"/>
      <c r="J217" s="385" t="s">
        <v>1810</v>
      </c>
      <c r="K217" s="386"/>
      <c r="L217" s="387"/>
      <c r="M217" s="387"/>
      <c r="N217" s="387"/>
      <c r="O217" s="388"/>
      <c r="P217" s="389" t="s">
        <v>1810</v>
      </c>
    </row>
    <row r="218" spans="1:16" ht="15.75" thickBot="1">
      <c r="A218" s="384"/>
      <c r="B218" s="385" t="s">
        <v>1811</v>
      </c>
      <c r="C218" s="386"/>
      <c r="D218" s="387"/>
      <c r="E218" s="387"/>
      <c r="F218" s="387"/>
      <c r="G218" s="388"/>
      <c r="H218" s="389" t="s">
        <v>1811</v>
      </c>
      <c r="I218" s="384"/>
      <c r="J218" s="385" t="s">
        <v>1811</v>
      </c>
      <c r="K218" s="386"/>
      <c r="L218" s="387"/>
      <c r="M218" s="387"/>
      <c r="N218" s="387"/>
      <c r="O218" s="388"/>
      <c r="P218" s="389" t="s">
        <v>1811</v>
      </c>
    </row>
    <row r="219" spans="1:16" ht="15.75" thickBot="1">
      <c r="A219" s="384"/>
      <c r="B219" s="385" t="s">
        <v>1812</v>
      </c>
      <c r="C219" s="386"/>
      <c r="D219" s="387"/>
      <c r="E219" s="387"/>
      <c r="F219" s="387"/>
      <c r="G219" s="388"/>
      <c r="H219" s="389" t="s">
        <v>1812</v>
      </c>
      <c r="I219" s="384"/>
      <c r="J219" s="385" t="s">
        <v>1812</v>
      </c>
      <c r="K219" s="386"/>
      <c r="L219" s="387"/>
      <c r="M219" s="387"/>
      <c r="N219" s="387"/>
      <c r="O219" s="388"/>
      <c r="P219" s="389" t="s">
        <v>1812</v>
      </c>
    </row>
    <row r="220" spans="1:16" ht="15.75" thickBot="1">
      <c r="A220" s="384"/>
      <c r="B220" s="385" t="s">
        <v>1813</v>
      </c>
      <c r="C220" s="386"/>
      <c r="D220" s="387"/>
      <c r="E220" s="387"/>
      <c r="F220" s="387"/>
      <c r="G220" s="388"/>
      <c r="H220" s="389" t="s">
        <v>1813</v>
      </c>
      <c r="I220" s="384"/>
      <c r="J220" s="385" t="s">
        <v>1813</v>
      </c>
      <c r="K220" s="386"/>
      <c r="L220" s="387"/>
      <c r="M220" s="387"/>
      <c r="N220" s="387"/>
      <c r="O220" s="388"/>
      <c r="P220" s="389" t="s">
        <v>1813</v>
      </c>
    </row>
    <row r="221" spans="1:16" ht="15.75" thickBot="1">
      <c r="A221" s="384"/>
      <c r="B221" s="385" t="s">
        <v>1814</v>
      </c>
      <c r="C221" s="386"/>
      <c r="D221" s="387"/>
      <c r="E221" s="387"/>
      <c r="F221" s="387"/>
      <c r="G221" s="388"/>
      <c r="H221" s="389" t="s">
        <v>1814</v>
      </c>
      <c r="I221" s="384"/>
      <c r="J221" s="385" t="s">
        <v>1814</v>
      </c>
      <c r="K221" s="386"/>
      <c r="L221" s="387"/>
      <c r="M221" s="387"/>
      <c r="N221" s="387"/>
      <c r="O221" s="388"/>
      <c r="P221" s="389" t="s">
        <v>1814</v>
      </c>
    </row>
    <row r="222" spans="1:16" ht="26.25" thickBot="1">
      <c r="A222" s="390"/>
      <c r="B222" s="385" t="s">
        <v>1815</v>
      </c>
      <c r="C222" s="386"/>
      <c r="D222" s="387"/>
      <c r="E222" s="387"/>
      <c r="F222" s="387"/>
      <c r="G222" s="391"/>
      <c r="H222" s="389" t="s">
        <v>1816</v>
      </c>
      <c r="I222" s="390"/>
      <c r="J222" s="385" t="s">
        <v>1815</v>
      </c>
      <c r="K222" s="386"/>
      <c r="L222" s="387"/>
      <c r="M222" s="387"/>
      <c r="N222" s="387"/>
      <c r="O222" s="391"/>
      <c r="P222" s="389" t="s">
        <v>1816</v>
      </c>
    </row>
    <row r="223" spans="1:16" ht="15.75" thickBot="1">
      <c r="A223" s="392" t="s">
        <v>2127</v>
      </c>
      <c r="B223" s="385" t="s">
        <v>1803</v>
      </c>
      <c r="C223" s="386"/>
      <c r="D223" s="387"/>
      <c r="E223" s="387"/>
      <c r="F223" s="387"/>
      <c r="G223" s="393" t="s">
        <v>2127</v>
      </c>
      <c r="H223" s="389" t="s">
        <v>1803</v>
      </c>
      <c r="I223" s="392" t="s">
        <v>2127</v>
      </c>
      <c r="J223" s="385" t="s">
        <v>1803</v>
      </c>
      <c r="K223" s="386"/>
      <c r="L223" s="387"/>
      <c r="M223" s="387"/>
      <c r="N223" s="387"/>
      <c r="O223" s="393" t="s">
        <v>2127</v>
      </c>
      <c r="P223" s="389" t="s">
        <v>1803</v>
      </c>
    </row>
    <row r="224" spans="1:16" ht="15.75" thickBot="1">
      <c r="A224" s="384"/>
      <c r="B224" s="385" t="s">
        <v>1805</v>
      </c>
      <c r="C224" s="386"/>
      <c r="D224" s="387"/>
      <c r="E224" s="387"/>
      <c r="F224" s="387"/>
      <c r="G224" s="388"/>
      <c r="H224" s="389" t="s">
        <v>1805</v>
      </c>
      <c r="I224" s="384"/>
      <c r="J224" s="385" t="s">
        <v>1805</v>
      </c>
      <c r="K224" s="386"/>
      <c r="L224" s="387"/>
      <c r="M224" s="387"/>
      <c r="N224" s="387"/>
      <c r="O224" s="388"/>
      <c r="P224" s="389" t="s">
        <v>1805</v>
      </c>
    </row>
    <row r="225" spans="1:16" ht="15.75" thickBot="1">
      <c r="A225" s="384"/>
      <c r="B225" s="385" t="s">
        <v>1806</v>
      </c>
      <c r="C225" s="386"/>
      <c r="D225" s="387"/>
      <c r="E225" s="387"/>
      <c r="F225" s="387"/>
      <c r="G225" s="388"/>
      <c r="H225" s="389" t="s">
        <v>1806</v>
      </c>
      <c r="I225" s="384"/>
      <c r="J225" s="385" t="s">
        <v>1806</v>
      </c>
      <c r="K225" s="386"/>
      <c r="L225" s="387"/>
      <c r="M225" s="387"/>
      <c r="N225" s="387"/>
      <c r="O225" s="388"/>
      <c r="P225" s="389" t="s">
        <v>1806</v>
      </c>
    </row>
    <row r="226" spans="1:16" ht="15.75" thickBot="1">
      <c r="A226" s="384"/>
      <c r="B226" s="385" t="s">
        <v>1807</v>
      </c>
      <c r="C226" s="386"/>
      <c r="D226" s="387"/>
      <c r="E226" s="387"/>
      <c r="F226" s="387"/>
      <c r="G226" s="388"/>
      <c r="H226" s="389" t="s">
        <v>1807</v>
      </c>
      <c r="I226" s="384"/>
      <c r="J226" s="385" t="s">
        <v>1807</v>
      </c>
      <c r="K226" s="386"/>
      <c r="L226" s="387"/>
      <c r="M226" s="387"/>
      <c r="N226" s="387"/>
      <c r="O226" s="388"/>
      <c r="P226" s="389" t="s">
        <v>1807</v>
      </c>
    </row>
    <row r="227" spans="1:16" ht="15.75" thickBot="1">
      <c r="A227" s="384"/>
      <c r="B227" s="385" t="s">
        <v>1808</v>
      </c>
      <c r="C227" s="386"/>
      <c r="D227" s="387"/>
      <c r="E227" s="387"/>
      <c r="F227" s="387"/>
      <c r="G227" s="388"/>
      <c r="H227" s="389" t="s">
        <v>1808</v>
      </c>
      <c r="I227" s="384"/>
      <c r="J227" s="385" t="s">
        <v>1808</v>
      </c>
      <c r="K227" s="386"/>
      <c r="L227" s="387"/>
      <c r="M227" s="387"/>
      <c r="N227" s="387"/>
      <c r="O227" s="388"/>
      <c r="P227" s="389" t="s">
        <v>1808</v>
      </c>
    </row>
    <row r="228" spans="1:16" ht="15.75" thickBot="1">
      <c r="A228" s="384"/>
      <c r="B228" s="385" t="s">
        <v>1809</v>
      </c>
      <c r="C228" s="386"/>
      <c r="D228" s="387"/>
      <c r="E228" s="387"/>
      <c r="F228" s="387"/>
      <c r="G228" s="388"/>
      <c r="H228" s="389" t="s">
        <v>1809</v>
      </c>
      <c r="I228" s="384"/>
      <c r="J228" s="385" t="s">
        <v>1809</v>
      </c>
      <c r="K228" s="386"/>
      <c r="L228" s="387"/>
      <c r="M228" s="387"/>
      <c r="N228" s="387"/>
      <c r="O228" s="388"/>
      <c r="P228" s="389" t="s">
        <v>1809</v>
      </c>
    </row>
    <row r="229" spans="1:16" ht="15.75" thickBot="1">
      <c r="A229" s="384"/>
      <c r="B229" s="385" t="s">
        <v>1810</v>
      </c>
      <c r="C229" s="386"/>
      <c r="D229" s="387"/>
      <c r="E229" s="387"/>
      <c r="F229" s="387"/>
      <c r="G229" s="388"/>
      <c r="H229" s="389" t="s">
        <v>1810</v>
      </c>
      <c r="I229" s="384"/>
      <c r="J229" s="385" t="s">
        <v>1810</v>
      </c>
      <c r="K229" s="386"/>
      <c r="L229" s="387"/>
      <c r="M229" s="387"/>
      <c r="N229" s="387"/>
      <c r="O229" s="388"/>
      <c r="P229" s="389" t="s">
        <v>1810</v>
      </c>
    </row>
    <row r="230" spans="1:16" ht="15.75" thickBot="1">
      <c r="A230" s="384"/>
      <c r="B230" s="385" t="s">
        <v>1811</v>
      </c>
      <c r="C230" s="386"/>
      <c r="D230" s="387"/>
      <c r="E230" s="387"/>
      <c r="F230" s="387"/>
      <c r="G230" s="388"/>
      <c r="H230" s="389" t="s">
        <v>1811</v>
      </c>
      <c r="I230" s="384"/>
      <c r="J230" s="385" t="s">
        <v>1811</v>
      </c>
      <c r="K230" s="386"/>
      <c r="L230" s="387"/>
      <c r="M230" s="387"/>
      <c r="N230" s="387"/>
      <c r="O230" s="388"/>
      <c r="P230" s="389" t="s">
        <v>1811</v>
      </c>
    </row>
    <row r="231" spans="1:16" ht="15.75" thickBot="1">
      <c r="A231" s="384"/>
      <c r="B231" s="385" t="s">
        <v>1812</v>
      </c>
      <c r="C231" s="386"/>
      <c r="D231" s="387"/>
      <c r="E231" s="387"/>
      <c r="F231" s="387"/>
      <c r="G231" s="388"/>
      <c r="H231" s="389" t="s">
        <v>1812</v>
      </c>
      <c r="I231" s="384"/>
      <c r="J231" s="385" t="s">
        <v>1812</v>
      </c>
      <c r="K231" s="386"/>
      <c r="L231" s="387"/>
      <c r="M231" s="387"/>
      <c r="N231" s="387"/>
      <c r="O231" s="388"/>
      <c r="P231" s="389" t="s">
        <v>1812</v>
      </c>
    </row>
    <row r="232" spans="1:16" ht="15.75" thickBot="1">
      <c r="A232" s="384"/>
      <c r="B232" s="385" t="s">
        <v>1813</v>
      </c>
      <c r="C232" s="386"/>
      <c r="D232" s="387"/>
      <c r="E232" s="387"/>
      <c r="F232" s="387"/>
      <c r="G232" s="388"/>
      <c r="H232" s="389" t="s">
        <v>1813</v>
      </c>
      <c r="I232" s="384"/>
      <c r="J232" s="385" t="s">
        <v>1813</v>
      </c>
      <c r="K232" s="386"/>
      <c r="L232" s="387"/>
      <c r="M232" s="387"/>
      <c r="N232" s="387"/>
      <c r="O232" s="388"/>
      <c r="P232" s="389" t="s">
        <v>1813</v>
      </c>
    </row>
    <row r="233" spans="1:16" ht="15.75" thickBot="1">
      <c r="A233" s="384"/>
      <c r="B233" s="385" t="s">
        <v>1814</v>
      </c>
      <c r="C233" s="386"/>
      <c r="D233" s="387"/>
      <c r="E233" s="387"/>
      <c r="F233" s="387"/>
      <c r="G233" s="388"/>
      <c r="H233" s="389" t="s">
        <v>1814</v>
      </c>
      <c r="I233" s="384"/>
      <c r="J233" s="385" t="s">
        <v>1814</v>
      </c>
      <c r="K233" s="386"/>
      <c r="L233" s="387"/>
      <c r="M233" s="387"/>
      <c r="N233" s="387"/>
      <c r="O233" s="388"/>
      <c r="P233" s="389" t="s">
        <v>1814</v>
      </c>
    </row>
    <row r="234" spans="1:16" ht="26.25" thickBot="1">
      <c r="A234" s="390"/>
      <c r="B234" s="385" t="s">
        <v>1815</v>
      </c>
      <c r="C234" s="386"/>
      <c r="D234" s="387"/>
      <c r="E234" s="387"/>
      <c r="F234" s="387"/>
      <c r="G234" s="391"/>
      <c r="H234" s="389" t="s">
        <v>1816</v>
      </c>
      <c r="I234" s="390"/>
      <c r="J234" s="385" t="s">
        <v>1815</v>
      </c>
      <c r="K234" s="386"/>
      <c r="L234" s="387"/>
      <c r="M234" s="387"/>
      <c r="N234" s="387"/>
      <c r="O234" s="391"/>
      <c r="P234" s="389" t="s">
        <v>1816</v>
      </c>
    </row>
    <row r="235" spans="1:16" ht="15.75" thickBot="1">
      <c r="A235" s="392" t="s">
        <v>2128</v>
      </c>
      <c r="B235" s="385" t="s">
        <v>1803</v>
      </c>
      <c r="C235" s="386"/>
      <c r="D235" s="387"/>
      <c r="E235" s="387"/>
      <c r="F235" s="387"/>
      <c r="G235" s="393" t="s">
        <v>2128</v>
      </c>
      <c r="H235" s="389" t="s">
        <v>1803</v>
      </c>
      <c r="I235" s="392" t="s">
        <v>2128</v>
      </c>
      <c r="J235" s="385" t="s">
        <v>1803</v>
      </c>
      <c r="K235" s="386"/>
      <c r="L235" s="387"/>
      <c r="M235" s="387"/>
      <c r="N235" s="387"/>
      <c r="O235" s="393" t="s">
        <v>2128</v>
      </c>
      <c r="P235" s="389" t="s">
        <v>1803</v>
      </c>
    </row>
    <row r="236" spans="1:16" ht="15.75" thickBot="1">
      <c r="A236" s="384"/>
      <c r="B236" s="385" t="s">
        <v>1805</v>
      </c>
      <c r="C236" s="386"/>
      <c r="D236" s="387"/>
      <c r="E236" s="387"/>
      <c r="F236" s="387"/>
      <c r="G236" s="388"/>
      <c r="H236" s="389" t="s">
        <v>1805</v>
      </c>
      <c r="I236" s="384"/>
      <c r="J236" s="385" t="s">
        <v>1805</v>
      </c>
      <c r="K236" s="386"/>
      <c r="L236" s="387"/>
      <c r="M236" s="387"/>
      <c r="N236" s="387"/>
      <c r="O236" s="388"/>
      <c r="P236" s="389" t="s">
        <v>1805</v>
      </c>
    </row>
    <row r="237" spans="1:16" ht="15.75" thickBot="1">
      <c r="A237" s="384"/>
      <c r="B237" s="385" t="s">
        <v>1806</v>
      </c>
      <c r="C237" s="386"/>
      <c r="D237" s="387"/>
      <c r="E237" s="387"/>
      <c r="F237" s="387"/>
      <c r="G237" s="388"/>
      <c r="H237" s="389" t="s">
        <v>1806</v>
      </c>
      <c r="I237" s="384"/>
      <c r="J237" s="385" t="s">
        <v>1806</v>
      </c>
      <c r="K237" s="386"/>
      <c r="L237" s="387"/>
      <c r="M237" s="387"/>
      <c r="N237" s="387"/>
      <c r="O237" s="388"/>
      <c r="P237" s="389" t="s">
        <v>1806</v>
      </c>
    </row>
    <row r="238" spans="1:16" ht="15.75" thickBot="1">
      <c r="A238" s="384"/>
      <c r="B238" s="385" t="s">
        <v>1807</v>
      </c>
      <c r="C238" s="386"/>
      <c r="D238" s="387"/>
      <c r="E238" s="387"/>
      <c r="F238" s="387"/>
      <c r="G238" s="388"/>
      <c r="H238" s="389" t="s">
        <v>1807</v>
      </c>
      <c r="I238" s="384"/>
      <c r="J238" s="385" t="s">
        <v>1807</v>
      </c>
      <c r="K238" s="386"/>
      <c r="L238" s="387"/>
      <c r="M238" s="387"/>
      <c r="N238" s="387"/>
      <c r="O238" s="388"/>
      <c r="P238" s="389" t="s">
        <v>1807</v>
      </c>
    </row>
    <row r="239" spans="1:16" ht="15.75" thickBot="1">
      <c r="A239" s="384"/>
      <c r="B239" s="385" t="s">
        <v>1808</v>
      </c>
      <c r="C239" s="386"/>
      <c r="D239" s="387"/>
      <c r="E239" s="387"/>
      <c r="F239" s="387"/>
      <c r="G239" s="388"/>
      <c r="H239" s="389" t="s">
        <v>1808</v>
      </c>
      <c r="I239" s="384"/>
      <c r="J239" s="385" t="s">
        <v>1808</v>
      </c>
      <c r="K239" s="386"/>
      <c r="L239" s="387"/>
      <c r="M239" s="387"/>
      <c r="N239" s="387"/>
      <c r="O239" s="388"/>
      <c r="P239" s="389" t="s">
        <v>1808</v>
      </c>
    </row>
    <row r="240" spans="1:16" ht="15.75" thickBot="1">
      <c r="A240" s="384"/>
      <c r="B240" s="385" t="s">
        <v>1809</v>
      </c>
      <c r="C240" s="386"/>
      <c r="D240" s="387"/>
      <c r="E240" s="387"/>
      <c r="F240" s="387"/>
      <c r="G240" s="388"/>
      <c r="H240" s="389" t="s">
        <v>1809</v>
      </c>
      <c r="I240" s="384"/>
      <c r="J240" s="385" t="s">
        <v>1809</v>
      </c>
      <c r="K240" s="386"/>
      <c r="L240" s="387"/>
      <c r="M240" s="387"/>
      <c r="N240" s="387"/>
      <c r="O240" s="388"/>
      <c r="P240" s="389" t="s">
        <v>1809</v>
      </c>
    </row>
    <row r="241" spans="1:16" ht="15.75" thickBot="1">
      <c r="A241" s="384"/>
      <c r="B241" s="385" t="s">
        <v>1810</v>
      </c>
      <c r="C241" s="386"/>
      <c r="D241" s="387"/>
      <c r="E241" s="387"/>
      <c r="F241" s="387"/>
      <c r="G241" s="388"/>
      <c r="H241" s="389" t="s">
        <v>1810</v>
      </c>
      <c r="I241" s="384"/>
      <c r="J241" s="385" t="s">
        <v>1810</v>
      </c>
      <c r="K241" s="386"/>
      <c r="L241" s="387"/>
      <c r="M241" s="387"/>
      <c r="N241" s="387"/>
      <c r="O241" s="388"/>
      <c r="P241" s="389" t="s">
        <v>1810</v>
      </c>
    </row>
    <row r="242" spans="1:16" ht="15.75" thickBot="1">
      <c r="A242" s="384"/>
      <c r="B242" s="385" t="s">
        <v>1811</v>
      </c>
      <c r="C242" s="386"/>
      <c r="D242" s="387"/>
      <c r="E242" s="387"/>
      <c r="F242" s="387"/>
      <c r="G242" s="388"/>
      <c r="H242" s="389" t="s">
        <v>1811</v>
      </c>
      <c r="I242" s="384"/>
      <c r="J242" s="385" t="s">
        <v>1811</v>
      </c>
      <c r="K242" s="386"/>
      <c r="L242" s="387"/>
      <c r="M242" s="387"/>
      <c r="N242" s="387"/>
      <c r="O242" s="388"/>
      <c r="P242" s="389" t="s">
        <v>1811</v>
      </c>
    </row>
    <row r="243" spans="1:16" ht="15.75" thickBot="1">
      <c r="A243" s="384"/>
      <c r="B243" s="385" t="s">
        <v>1812</v>
      </c>
      <c r="C243" s="386"/>
      <c r="D243" s="387"/>
      <c r="E243" s="387"/>
      <c r="F243" s="387"/>
      <c r="G243" s="388"/>
      <c r="H243" s="389" t="s">
        <v>1812</v>
      </c>
      <c r="I243" s="384"/>
      <c r="J243" s="385" t="s">
        <v>1812</v>
      </c>
      <c r="K243" s="386"/>
      <c r="L243" s="387"/>
      <c r="M243" s="387"/>
      <c r="N243" s="387"/>
      <c r="O243" s="388"/>
      <c r="P243" s="389" t="s">
        <v>1812</v>
      </c>
    </row>
    <row r="244" spans="1:16" ht="15.75" thickBot="1">
      <c r="A244" s="384"/>
      <c r="B244" s="385" t="s">
        <v>1813</v>
      </c>
      <c r="C244" s="386"/>
      <c r="D244" s="387"/>
      <c r="E244" s="387"/>
      <c r="F244" s="387"/>
      <c r="G244" s="388"/>
      <c r="H244" s="389" t="s">
        <v>1813</v>
      </c>
      <c r="I244" s="384"/>
      <c r="J244" s="385" t="s">
        <v>1813</v>
      </c>
      <c r="K244" s="386"/>
      <c r="L244" s="387"/>
      <c r="M244" s="387"/>
      <c r="N244" s="387"/>
      <c r="O244" s="388"/>
      <c r="P244" s="389" t="s">
        <v>1813</v>
      </c>
    </row>
    <row r="245" spans="1:16" ht="15.75" thickBot="1">
      <c r="A245" s="384"/>
      <c r="B245" s="385" t="s">
        <v>1814</v>
      </c>
      <c r="C245" s="386"/>
      <c r="D245" s="387"/>
      <c r="E245" s="387"/>
      <c r="F245" s="387"/>
      <c r="G245" s="388"/>
      <c r="H245" s="389" t="s">
        <v>1814</v>
      </c>
      <c r="I245" s="384"/>
      <c r="J245" s="385" t="s">
        <v>1814</v>
      </c>
      <c r="K245" s="386"/>
      <c r="L245" s="387"/>
      <c r="M245" s="387"/>
      <c r="N245" s="387"/>
      <c r="O245" s="388"/>
      <c r="P245" s="389" t="s">
        <v>1814</v>
      </c>
    </row>
    <row r="246" spans="1:16" ht="26.25" thickBot="1">
      <c r="A246" s="390"/>
      <c r="B246" s="385" t="s">
        <v>1815</v>
      </c>
      <c r="C246" s="386"/>
      <c r="D246" s="387"/>
      <c r="E246" s="387"/>
      <c r="F246" s="387"/>
      <c r="G246" s="391"/>
      <c r="H246" s="389" t="s">
        <v>1816</v>
      </c>
      <c r="I246" s="390"/>
      <c r="J246" s="385" t="s">
        <v>1815</v>
      </c>
      <c r="K246" s="386"/>
      <c r="L246" s="387"/>
      <c r="M246" s="387"/>
      <c r="N246" s="387"/>
      <c r="O246" s="391"/>
      <c r="P246" s="389" t="s">
        <v>1816</v>
      </c>
    </row>
    <row r="247" spans="1:16" ht="15.75" thickBot="1">
      <c r="A247" s="392" t="s">
        <v>2129</v>
      </c>
      <c r="B247" s="385" t="s">
        <v>1803</v>
      </c>
      <c r="C247" s="386"/>
      <c r="D247" s="387"/>
      <c r="E247" s="387"/>
      <c r="F247" s="387"/>
      <c r="G247" s="393" t="s">
        <v>2130</v>
      </c>
      <c r="H247" s="389" t="s">
        <v>1803</v>
      </c>
      <c r="I247" s="392" t="s">
        <v>2129</v>
      </c>
      <c r="J247" s="385" t="s">
        <v>1803</v>
      </c>
      <c r="K247" s="386"/>
      <c r="L247" s="387"/>
      <c r="M247" s="387"/>
      <c r="N247" s="387"/>
      <c r="O247" s="393" t="s">
        <v>2130</v>
      </c>
      <c r="P247" s="389" t="s">
        <v>1803</v>
      </c>
    </row>
    <row r="248" spans="1:16" ht="15.75" thickBot="1">
      <c r="A248" s="384"/>
      <c r="B248" s="385" t="s">
        <v>1805</v>
      </c>
      <c r="C248" s="386"/>
      <c r="D248" s="387"/>
      <c r="E248" s="387"/>
      <c r="F248" s="387"/>
      <c r="G248" s="388"/>
      <c r="H248" s="389" t="s">
        <v>1805</v>
      </c>
      <c r="I248" s="384"/>
      <c r="J248" s="385" t="s">
        <v>1805</v>
      </c>
      <c r="K248" s="386"/>
      <c r="L248" s="387"/>
      <c r="M248" s="387"/>
      <c r="N248" s="387"/>
      <c r="O248" s="388"/>
      <c r="P248" s="389" t="s">
        <v>1805</v>
      </c>
    </row>
    <row r="249" spans="1:16" ht="15.75" thickBot="1">
      <c r="A249" s="384"/>
      <c r="B249" s="385" t="s">
        <v>1806</v>
      </c>
      <c r="C249" s="386"/>
      <c r="D249" s="387"/>
      <c r="E249" s="387"/>
      <c r="F249" s="387"/>
      <c r="G249" s="388"/>
      <c r="H249" s="389" t="s">
        <v>1806</v>
      </c>
      <c r="I249" s="384"/>
      <c r="J249" s="385" t="s">
        <v>1806</v>
      </c>
      <c r="K249" s="386"/>
      <c r="L249" s="387"/>
      <c r="M249" s="387"/>
      <c r="N249" s="387"/>
      <c r="O249" s="388"/>
      <c r="P249" s="389" t="s">
        <v>1806</v>
      </c>
    </row>
    <row r="250" spans="1:16" ht="15.75" thickBot="1">
      <c r="A250" s="384"/>
      <c r="B250" s="385" t="s">
        <v>1807</v>
      </c>
      <c r="C250" s="386"/>
      <c r="D250" s="387"/>
      <c r="E250" s="387"/>
      <c r="F250" s="387"/>
      <c r="G250" s="388"/>
      <c r="H250" s="389" t="s">
        <v>1807</v>
      </c>
      <c r="I250" s="384"/>
      <c r="J250" s="385" t="s">
        <v>1807</v>
      </c>
      <c r="K250" s="386"/>
      <c r="L250" s="387"/>
      <c r="M250" s="387"/>
      <c r="N250" s="387"/>
      <c r="O250" s="388"/>
      <c r="P250" s="389" t="s">
        <v>1807</v>
      </c>
    </row>
    <row r="251" spans="1:16" ht="15.75" thickBot="1">
      <c r="A251" s="384"/>
      <c r="B251" s="385" t="s">
        <v>1808</v>
      </c>
      <c r="C251" s="386"/>
      <c r="D251" s="387"/>
      <c r="E251" s="387"/>
      <c r="F251" s="387"/>
      <c r="G251" s="388"/>
      <c r="H251" s="389" t="s">
        <v>1808</v>
      </c>
      <c r="I251" s="384"/>
      <c r="J251" s="385" t="s">
        <v>1808</v>
      </c>
      <c r="K251" s="386"/>
      <c r="L251" s="387"/>
      <c r="M251" s="387"/>
      <c r="N251" s="387"/>
      <c r="O251" s="388"/>
      <c r="P251" s="389" t="s">
        <v>1808</v>
      </c>
    </row>
    <row r="252" spans="1:16" ht="15.75" thickBot="1">
      <c r="A252" s="384"/>
      <c r="B252" s="385" t="s">
        <v>1809</v>
      </c>
      <c r="C252" s="386"/>
      <c r="D252" s="387"/>
      <c r="E252" s="387"/>
      <c r="F252" s="387"/>
      <c r="G252" s="388"/>
      <c r="H252" s="389" t="s">
        <v>1809</v>
      </c>
      <c r="I252" s="384"/>
      <c r="J252" s="385" t="s">
        <v>1809</v>
      </c>
      <c r="K252" s="386"/>
      <c r="L252" s="387"/>
      <c r="M252" s="387"/>
      <c r="N252" s="387"/>
      <c r="O252" s="388"/>
      <c r="P252" s="389" t="s">
        <v>1809</v>
      </c>
    </row>
    <row r="253" spans="1:16" ht="15.75" thickBot="1">
      <c r="A253" s="384"/>
      <c r="B253" s="385" t="s">
        <v>1810</v>
      </c>
      <c r="C253" s="386"/>
      <c r="D253" s="387"/>
      <c r="E253" s="387"/>
      <c r="F253" s="387"/>
      <c r="G253" s="388"/>
      <c r="H253" s="389" t="s">
        <v>1810</v>
      </c>
      <c r="I253" s="384"/>
      <c r="J253" s="385" t="s">
        <v>1810</v>
      </c>
      <c r="K253" s="386"/>
      <c r="L253" s="387"/>
      <c r="M253" s="387"/>
      <c r="N253" s="387"/>
      <c r="O253" s="388"/>
      <c r="P253" s="389" t="s">
        <v>1810</v>
      </c>
    </row>
    <row r="254" spans="1:16" ht="15.75" thickBot="1">
      <c r="A254" s="384"/>
      <c r="B254" s="385" t="s">
        <v>1811</v>
      </c>
      <c r="C254" s="386"/>
      <c r="D254" s="387"/>
      <c r="E254" s="387"/>
      <c r="F254" s="387"/>
      <c r="G254" s="388"/>
      <c r="H254" s="389" t="s">
        <v>1811</v>
      </c>
      <c r="I254" s="384"/>
      <c r="J254" s="385" t="s">
        <v>1811</v>
      </c>
      <c r="K254" s="386"/>
      <c r="L254" s="387"/>
      <c r="M254" s="387"/>
      <c r="N254" s="387"/>
      <c r="O254" s="388"/>
      <c r="P254" s="389" t="s">
        <v>1811</v>
      </c>
    </row>
    <row r="255" spans="1:16" ht="15.75" thickBot="1">
      <c r="A255" s="384"/>
      <c r="B255" s="385" t="s">
        <v>1812</v>
      </c>
      <c r="C255" s="386"/>
      <c r="D255" s="387"/>
      <c r="E255" s="387"/>
      <c r="F255" s="387"/>
      <c r="G255" s="388"/>
      <c r="H255" s="389" t="s">
        <v>1812</v>
      </c>
      <c r="I255" s="384"/>
      <c r="J255" s="385" t="s">
        <v>1812</v>
      </c>
      <c r="K255" s="386"/>
      <c r="L255" s="387"/>
      <c r="M255" s="387"/>
      <c r="N255" s="387"/>
      <c r="O255" s="388"/>
      <c r="P255" s="389" t="s">
        <v>1812</v>
      </c>
    </row>
    <row r="256" spans="1:16" ht="15.75" thickBot="1">
      <c r="A256" s="384"/>
      <c r="B256" s="385" t="s">
        <v>1813</v>
      </c>
      <c r="C256" s="386"/>
      <c r="D256" s="387"/>
      <c r="E256" s="387"/>
      <c r="F256" s="387"/>
      <c r="G256" s="388"/>
      <c r="H256" s="389" t="s">
        <v>1813</v>
      </c>
      <c r="I256" s="384"/>
      <c r="J256" s="385" t="s">
        <v>1813</v>
      </c>
      <c r="K256" s="386"/>
      <c r="L256" s="387"/>
      <c r="M256" s="387"/>
      <c r="N256" s="387"/>
      <c r="O256" s="388"/>
      <c r="P256" s="389" t="s">
        <v>1813</v>
      </c>
    </row>
    <row r="257" spans="1:16" ht="15.75" thickBot="1">
      <c r="A257" s="384"/>
      <c r="B257" s="385" t="s">
        <v>1814</v>
      </c>
      <c r="C257" s="386"/>
      <c r="D257" s="387"/>
      <c r="E257" s="387"/>
      <c r="F257" s="387"/>
      <c r="G257" s="388"/>
      <c r="H257" s="389" t="s">
        <v>1814</v>
      </c>
      <c r="I257" s="384"/>
      <c r="J257" s="385" t="s">
        <v>1814</v>
      </c>
      <c r="K257" s="386"/>
      <c r="L257" s="387"/>
      <c r="M257" s="387"/>
      <c r="N257" s="387"/>
      <c r="O257" s="388"/>
      <c r="P257" s="389" t="s">
        <v>1814</v>
      </c>
    </row>
    <row r="258" spans="1:16" ht="26.25" thickBot="1">
      <c r="A258" s="390"/>
      <c r="B258" s="385" t="s">
        <v>1815</v>
      </c>
      <c r="C258" s="386"/>
      <c r="D258" s="387"/>
      <c r="E258" s="387"/>
      <c r="F258" s="387"/>
      <c r="G258" s="391"/>
      <c r="H258" s="389" t="s">
        <v>1816</v>
      </c>
      <c r="I258" s="390"/>
      <c r="J258" s="385" t="s">
        <v>1815</v>
      </c>
      <c r="K258" s="386"/>
      <c r="L258" s="387"/>
      <c r="M258" s="387"/>
      <c r="N258" s="387"/>
      <c r="O258" s="391"/>
      <c r="P258" s="389" t="s">
        <v>1816</v>
      </c>
    </row>
    <row r="259" spans="1:16" ht="15.75" thickBot="1">
      <c r="A259" s="392" t="s">
        <v>2131</v>
      </c>
      <c r="B259" s="385" t="s">
        <v>1803</v>
      </c>
      <c r="C259" s="386"/>
      <c r="D259" s="387"/>
      <c r="E259" s="387"/>
      <c r="F259" s="387"/>
      <c r="G259" s="393" t="s">
        <v>2132</v>
      </c>
      <c r="H259" s="389" t="s">
        <v>1803</v>
      </c>
      <c r="I259" s="392" t="s">
        <v>2131</v>
      </c>
      <c r="J259" s="385" t="s">
        <v>1803</v>
      </c>
      <c r="K259" s="386"/>
      <c r="L259" s="387"/>
      <c r="M259" s="387"/>
      <c r="N259" s="387"/>
      <c r="O259" s="393" t="s">
        <v>2132</v>
      </c>
      <c r="P259" s="389" t="s">
        <v>1803</v>
      </c>
    </row>
    <row r="260" spans="1:16" ht="15.75" thickBot="1">
      <c r="A260" s="384"/>
      <c r="B260" s="385" t="s">
        <v>1805</v>
      </c>
      <c r="C260" s="386"/>
      <c r="D260" s="387"/>
      <c r="E260" s="387"/>
      <c r="F260" s="387"/>
      <c r="G260" s="388"/>
      <c r="H260" s="389" t="s">
        <v>1805</v>
      </c>
      <c r="I260" s="384"/>
      <c r="J260" s="385" t="s">
        <v>1805</v>
      </c>
      <c r="K260" s="386"/>
      <c r="L260" s="387"/>
      <c r="M260" s="387"/>
      <c r="N260" s="387"/>
      <c r="O260" s="388"/>
      <c r="P260" s="389" t="s">
        <v>1805</v>
      </c>
    </row>
    <row r="261" spans="1:16" ht="15.75" thickBot="1">
      <c r="A261" s="384"/>
      <c r="B261" s="385" t="s">
        <v>1806</v>
      </c>
      <c r="C261" s="386"/>
      <c r="D261" s="387"/>
      <c r="E261" s="387"/>
      <c r="F261" s="387"/>
      <c r="G261" s="388"/>
      <c r="H261" s="389" t="s">
        <v>1806</v>
      </c>
      <c r="I261" s="384"/>
      <c r="J261" s="385" t="s">
        <v>1806</v>
      </c>
      <c r="K261" s="386"/>
      <c r="L261" s="387"/>
      <c r="M261" s="387"/>
      <c r="N261" s="387"/>
      <c r="O261" s="388"/>
      <c r="P261" s="389" t="s">
        <v>1806</v>
      </c>
    </row>
    <row r="262" spans="1:16" ht="15.75" thickBot="1">
      <c r="A262" s="384"/>
      <c r="B262" s="385" t="s">
        <v>1807</v>
      </c>
      <c r="C262" s="386"/>
      <c r="D262" s="387"/>
      <c r="E262" s="387"/>
      <c r="F262" s="387"/>
      <c r="G262" s="388"/>
      <c r="H262" s="389" t="s">
        <v>1807</v>
      </c>
      <c r="I262" s="384"/>
      <c r="J262" s="385" t="s">
        <v>1807</v>
      </c>
      <c r="K262" s="386"/>
      <c r="L262" s="387"/>
      <c r="M262" s="387"/>
      <c r="N262" s="387"/>
      <c r="O262" s="388"/>
      <c r="P262" s="389" t="s">
        <v>1807</v>
      </c>
    </row>
    <row r="263" spans="1:16" ht="15.75" thickBot="1">
      <c r="A263" s="384"/>
      <c r="B263" s="385" t="s">
        <v>1808</v>
      </c>
      <c r="C263" s="386"/>
      <c r="D263" s="387"/>
      <c r="E263" s="387"/>
      <c r="F263" s="387"/>
      <c r="G263" s="388"/>
      <c r="H263" s="389" t="s">
        <v>1808</v>
      </c>
      <c r="I263" s="384"/>
      <c r="J263" s="385" t="s">
        <v>1808</v>
      </c>
      <c r="K263" s="386"/>
      <c r="L263" s="387"/>
      <c r="M263" s="387"/>
      <c r="N263" s="387"/>
      <c r="O263" s="388"/>
      <c r="P263" s="389" t="s">
        <v>1808</v>
      </c>
    </row>
    <row r="264" spans="1:16" ht="15.75" thickBot="1">
      <c r="A264" s="384"/>
      <c r="B264" s="385" t="s">
        <v>1809</v>
      </c>
      <c r="C264" s="386"/>
      <c r="D264" s="387"/>
      <c r="E264" s="387"/>
      <c r="F264" s="387"/>
      <c r="G264" s="388"/>
      <c r="H264" s="389" t="s">
        <v>1809</v>
      </c>
      <c r="I264" s="384"/>
      <c r="J264" s="385" t="s">
        <v>1809</v>
      </c>
      <c r="K264" s="386"/>
      <c r="L264" s="387"/>
      <c r="M264" s="387"/>
      <c r="N264" s="387"/>
      <c r="O264" s="388"/>
      <c r="P264" s="389" t="s">
        <v>1809</v>
      </c>
    </row>
    <row r="265" spans="1:16" ht="15.75" thickBot="1">
      <c r="A265" s="384"/>
      <c r="B265" s="385" t="s">
        <v>1810</v>
      </c>
      <c r="C265" s="386"/>
      <c r="D265" s="387"/>
      <c r="E265" s="387"/>
      <c r="F265" s="387"/>
      <c r="G265" s="388"/>
      <c r="H265" s="389" t="s">
        <v>1810</v>
      </c>
      <c r="I265" s="384"/>
      <c r="J265" s="385" t="s">
        <v>1810</v>
      </c>
      <c r="K265" s="386"/>
      <c r="L265" s="387"/>
      <c r="M265" s="387"/>
      <c r="N265" s="387"/>
      <c r="O265" s="388"/>
      <c r="P265" s="389" t="s">
        <v>1810</v>
      </c>
    </row>
    <row r="266" spans="1:16" ht="15.75" thickBot="1">
      <c r="A266" s="384"/>
      <c r="B266" s="385" t="s">
        <v>1811</v>
      </c>
      <c r="C266" s="386"/>
      <c r="D266" s="387"/>
      <c r="E266" s="387"/>
      <c r="F266" s="387"/>
      <c r="G266" s="388"/>
      <c r="H266" s="389" t="s">
        <v>1811</v>
      </c>
      <c r="I266" s="384"/>
      <c r="J266" s="385" t="s">
        <v>1811</v>
      </c>
      <c r="K266" s="386"/>
      <c r="L266" s="387"/>
      <c r="M266" s="387"/>
      <c r="N266" s="387"/>
      <c r="O266" s="388"/>
      <c r="P266" s="389" t="s">
        <v>1811</v>
      </c>
    </row>
    <row r="267" spans="1:16" ht="15.75" thickBot="1">
      <c r="A267" s="384"/>
      <c r="B267" s="385" t="s">
        <v>1812</v>
      </c>
      <c r="C267" s="386"/>
      <c r="D267" s="387"/>
      <c r="E267" s="387"/>
      <c r="F267" s="387"/>
      <c r="G267" s="388"/>
      <c r="H267" s="389" t="s">
        <v>1812</v>
      </c>
      <c r="I267" s="384"/>
      <c r="J267" s="385" t="s">
        <v>1812</v>
      </c>
      <c r="K267" s="386"/>
      <c r="L267" s="387"/>
      <c r="M267" s="387"/>
      <c r="N267" s="387"/>
      <c r="O267" s="388"/>
      <c r="P267" s="389" t="s">
        <v>1812</v>
      </c>
    </row>
    <row r="268" spans="1:16" ht="15.75" thickBot="1">
      <c r="A268" s="384"/>
      <c r="B268" s="385" t="s">
        <v>1813</v>
      </c>
      <c r="C268" s="386"/>
      <c r="D268" s="387"/>
      <c r="E268" s="387"/>
      <c r="F268" s="387"/>
      <c r="G268" s="388"/>
      <c r="H268" s="389" t="s">
        <v>1813</v>
      </c>
      <c r="I268" s="384"/>
      <c r="J268" s="385" t="s">
        <v>1813</v>
      </c>
      <c r="K268" s="386"/>
      <c r="L268" s="387"/>
      <c r="M268" s="387"/>
      <c r="N268" s="387"/>
      <c r="O268" s="388"/>
      <c r="P268" s="389" t="s">
        <v>1813</v>
      </c>
    </row>
    <row r="269" spans="1:16" ht="15.75" thickBot="1">
      <c r="A269" s="384"/>
      <c r="B269" s="385" t="s">
        <v>1814</v>
      </c>
      <c r="C269" s="386"/>
      <c r="D269" s="387"/>
      <c r="E269" s="387"/>
      <c r="F269" s="387"/>
      <c r="G269" s="388"/>
      <c r="H269" s="389" t="s">
        <v>1814</v>
      </c>
      <c r="I269" s="384"/>
      <c r="J269" s="385" t="s">
        <v>1814</v>
      </c>
      <c r="K269" s="386"/>
      <c r="L269" s="387"/>
      <c r="M269" s="387"/>
      <c r="N269" s="387"/>
      <c r="O269" s="388"/>
      <c r="P269" s="389" t="s">
        <v>1814</v>
      </c>
    </row>
    <row r="270" spans="1:16" ht="26.25" thickBot="1">
      <c r="A270" s="390"/>
      <c r="B270" s="385" t="s">
        <v>1815</v>
      </c>
      <c r="C270" s="386"/>
      <c r="D270" s="387"/>
      <c r="E270" s="387"/>
      <c r="F270" s="387"/>
      <c r="G270" s="391"/>
      <c r="H270" s="389" t="s">
        <v>1816</v>
      </c>
      <c r="I270" s="390"/>
      <c r="J270" s="385" t="s">
        <v>1815</v>
      </c>
      <c r="K270" s="386"/>
      <c r="L270" s="387"/>
      <c r="M270" s="387"/>
      <c r="N270" s="387"/>
      <c r="O270" s="391"/>
      <c r="P270" s="389" t="s">
        <v>1816</v>
      </c>
    </row>
    <row r="271" spans="1:16" ht="15.75" thickBot="1">
      <c r="A271" s="392" t="s">
        <v>2133</v>
      </c>
      <c r="B271" s="385" t="s">
        <v>1803</v>
      </c>
      <c r="C271" s="386"/>
      <c r="D271" s="387"/>
      <c r="E271" s="387"/>
      <c r="F271" s="387"/>
      <c r="G271" s="393" t="s">
        <v>2134</v>
      </c>
      <c r="H271" s="389" t="s">
        <v>1803</v>
      </c>
      <c r="I271" s="392" t="s">
        <v>2133</v>
      </c>
      <c r="J271" s="385" t="s">
        <v>1803</v>
      </c>
      <c r="K271" s="386"/>
      <c r="L271" s="387"/>
      <c r="M271" s="387"/>
      <c r="N271" s="387"/>
      <c r="O271" s="393" t="s">
        <v>2134</v>
      </c>
      <c r="P271" s="389" t="s">
        <v>1803</v>
      </c>
    </row>
    <row r="272" spans="1:16" ht="15.75" thickBot="1">
      <c r="A272" s="384"/>
      <c r="B272" s="385" t="s">
        <v>1805</v>
      </c>
      <c r="C272" s="386"/>
      <c r="D272" s="387"/>
      <c r="E272" s="387"/>
      <c r="F272" s="387"/>
      <c r="G272" s="388"/>
      <c r="H272" s="389" t="s">
        <v>1805</v>
      </c>
      <c r="I272" s="384"/>
      <c r="J272" s="385" t="s">
        <v>1805</v>
      </c>
      <c r="K272" s="386"/>
      <c r="L272" s="387"/>
      <c r="M272" s="387"/>
      <c r="N272" s="387"/>
      <c r="O272" s="388"/>
      <c r="P272" s="389" t="s">
        <v>1805</v>
      </c>
    </row>
    <row r="273" spans="1:16" ht="15.75" thickBot="1">
      <c r="A273" s="384"/>
      <c r="B273" s="385" t="s">
        <v>1806</v>
      </c>
      <c r="C273" s="386"/>
      <c r="D273" s="387"/>
      <c r="E273" s="387"/>
      <c r="F273" s="387"/>
      <c r="G273" s="388"/>
      <c r="H273" s="389" t="s">
        <v>1806</v>
      </c>
      <c r="I273" s="384"/>
      <c r="J273" s="385" t="s">
        <v>1806</v>
      </c>
      <c r="K273" s="386"/>
      <c r="L273" s="387"/>
      <c r="M273" s="387"/>
      <c r="N273" s="387"/>
      <c r="O273" s="388"/>
      <c r="P273" s="389" t="s">
        <v>1806</v>
      </c>
    </row>
    <row r="274" spans="1:16" ht="15.75" thickBot="1">
      <c r="A274" s="384"/>
      <c r="B274" s="385" t="s">
        <v>1807</v>
      </c>
      <c r="C274" s="386"/>
      <c r="D274" s="387"/>
      <c r="E274" s="387"/>
      <c r="F274" s="387"/>
      <c r="G274" s="388"/>
      <c r="H274" s="389" t="s">
        <v>1807</v>
      </c>
      <c r="I274" s="384"/>
      <c r="J274" s="385" t="s">
        <v>1807</v>
      </c>
      <c r="K274" s="386"/>
      <c r="L274" s="387"/>
      <c r="M274" s="387"/>
      <c r="N274" s="387"/>
      <c r="O274" s="388"/>
      <c r="P274" s="389" t="s">
        <v>1807</v>
      </c>
    </row>
    <row r="275" spans="1:16" ht="15.75" thickBot="1">
      <c r="A275" s="384"/>
      <c r="B275" s="385" t="s">
        <v>1808</v>
      </c>
      <c r="C275" s="386"/>
      <c r="D275" s="387"/>
      <c r="E275" s="387"/>
      <c r="F275" s="387"/>
      <c r="G275" s="388"/>
      <c r="H275" s="389" t="s">
        <v>1808</v>
      </c>
      <c r="I275" s="384"/>
      <c r="J275" s="385" t="s">
        <v>1808</v>
      </c>
      <c r="K275" s="386"/>
      <c r="L275" s="387"/>
      <c r="M275" s="387"/>
      <c r="N275" s="387"/>
      <c r="O275" s="388"/>
      <c r="P275" s="389" t="s">
        <v>1808</v>
      </c>
    </row>
    <row r="276" spans="1:16" ht="15.75" thickBot="1">
      <c r="A276" s="384"/>
      <c r="B276" s="385" t="s">
        <v>1809</v>
      </c>
      <c r="C276" s="386"/>
      <c r="D276" s="387"/>
      <c r="E276" s="387"/>
      <c r="F276" s="387"/>
      <c r="G276" s="388"/>
      <c r="H276" s="389" t="s">
        <v>1809</v>
      </c>
      <c r="I276" s="384"/>
      <c r="J276" s="385" t="s">
        <v>1809</v>
      </c>
      <c r="K276" s="386"/>
      <c r="L276" s="387"/>
      <c r="M276" s="387"/>
      <c r="N276" s="387"/>
      <c r="O276" s="388"/>
      <c r="P276" s="389" t="s">
        <v>1809</v>
      </c>
    </row>
    <row r="277" spans="1:16" ht="15.75" thickBot="1">
      <c r="A277" s="384"/>
      <c r="B277" s="385" t="s">
        <v>1810</v>
      </c>
      <c r="C277" s="386"/>
      <c r="D277" s="387"/>
      <c r="E277" s="387"/>
      <c r="F277" s="387"/>
      <c r="G277" s="388"/>
      <c r="H277" s="389" t="s">
        <v>1810</v>
      </c>
      <c r="I277" s="384"/>
      <c r="J277" s="385" t="s">
        <v>1810</v>
      </c>
      <c r="K277" s="386"/>
      <c r="L277" s="387"/>
      <c r="M277" s="387"/>
      <c r="N277" s="387"/>
      <c r="O277" s="388"/>
      <c r="P277" s="389" t="s">
        <v>1810</v>
      </c>
    </row>
    <row r="278" spans="1:16" ht="15.75" thickBot="1">
      <c r="A278" s="384"/>
      <c r="B278" s="385" t="s">
        <v>1811</v>
      </c>
      <c r="C278" s="386"/>
      <c r="D278" s="387"/>
      <c r="E278" s="387"/>
      <c r="F278" s="387"/>
      <c r="G278" s="388"/>
      <c r="H278" s="389" t="s">
        <v>1811</v>
      </c>
      <c r="I278" s="384"/>
      <c r="J278" s="385" t="s">
        <v>1811</v>
      </c>
      <c r="K278" s="386"/>
      <c r="L278" s="387"/>
      <c r="M278" s="387"/>
      <c r="N278" s="387"/>
      <c r="O278" s="388"/>
      <c r="P278" s="389" t="s">
        <v>1811</v>
      </c>
    </row>
    <row r="279" spans="1:16" ht="15.75" thickBot="1">
      <c r="A279" s="384"/>
      <c r="B279" s="385" t="s">
        <v>1812</v>
      </c>
      <c r="C279" s="386"/>
      <c r="D279" s="387"/>
      <c r="E279" s="387"/>
      <c r="F279" s="387"/>
      <c r="G279" s="388"/>
      <c r="H279" s="389" t="s">
        <v>1812</v>
      </c>
      <c r="I279" s="384"/>
      <c r="J279" s="385" t="s">
        <v>1812</v>
      </c>
      <c r="K279" s="386"/>
      <c r="L279" s="387"/>
      <c r="M279" s="387"/>
      <c r="N279" s="387"/>
      <c r="O279" s="388"/>
      <c r="P279" s="389" t="s">
        <v>1812</v>
      </c>
    </row>
    <row r="280" spans="1:16" ht="15.75" thickBot="1">
      <c r="A280" s="384"/>
      <c r="B280" s="385" t="s">
        <v>1813</v>
      </c>
      <c r="C280" s="386"/>
      <c r="D280" s="387"/>
      <c r="E280" s="387"/>
      <c r="F280" s="387"/>
      <c r="G280" s="388"/>
      <c r="H280" s="389" t="s">
        <v>1813</v>
      </c>
      <c r="I280" s="384"/>
      <c r="J280" s="385" t="s">
        <v>1813</v>
      </c>
      <c r="K280" s="386"/>
      <c r="L280" s="387"/>
      <c r="M280" s="387"/>
      <c r="N280" s="387"/>
      <c r="O280" s="388"/>
      <c r="P280" s="389" t="s">
        <v>1813</v>
      </c>
    </row>
    <row r="281" spans="1:16" ht="15.75" thickBot="1">
      <c r="A281" s="384"/>
      <c r="B281" s="385" t="s">
        <v>1814</v>
      </c>
      <c r="C281" s="386"/>
      <c r="D281" s="387"/>
      <c r="E281" s="387"/>
      <c r="F281" s="387"/>
      <c r="G281" s="388"/>
      <c r="H281" s="389" t="s">
        <v>1814</v>
      </c>
      <c r="I281" s="384"/>
      <c r="J281" s="385" t="s">
        <v>1814</v>
      </c>
      <c r="K281" s="386"/>
      <c r="L281" s="387"/>
      <c r="M281" s="387"/>
      <c r="N281" s="387"/>
      <c r="O281" s="388"/>
      <c r="P281" s="389" t="s">
        <v>1814</v>
      </c>
    </row>
    <row r="282" spans="1:16" ht="26.25" thickBot="1">
      <c r="A282" s="390"/>
      <c r="B282" s="385" t="s">
        <v>1815</v>
      </c>
      <c r="C282" s="386"/>
      <c r="D282" s="387"/>
      <c r="E282" s="387"/>
      <c r="F282" s="387"/>
      <c r="G282" s="391"/>
      <c r="H282" s="389" t="s">
        <v>1816</v>
      </c>
      <c r="I282" s="390"/>
      <c r="J282" s="385" t="s">
        <v>1815</v>
      </c>
      <c r="K282" s="386"/>
      <c r="L282" s="387"/>
      <c r="M282" s="387"/>
      <c r="N282" s="387"/>
      <c r="O282" s="391"/>
      <c r="P282" s="389" t="s">
        <v>1816</v>
      </c>
    </row>
    <row r="283" spans="1:16" ht="17.25" customHeight="1">
      <c r="A283" s="394" t="s">
        <v>19</v>
      </c>
      <c r="B283" s="394"/>
      <c r="C283" s="394"/>
      <c r="D283" s="394"/>
      <c r="E283" s="394"/>
      <c r="F283" s="394"/>
      <c r="G283" s="394"/>
      <c r="H283" s="394"/>
      <c r="I283" s="395" t="s">
        <v>106</v>
      </c>
      <c r="J283" s="395"/>
      <c r="K283" s="395"/>
      <c r="L283" s="395"/>
      <c r="M283" s="395"/>
      <c r="N283" s="395"/>
      <c r="O283" s="395"/>
      <c r="P283" s="395"/>
    </row>
    <row r="284" spans="1:16" ht="17.25" customHeight="1">
      <c r="A284" s="379" t="s">
        <v>2150</v>
      </c>
      <c r="B284" s="379"/>
      <c r="C284" s="379"/>
      <c r="D284" s="379"/>
      <c r="E284" s="380" t="s">
        <v>2151</v>
      </c>
      <c r="F284" s="380"/>
      <c r="G284" s="380"/>
      <c r="H284" s="380"/>
      <c r="I284" s="379" t="s">
        <v>2150</v>
      </c>
      <c r="J284" s="379"/>
      <c r="K284" s="379"/>
      <c r="L284" s="379"/>
      <c r="M284" s="380" t="s">
        <v>2151</v>
      </c>
      <c r="N284" s="380"/>
      <c r="O284" s="380"/>
      <c r="P284" s="380"/>
    </row>
    <row r="285" spans="1:16">
      <c r="A285" s="381"/>
      <c r="B285" s="381"/>
      <c r="C285" s="382" t="s">
        <v>2152</v>
      </c>
      <c r="D285" s="382"/>
      <c r="E285" s="382"/>
      <c r="F285" s="382"/>
      <c r="G285" s="381"/>
      <c r="H285" s="381"/>
      <c r="I285" s="381"/>
      <c r="J285" s="381"/>
      <c r="K285" s="382" t="s">
        <v>2152</v>
      </c>
      <c r="L285" s="382"/>
      <c r="M285" s="382"/>
      <c r="N285" s="382"/>
      <c r="O285" s="381"/>
      <c r="P285" s="381"/>
    </row>
    <row r="286" spans="1:16" ht="23.25">
      <c r="A286" s="381"/>
      <c r="B286" s="381"/>
      <c r="C286" s="383" t="s">
        <v>2153</v>
      </c>
      <c r="D286" s="383" t="s">
        <v>2158</v>
      </c>
      <c r="E286" s="383" t="s">
        <v>2159</v>
      </c>
      <c r="F286" s="383" t="s">
        <v>2160</v>
      </c>
      <c r="G286" s="381"/>
      <c r="H286" s="381"/>
      <c r="I286" s="381"/>
      <c r="J286" s="381"/>
      <c r="K286" s="383" t="s">
        <v>2153</v>
      </c>
      <c r="L286" s="383" t="s">
        <v>2158</v>
      </c>
      <c r="M286" s="383" t="s">
        <v>2159</v>
      </c>
      <c r="N286" s="383" t="s">
        <v>2160</v>
      </c>
      <c r="O286" s="381"/>
      <c r="P286" s="381"/>
    </row>
    <row r="287" spans="1:16" ht="15.75" thickBot="1">
      <c r="A287" s="385" t="s">
        <v>2135</v>
      </c>
      <c r="B287" s="385" t="s">
        <v>1817</v>
      </c>
      <c r="C287" s="386"/>
      <c r="D287" s="387"/>
      <c r="E287" s="387"/>
      <c r="F287" s="387"/>
      <c r="G287" s="389" t="s">
        <v>2136</v>
      </c>
      <c r="H287" s="389" t="s">
        <v>1818</v>
      </c>
      <c r="I287" s="385" t="s">
        <v>2135</v>
      </c>
      <c r="J287" s="385" t="s">
        <v>1817</v>
      </c>
      <c r="K287" s="386"/>
      <c r="L287" s="387"/>
      <c r="M287" s="387"/>
      <c r="N287" s="387"/>
      <c r="O287" s="389" t="s">
        <v>2136</v>
      </c>
      <c r="P287" s="389" t="s">
        <v>1818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B1B8090-C5E3-46BB-A34C-D2261FEF5A0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C192EEA-CA0D-4168-8A69-5D5983486E4E}">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110</v>
      </c>
      <c r="B1" t="s">
        <v>112</v>
      </c>
      <c r="C1" t="s">
        <v>112</v>
      </c>
      <c r="D1" t="s">
        <v>114</v>
      </c>
      <c r="E1" t="s">
        <v>117</v>
      </c>
      <c r="F1" t="s">
        <v>123</v>
      </c>
      <c r="G1" t="s">
        <v>127</v>
      </c>
      <c r="H1" t="s">
        <v>133</v>
      </c>
      <c r="I1" t="s">
        <v>137</v>
      </c>
      <c r="J1" t="s">
        <v>139</v>
      </c>
      <c r="K1" t="s">
        <v>144</v>
      </c>
      <c r="L1" t="s">
        <v>273</v>
      </c>
      <c r="M1" t="s">
        <v>342</v>
      </c>
      <c r="N1" t="s">
        <v>377</v>
      </c>
      <c r="O1" t="s">
        <v>389</v>
      </c>
      <c r="P1" t="s">
        <v>112</v>
      </c>
      <c r="Q1" t="s">
        <v>393</v>
      </c>
      <c r="R1" t="s">
        <v>397</v>
      </c>
      <c r="S1" t="s">
        <v>405</v>
      </c>
      <c r="T1" t="s">
        <v>407</v>
      </c>
    </row>
    <row r="2" spans="1:20">
      <c r="A2" t="s">
        <v>111</v>
      </c>
      <c r="B2" t="s">
        <v>113</v>
      </c>
      <c r="C2" t="s">
        <v>113</v>
      </c>
      <c r="D2" t="s">
        <v>115</v>
      </c>
      <c r="E2" t="s">
        <v>118</v>
      </c>
      <c r="F2" t="s">
        <v>124</v>
      </c>
      <c r="G2" t="s">
        <v>128</v>
      </c>
      <c r="H2" t="s">
        <v>134</v>
      </c>
      <c r="I2" t="s">
        <v>138</v>
      </c>
      <c r="J2" t="s">
        <v>140</v>
      </c>
      <c r="K2" t="s">
        <v>145</v>
      </c>
      <c r="L2" t="s">
        <v>274</v>
      </c>
      <c r="M2" t="s">
        <v>343</v>
      </c>
      <c r="N2" t="s">
        <v>378</v>
      </c>
      <c r="O2" t="s">
        <v>390</v>
      </c>
      <c r="P2" t="s">
        <v>113</v>
      </c>
      <c r="Q2" t="s">
        <v>394</v>
      </c>
      <c r="R2" t="s">
        <v>398</v>
      </c>
      <c r="S2" t="s">
        <v>406</v>
      </c>
      <c r="T2" t="s">
        <v>408</v>
      </c>
    </row>
    <row r="3" spans="1:20">
      <c r="D3" t="s">
        <v>116</v>
      </c>
      <c r="E3" t="s">
        <v>119</v>
      </c>
      <c r="F3" t="s">
        <v>125</v>
      </c>
      <c r="G3" t="s">
        <v>129</v>
      </c>
      <c r="H3" t="s">
        <v>135</v>
      </c>
      <c r="J3" t="s">
        <v>141</v>
      </c>
      <c r="K3" t="s">
        <v>146</v>
      </c>
      <c r="L3" t="s">
        <v>275</v>
      </c>
      <c r="M3" t="s">
        <v>344</v>
      </c>
      <c r="N3" t="s">
        <v>379</v>
      </c>
      <c r="O3" t="s">
        <v>391</v>
      </c>
      <c r="Q3" t="s">
        <v>395</v>
      </c>
      <c r="R3" t="s">
        <v>399</v>
      </c>
      <c r="T3" t="s">
        <v>409</v>
      </c>
    </row>
    <row r="4" spans="1:20">
      <c r="E4" t="s">
        <v>120</v>
      </c>
      <c r="F4" t="s">
        <v>126</v>
      </c>
      <c r="G4" t="s">
        <v>130</v>
      </c>
      <c r="H4" t="s">
        <v>136</v>
      </c>
      <c r="J4" t="s">
        <v>142</v>
      </c>
      <c r="K4" t="s">
        <v>147</v>
      </c>
      <c r="L4" t="s">
        <v>276</v>
      </c>
      <c r="M4" t="s">
        <v>345</v>
      </c>
      <c r="N4" t="s">
        <v>380</v>
      </c>
      <c r="O4" t="s">
        <v>392</v>
      </c>
      <c r="Q4" t="s">
        <v>396</v>
      </c>
      <c r="R4" t="s">
        <v>400</v>
      </c>
      <c r="T4" t="s">
        <v>410</v>
      </c>
    </row>
    <row r="5" spans="1:20">
      <c r="E5" t="s">
        <v>121</v>
      </c>
      <c r="G5" t="s">
        <v>131</v>
      </c>
      <c r="J5" t="s">
        <v>143</v>
      </c>
      <c r="K5" t="s">
        <v>148</v>
      </c>
      <c r="L5" t="s">
        <v>277</v>
      </c>
      <c r="M5" t="s">
        <v>346</v>
      </c>
      <c r="N5" t="s">
        <v>381</v>
      </c>
      <c r="R5" t="s">
        <v>401</v>
      </c>
      <c r="T5" t="s">
        <v>411</v>
      </c>
    </row>
    <row r="6" spans="1:20">
      <c r="E6" t="s">
        <v>122</v>
      </c>
      <c r="G6" t="s">
        <v>132</v>
      </c>
      <c r="K6" t="s">
        <v>149</v>
      </c>
      <c r="L6" t="s">
        <v>278</v>
      </c>
      <c r="M6" t="s">
        <v>347</v>
      </c>
      <c r="N6" t="s">
        <v>382</v>
      </c>
      <c r="R6" t="s">
        <v>402</v>
      </c>
      <c r="T6" t="s">
        <v>412</v>
      </c>
    </row>
    <row r="7" spans="1:20">
      <c r="K7" t="s">
        <v>150</v>
      </c>
      <c r="L7" t="s">
        <v>279</v>
      </c>
      <c r="M7" t="s">
        <v>348</v>
      </c>
      <c r="N7" t="s">
        <v>383</v>
      </c>
      <c r="R7" t="s">
        <v>403</v>
      </c>
      <c r="T7" t="s">
        <v>413</v>
      </c>
    </row>
    <row r="8" spans="1:20">
      <c r="K8" t="s">
        <v>151</v>
      </c>
      <c r="L8" t="s">
        <v>280</v>
      </c>
      <c r="M8" t="s">
        <v>349</v>
      </c>
      <c r="N8" t="s">
        <v>384</v>
      </c>
      <c r="R8" t="s">
        <v>404</v>
      </c>
      <c r="T8" t="s">
        <v>414</v>
      </c>
    </row>
    <row r="9" spans="1:20">
      <c r="K9" t="s">
        <v>152</v>
      </c>
      <c r="L9" t="s">
        <v>281</v>
      </c>
      <c r="M9" t="s">
        <v>350</v>
      </c>
      <c r="N9" t="s">
        <v>385</v>
      </c>
    </row>
    <row r="10" spans="1:20">
      <c r="K10" t="s">
        <v>153</v>
      </c>
      <c r="L10" t="s">
        <v>282</v>
      </c>
      <c r="M10" t="s">
        <v>351</v>
      </c>
      <c r="N10" t="s">
        <v>386</v>
      </c>
    </row>
    <row r="11" spans="1:20">
      <c r="K11" t="s">
        <v>154</v>
      </c>
      <c r="L11" t="s">
        <v>283</v>
      </c>
      <c r="M11" t="s">
        <v>352</v>
      </c>
      <c r="N11" t="s">
        <v>387</v>
      </c>
    </row>
    <row r="12" spans="1:20">
      <c r="K12" t="s">
        <v>155</v>
      </c>
      <c r="L12" t="s">
        <v>284</v>
      </c>
      <c r="M12" t="s">
        <v>353</v>
      </c>
      <c r="N12" t="s">
        <v>388</v>
      </c>
    </row>
    <row r="13" spans="1:20">
      <c r="K13" t="s">
        <v>156</v>
      </c>
      <c r="L13" t="s">
        <v>285</v>
      </c>
      <c r="M13" t="s">
        <v>354</v>
      </c>
    </row>
    <row r="14" spans="1:20">
      <c r="K14" t="s">
        <v>157</v>
      </c>
      <c r="L14" t="s">
        <v>286</v>
      </c>
      <c r="M14" t="s">
        <v>355</v>
      </c>
    </row>
    <row r="15" spans="1:20">
      <c r="K15" t="s">
        <v>158</v>
      </c>
      <c r="L15" t="s">
        <v>287</v>
      </c>
      <c r="M15" t="s">
        <v>356</v>
      </c>
    </row>
    <row r="16" spans="1:20">
      <c r="K16" t="s">
        <v>159</v>
      </c>
      <c r="L16" t="s">
        <v>288</v>
      </c>
      <c r="M16" t="s">
        <v>357</v>
      </c>
    </row>
    <row r="17" spans="11:13">
      <c r="K17" t="s">
        <v>160</v>
      </c>
      <c r="L17" t="s">
        <v>289</v>
      </c>
      <c r="M17" t="s">
        <v>358</v>
      </c>
    </row>
    <row r="18" spans="11:13">
      <c r="K18" t="s">
        <v>161</v>
      </c>
      <c r="L18" t="s">
        <v>290</v>
      </c>
      <c r="M18" t="s">
        <v>359</v>
      </c>
    </row>
    <row r="19" spans="11:13">
      <c r="K19" t="s">
        <v>162</v>
      </c>
      <c r="L19" t="s">
        <v>291</v>
      </c>
      <c r="M19" t="s">
        <v>360</v>
      </c>
    </row>
    <row r="20" spans="11:13">
      <c r="K20" t="s">
        <v>163</v>
      </c>
      <c r="L20" t="s">
        <v>292</v>
      </c>
      <c r="M20" t="s">
        <v>361</v>
      </c>
    </row>
    <row r="21" spans="11:13">
      <c r="K21" t="s">
        <v>164</v>
      </c>
      <c r="L21" t="s">
        <v>293</v>
      </c>
      <c r="M21" t="s">
        <v>362</v>
      </c>
    </row>
    <row r="22" spans="11:13">
      <c r="K22" t="s">
        <v>165</v>
      </c>
      <c r="L22" t="s">
        <v>294</v>
      </c>
      <c r="M22" t="s">
        <v>363</v>
      </c>
    </row>
    <row r="23" spans="11:13">
      <c r="K23" t="s">
        <v>166</v>
      </c>
      <c r="L23" t="s">
        <v>295</v>
      </c>
      <c r="M23" t="s">
        <v>364</v>
      </c>
    </row>
    <row r="24" spans="11:13">
      <c r="K24" t="s">
        <v>167</v>
      </c>
      <c r="L24" t="s">
        <v>296</v>
      </c>
      <c r="M24" t="s">
        <v>365</v>
      </c>
    </row>
    <row r="25" spans="11:13">
      <c r="K25" t="s">
        <v>168</v>
      </c>
      <c r="L25" t="s">
        <v>297</v>
      </c>
      <c r="M25" t="s">
        <v>366</v>
      </c>
    </row>
    <row r="26" spans="11:13">
      <c r="K26" t="s">
        <v>169</v>
      </c>
      <c r="L26" t="s">
        <v>298</v>
      </c>
      <c r="M26" t="s">
        <v>367</v>
      </c>
    </row>
    <row r="27" spans="11:13">
      <c r="K27" t="s">
        <v>170</v>
      </c>
      <c r="L27" t="s">
        <v>299</v>
      </c>
      <c r="M27" t="s">
        <v>368</v>
      </c>
    </row>
    <row r="28" spans="11:13">
      <c r="K28" t="s">
        <v>171</v>
      </c>
      <c r="L28" t="s">
        <v>300</v>
      </c>
      <c r="M28" t="s">
        <v>369</v>
      </c>
    </row>
    <row r="29" spans="11:13">
      <c r="K29" t="s">
        <v>172</v>
      </c>
      <c r="L29" t="s">
        <v>301</v>
      </c>
      <c r="M29" t="s">
        <v>370</v>
      </c>
    </row>
    <row r="30" spans="11:13">
      <c r="K30" t="s">
        <v>173</v>
      </c>
      <c r="L30" t="s">
        <v>302</v>
      </c>
      <c r="M30" t="s">
        <v>371</v>
      </c>
    </row>
    <row r="31" spans="11:13">
      <c r="K31" t="s">
        <v>174</v>
      </c>
      <c r="L31" t="s">
        <v>303</v>
      </c>
      <c r="M31" t="s">
        <v>372</v>
      </c>
    </row>
    <row r="32" spans="11:13">
      <c r="K32" t="s">
        <v>175</v>
      </c>
      <c r="L32" t="s">
        <v>304</v>
      </c>
      <c r="M32" t="s">
        <v>373</v>
      </c>
    </row>
    <row r="33" spans="11:13">
      <c r="K33" t="s">
        <v>176</v>
      </c>
      <c r="L33" t="s">
        <v>305</v>
      </c>
      <c r="M33" t="s">
        <v>374</v>
      </c>
    </row>
    <row r="34" spans="11:13">
      <c r="K34" t="s">
        <v>177</v>
      </c>
      <c r="L34" t="s">
        <v>306</v>
      </c>
      <c r="M34" t="s">
        <v>375</v>
      </c>
    </row>
    <row r="35" spans="11:13">
      <c r="K35" t="s">
        <v>178</v>
      </c>
      <c r="L35" t="s">
        <v>307</v>
      </c>
      <c r="M35" t="s">
        <v>376</v>
      </c>
    </row>
    <row r="36" spans="11:13">
      <c r="K36" t="s">
        <v>179</v>
      </c>
      <c r="L36" t="s">
        <v>308</v>
      </c>
    </row>
    <row r="37" spans="11:13">
      <c r="K37" t="s">
        <v>180</v>
      </c>
      <c r="L37" t="s">
        <v>309</v>
      </c>
    </row>
    <row r="38" spans="11:13">
      <c r="K38" t="s">
        <v>181</v>
      </c>
      <c r="L38" t="s">
        <v>310</v>
      </c>
    </row>
    <row r="39" spans="11:13">
      <c r="K39" t="s">
        <v>182</v>
      </c>
      <c r="L39" t="s">
        <v>311</v>
      </c>
    </row>
    <row r="40" spans="11:13">
      <c r="K40" t="s">
        <v>183</v>
      </c>
      <c r="L40" t="s">
        <v>312</v>
      </c>
    </row>
    <row r="41" spans="11:13">
      <c r="K41" t="s">
        <v>184</v>
      </c>
      <c r="L41" t="s">
        <v>313</v>
      </c>
    </row>
    <row r="42" spans="11:13">
      <c r="K42" t="s">
        <v>185</v>
      </c>
      <c r="L42" t="s">
        <v>314</v>
      </c>
    </row>
    <row r="43" spans="11:13">
      <c r="K43" t="s">
        <v>186</v>
      </c>
      <c r="L43" t="s">
        <v>315</v>
      </c>
    </row>
    <row r="44" spans="11:13">
      <c r="K44" t="s">
        <v>187</v>
      </c>
      <c r="L44" t="s">
        <v>316</v>
      </c>
    </row>
    <row r="45" spans="11:13">
      <c r="K45" t="s">
        <v>188</v>
      </c>
      <c r="L45" t="s">
        <v>317</v>
      </c>
    </row>
    <row r="46" spans="11:13">
      <c r="K46" t="s">
        <v>189</v>
      </c>
      <c r="L46" t="s">
        <v>318</v>
      </c>
    </row>
    <row r="47" spans="11:13">
      <c r="K47" t="s">
        <v>190</v>
      </c>
      <c r="L47" t="s">
        <v>319</v>
      </c>
    </row>
    <row r="48" spans="11:13">
      <c r="K48" t="s">
        <v>191</v>
      </c>
      <c r="L48" t="s">
        <v>320</v>
      </c>
    </row>
    <row r="49" spans="11:12">
      <c r="K49" t="s">
        <v>192</v>
      </c>
      <c r="L49" t="s">
        <v>321</v>
      </c>
    </row>
    <row r="50" spans="11:12">
      <c r="K50" t="s">
        <v>193</v>
      </c>
      <c r="L50" t="s">
        <v>322</v>
      </c>
    </row>
    <row r="51" spans="11:12">
      <c r="K51" t="s">
        <v>194</v>
      </c>
      <c r="L51" t="s">
        <v>323</v>
      </c>
    </row>
    <row r="52" spans="11:12">
      <c r="K52" t="s">
        <v>195</v>
      </c>
      <c r="L52" t="s">
        <v>324</v>
      </c>
    </row>
    <row r="53" spans="11:12">
      <c r="K53" t="s">
        <v>196</v>
      </c>
      <c r="L53" t="s">
        <v>325</v>
      </c>
    </row>
    <row r="54" spans="11:12">
      <c r="K54" t="s">
        <v>197</v>
      </c>
      <c r="L54" t="s">
        <v>326</v>
      </c>
    </row>
    <row r="55" spans="11:12">
      <c r="K55" t="s">
        <v>198</v>
      </c>
      <c r="L55" t="s">
        <v>327</v>
      </c>
    </row>
    <row r="56" spans="11:12">
      <c r="K56" t="s">
        <v>199</v>
      </c>
      <c r="L56" t="s">
        <v>328</v>
      </c>
    </row>
    <row r="57" spans="11:12">
      <c r="K57" t="s">
        <v>200</v>
      </c>
      <c r="L57" t="s">
        <v>329</v>
      </c>
    </row>
    <row r="58" spans="11:12">
      <c r="K58" t="s">
        <v>201</v>
      </c>
      <c r="L58" t="s">
        <v>330</v>
      </c>
    </row>
    <row r="59" spans="11:12">
      <c r="K59" t="s">
        <v>202</v>
      </c>
      <c r="L59" t="s">
        <v>331</v>
      </c>
    </row>
    <row r="60" spans="11:12">
      <c r="K60" t="s">
        <v>203</v>
      </c>
      <c r="L60" t="s">
        <v>332</v>
      </c>
    </row>
    <row r="61" spans="11:12">
      <c r="K61" t="s">
        <v>204</v>
      </c>
      <c r="L61" t="s">
        <v>333</v>
      </c>
    </row>
    <row r="62" spans="11:12">
      <c r="K62" t="s">
        <v>205</v>
      </c>
      <c r="L62" t="s">
        <v>334</v>
      </c>
    </row>
    <row r="63" spans="11:12">
      <c r="K63" t="s">
        <v>206</v>
      </c>
      <c r="L63" t="s">
        <v>335</v>
      </c>
    </row>
    <row r="64" spans="11:12">
      <c r="K64" t="s">
        <v>207</v>
      </c>
      <c r="L64" t="s">
        <v>336</v>
      </c>
    </row>
    <row r="65" spans="11:12">
      <c r="K65" t="s">
        <v>208</v>
      </c>
      <c r="L65" t="s">
        <v>337</v>
      </c>
    </row>
    <row r="66" spans="11:12">
      <c r="K66" t="s">
        <v>209</v>
      </c>
      <c r="L66" t="s">
        <v>338</v>
      </c>
    </row>
    <row r="67" spans="11:12">
      <c r="K67" t="s">
        <v>210</v>
      </c>
      <c r="L67" t="s">
        <v>339</v>
      </c>
    </row>
    <row r="68" spans="11:12">
      <c r="K68" t="s">
        <v>211</v>
      </c>
      <c r="L68" t="s">
        <v>340</v>
      </c>
    </row>
    <row r="69" spans="11:12">
      <c r="K69" t="s">
        <v>212</v>
      </c>
      <c r="L69" t="s">
        <v>341</v>
      </c>
    </row>
    <row r="70" spans="11:12">
      <c r="K70" t="s">
        <v>213</v>
      </c>
    </row>
    <row r="71" spans="11:12">
      <c r="K71" t="s">
        <v>214</v>
      </c>
    </row>
    <row r="72" spans="11:12">
      <c r="K72" t="s">
        <v>215</v>
      </c>
    </row>
    <row r="73" spans="11:12">
      <c r="K73" t="s">
        <v>216</v>
      </c>
    </row>
    <row r="74" spans="11:12">
      <c r="K74" t="s">
        <v>217</v>
      </c>
    </row>
    <row r="75" spans="11:12">
      <c r="K75" t="s">
        <v>218</v>
      </c>
    </row>
    <row r="76" spans="11:12">
      <c r="K76" t="s">
        <v>219</v>
      </c>
    </row>
    <row r="77" spans="11:12">
      <c r="K77" t="s">
        <v>220</v>
      </c>
    </row>
    <row r="78" spans="11:12">
      <c r="K78" t="s">
        <v>221</v>
      </c>
    </row>
    <row r="79" spans="11:12">
      <c r="K79" t="s">
        <v>222</v>
      </c>
    </row>
    <row r="80" spans="11:12">
      <c r="K80" t="s">
        <v>223</v>
      </c>
    </row>
    <row r="81" spans="11:11">
      <c r="K81" t="s">
        <v>224</v>
      </c>
    </row>
    <row r="82" spans="11:11">
      <c r="K82" t="s">
        <v>225</v>
      </c>
    </row>
    <row r="83" spans="11:11">
      <c r="K83" t="s">
        <v>226</v>
      </c>
    </row>
    <row r="84" spans="11:11">
      <c r="K84" t="s">
        <v>227</v>
      </c>
    </row>
    <row r="85" spans="11:11">
      <c r="K85" t="s">
        <v>228</v>
      </c>
    </row>
    <row r="86" spans="11:11">
      <c r="K86" t="s">
        <v>229</v>
      </c>
    </row>
    <row r="87" spans="11:11">
      <c r="K87" t="s">
        <v>230</v>
      </c>
    </row>
    <row r="88" spans="11:11">
      <c r="K88" t="s">
        <v>231</v>
      </c>
    </row>
    <row r="89" spans="11:11">
      <c r="K89" t="s">
        <v>232</v>
      </c>
    </row>
    <row r="90" spans="11:11">
      <c r="K90" t="s">
        <v>233</v>
      </c>
    </row>
    <row r="91" spans="11:11">
      <c r="K91" t="s">
        <v>234</v>
      </c>
    </row>
    <row r="92" spans="11:11">
      <c r="K92" t="s">
        <v>235</v>
      </c>
    </row>
    <row r="93" spans="11:11">
      <c r="K93" t="s">
        <v>236</v>
      </c>
    </row>
    <row r="94" spans="11:11">
      <c r="K94" t="s">
        <v>237</v>
      </c>
    </row>
    <row r="95" spans="11:11">
      <c r="K95" t="s">
        <v>238</v>
      </c>
    </row>
    <row r="96" spans="11:11">
      <c r="K96" t="s">
        <v>239</v>
      </c>
    </row>
    <row r="97" spans="11:11">
      <c r="K97" t="s">
        <v>240</v>
      </c>
    </row>
    <row r="98" spans="11:11">
      <c r="K98" t="s">
        <v>241</v>
      </c>
    </row>
    <row r="99" spans="11:11">
      <c r="K99" t="s">
        <v>242</v>
      </c>
    </row>
    <row r="100" spans="11:11">
      <c r="K100" t="s">
        <v>243</v>
      </c>
    </row>
    <row r="101" spans="11:11">
      <c r="K101" t="s">
        <v>244</v>
      </c>
    </row>
    <row r="102" spans="11:11">
      <c r="K102" t="s">
        <v>245</v>
      </c>
    </row>
    <row r="103" spans="11:11">
      <c r="K103" t="s">
        <v>246</v>
      </c>
    </row>
    <row r="104" spans="11:11">
      <c r="K104" t="s">
        <v>247</v>
      </c>
    </row>
    <row r="105" spans="11:11">
      <c r="K105" t="s">
        <v>248</v>
      </c>
    </row>
    <row r="106" spans="11:11">
      <c r="K106" t="s">
        <v>249</v>
      </c>
    </row>
    <row r="107" spans="11:11">
      <c r="K107" t="s">
        <v>250</v>
      </c>
    </row>
    <row r="108" spans="11:11">
      <c r="K108" t="s">
        <v>251</v>
      </c>
    </row>
    <row r="109" spans="11:11">
      <c r="K109" t="s">
        <v>252</v>
      </c>
    </row>
    <row r="110" spans="11:11">
      <c r="K110" t="s">
        <v>253</v>
      </c>
    </row>
    <row r="111" spans="11:11">
      <c r="K111" t="s">
        <v>254</v>
      </c>
    </row>
    <row r="112" spans="11:11">
      <c r="K112" t="s">
        <v>255</v>
      </c>
    </row>
    <row r="113" spans="11:11">
      <c r="K113" t="s">
        <v>256</v>
      </c>
    </row>
    <row r="114" spans="11:11">
      <c r="K114" t="s">
        <v>257</v>
      </c>
    </row>
    <row r="115" spans="11:11">
      <c r="K115" t="s">
        <v>258</v>
      </c>
    </row>
    <row r="116" spans="11:11">
      <c r="K116" t="s">
        <v>259</v>
      </c>
    </row>
    <row r="117" spans="11:11">
      <c r="K117" t="s">
        <v>260</v>
      </c>
    </row>
    <row r="118" spans="11:11">
      <c r="K118" t="s">
        <v>261</v>
      </c>
    </row>
    <row r="119" spans="11:11">
      <c r="K119" t="s">
        <v>262</v>
      </c>
    </row>
    <row r="120" spans="11:11">
      <c r="K120" t="s">
        <v>263</v>
      </c>
    </row>
    <row r="121" spans="11:11">
      <c r="K121" t="s">
        <v>264</v>
      </c>
    </row>
    <row r="122" spans="11:11">
      <c r="K122" t="s">
        <v>265</v>
      </c>
    </row>
    <row r="123" spans="11:11">
      <c r="K123" t="s">
        <v>266</v>
      </c>
    </row>
    <row r="124" spans="11:11">
      <c r="K124" t="s">
        <v>267</v>
      </c>
    </row>
    <row r="125" spans="11:11">
      <c r="K125" t="s">
        <v>268</v>
      </c>
    </row>
    <row r="126" spans="11:11">
      <c r="K126" t="s">
        <v>269</v>
      </c>
    </row>
    <row r="127" spans="11:11">
      <c r="K127" t="s">
        <v>270</v>
      </c>
    </row>
    <row r="128" spans="11:11">
      <c r="K128" t="s">
        <v>271</v>
      </c>
    </row>
    <row r="129" spans="11:11">
      <c r="K129" t="s">
        <v>272</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415</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11655</vt:i4>
      </vt:variant>
    </vt:vector>
  </HeadingPairs>
  <TitlesOfParts>
    <vt:vector size="11682"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2024-07-26T15:04:06Z</dcterms:created>
  <dcterms:modified xsi:type="dcterms:W3CDTF">2024-07-31T03:43:54Z</dcterms:modified>
</cp:coreProperties>
</file>